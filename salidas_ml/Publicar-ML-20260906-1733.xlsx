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Ayuda" sheetId="1" state="visible" r:id="rId1"/>
    <sheet xmlns:r="http://schemas.openxmlformats.org/officeDocument/2006/relationships" name="extra info" sheetId="2" state="veryHidden" r:id="rId2"/>
    <sheet xmlns:r="http://schemas.openxmlformats.org/officeDocument/2006/relationships" name="Monedas" sheetId="3" state="visible" r:id="rId3"/>
    <sheet xmlns:r="http://schemas.openxmlformats.org/officeDocument/2006/relationships" name="Legales" sheetId="4" state="visible" r:id="rId4"/>
  </sheets>
  <definedNames/>
  <calcPr calcId="124519" fullCalcOnLoad="1"/>
</workbook>
</file>

<file path=xl/styles.xml><?xml version="1.0" encoding="utf-8"?>
<styleSheet xmlns="http://schemas.openxmlformats.org/spreadsheetml/2006/main">
  <numFmts count="1">
    <numFmt numFmtId="164" formatCode=""/>
  </numFmts>
  <fonts count="127">
    <font>
      <name val="Arial"/>
      <color rgb="FF000000"/>
      <sz val="10"/>
      <scheme val="minor"/>
    </font>
    <font>
      <name val="Arial"/>
      <b val="1"/>
      <color rgb="FF434343"/>
      <scheme val="minor"/>
    </font>
    <font>
      <name val="Arial"/>
      <color theme="1"/>
      <scheme val="minor"/>
    </font>
    <font>
      <name val="Arial"/>
      <color theme="1"/>
    </font>
    <font>
      <name val="Arial"/>
      <b val="1"/>
      <color rgb="FF666666"/>
      <sz val="12"/>
    </font>
    <font>
      <name val="Arial"/>
      <b val="1"/>
      <color rgb="FF333333"/>
      <sz val="16"/>
    </font>
    <font>
      <name val="Arial"/>
      <color rgb="FF666666"/>
      <sz val="10"/>
    </font>
    <font>
      <name val="Arial"/>
      <color rgb="FF666666"/>
      <sz val="11"/>
    </font>
    <font>
      <name val="Arial"/>
      <color rgb="FF666666"/>
      <sz val="11"/>
    </font>
    <font>
      <name val="Arial"/>
      <b val="1"/>
      <color rgb="FF333333"/>
      <sz val="12"/>
    </font>
    <font>
      <name val="Arial"/>
      <b val="1"/>
      <color rgb="FF666666"/>
      <sz val="9"/>
    </font>
    <font>
      <name val="Arial"/>
      <color rgb="FF666666"/>
      <sz val="9"/>
    </font>
    <font>
      <name val="Arial"/>
      <b val="1"/>
      <color rgb="FFF44336"/>
      <sz val="9"/>
    </font>
    <font>
      <name val="Arial"/>
      <color rgb="FFF44336"/>
      <sz val="9"/>
    </font>
    <font>
      <name val="Arial"/>
      <color rgb="FF333333"/>
      <sz val="10"/>
    </font>
    <font>
      <name val="Arial"/>
      <color rgb="FF1155CC"/>
      <sz val="10"/>
      <u val="single"/>
    </font>
    <font>
      <name val="Arial"/>
      <color rgb="FF333333"/>
      <sz val="10"/>
    </font>
    <font>
      <name val="Arial"/>
      <color rgb="FF1155CC"/>
      <sz val="10"/>
      <u val="single"/>
    </font>
    <font>
      <name val="Arial"/>
      <b val="1"/>
      <color rgb="FF333333"/>
      <sz val="12"/>
    </font>
    <font>
      <name val="Arial"/>
      <color rgb="FF333333"/>
      <sz val="10"/>
    </font>
    <font>
      <name val="Arial"/>
      <b val="1"/>
      <color rgb="FF333333"/>
      <sz val="10"/>
    </font>
    <font>
      <name val="Arial"/>
      <b val="1"/>
      <color rgb="FF333333"/>
      <sz val="10"/>
    </font>
    <font>
      <name val="Arial"/>
      <b val="1"/>
      <color rgb="FF333333"/>
      <sz val="10"/>
    </font>
    <font>
      <name val="Arial"/>
      <b val="1"/>
      <color rgb="FF333333"/>
      <sz val="10"/>
    </font>
    <font>
      <name val="Arial"/>
      <b val="1"/>
      <color rgb="FF333333"/>
      <sz val="10"/>
    </font>
    <font>
      <name val="Arial"/>
      <color rgb="FF333333"/>
      <sz val="10"/>
    </font>
    <font>
      <name val="Arial"/>
      <b val="1"/>
      <color rgb="FF333333"/>
      <sz val="10"/>
    </font>
    <font>
      <name val="Arial"/>
      <color rgb="FF333333"/>
      <sz val="10"/>
    </font>
    <font>
      <name val="Arial"/>
      <color rgb="FF1155CC"/>
      <sz val="10"/>
      <u val="single"/>
    </font>
    <font>
      <name val="Arial"/>
      <color rgb="FF333333"/>
      <sz val="10"/>
    </font>
    <font>
      <name val="Arial"/>
      <b val="1"/>
      <i val="1"/>
      <color rgb="FFB22222"/>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color rgb="FF333333"/>
      <sz val="10"/>
    </font>
    <font>
      <name val="Arial"/>
      <b val="1"/>
      <color rgb="FF333333"/>
      <sz val="10"/>
    </font>
    <font>
      <name val="Arial"/>
      <color rgb="FF333333"/>
      <sz val="10"/>
    </font>
    <font>
      <name val="Arial"/>
      <color rgb="FF1155CC"/>
      <sz val="10"/>
      <u val="single"/>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color rgb="FF333333"/>
      <sz val="10"/>
    </font>
    <font>
      <name val="Arial"/>
      <b val="1"/>
      <color rgb="FF333333"/>
      <sz val="10"/>
    </font>
    <font>
      <name val="Arial"/>
      <color rgb="FF333333"/>
      <sz val="10"/>
    </font>
    <font>
      <name val="Arial"/>
      <b val="1"/>
      <color rgb="FF333333"/>
      <sz val="12"/>
    </font>
    <font>
      <name val="Arial"/>
      <b val="1"/>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color rgb="FF333333"/>
      <sz val="10"/>
    </font>
    <font>
      <name val="Arial"/>
      <color rgb="FF333333"/>
      <sz val="10"/>
    </font>
    <font>
      <name val="Arial"/>
      <b val="1"/>
      <sz val="9"/>
    </font>
    <font>
      <name val="Arial"/>
      <i val="1"/>
      <color rgb="FF85200C"/>
      <sz val="9"/>
    </font>
    <font>
      <name val="Arial"/>
      <color rgb="FF000000"/>
      <sz val="10"/>
    </font>
    <font>
      <name val="Arial"/>
      <color rgb="FF000000"/>
      <sz val="10"/>
    </font>
    <font>
      <name val="Roboto"/>
      <color rgb="FF85200C"/>
      <sz val="9"/>
    </font>
    <font>
      <name val="Roboto"/>
      <b val="1"/>
      <color rgb="FF1218DC"/>
      <sz val="9"/>
      <u val="single"/>
    </font>
    <font>
      <name val="Arial"/>
      <sz val="11"/>
    </font>
    <font>
      <name val="Arial"/>
      <i val="1"/>
      <sz val="8"/>
    </font>
    <font>
      <name val="Arial"/>
      <b val="1"/>
      <sz val="10"/>
    </font>
    <font>
      <name val="Arial"/>
      <color rgb="FF000000"/>
      <sz val="10"/>
    </font>
    <font>
      <name val="Arial"/>
      <sz val="10"/>
    </font>
    <font>
      <name val="Arial"/>
      <b val="1"/>
      <sz val="10"/>
    </font>
    <font>
      <name val="Arial"/>
      <color rgb="FF000000"/>
      <sz val="10"/>
    </font>
    <font>
      <name val="Arial"/>
      <sz val="10"/>
    </font>
    <font>
      <name val="Arial"/>
      <b val="1"/>
      <color rgb="FF919191"/>
      <sz val="10"/>
    </font>
    <font>
      <name val="Arial"/>
      <b val="1"/>
      <sz val="14"/>
    </font>
    <font>
      <name val="Arial"/>
      <sz val="11"/>
    </font>
    <font>
      <name val="Arial"/>
      <b val="1"/>
      <sz val="9"/>
    </font>
    <font>
      <name val="Arial"/>
      <color rgb="FF000000"/>
      <sz val="10"/>
    </font>
    <font>
      <name val="Arial"/>
      <b val="1"/>
      <sz val="10"/>
    </font>
    <font>
      <name val="Arial"/>
      <b val="1"/>
      <sz val="9"/>
    </font>
    <font>
      <name val="Arial"/>
      <color rgb="FF000000"/>
      <sz val="10"/>
    </font>
    <font>
      <name val="Arial"/>
      <sz val="11"/>
    </font>
    <font>
      <name val="Arial"/>
      <sz val="10"/>
    </font>
    <font>
      <name val="Arial"/>
      <b val="1"/>
      <sz val="10"/>
    </font>
    <font>
      <name val="Arial"/>
      <b val="1"/>
      <sz val="9"/>
    </font>
    <font>
      <name val="Arial"/>
      <color rgb="FF000000"/>
      <sz val="10"/>
    </font>
    <font>
      <name val="Arial"/>
      <color rgb="FF000000"/>
      <sz val="10"/>
    </font>
    <font>
      <name val="Arial"/>
      <color rgb="FF000000"/>
      <sz val="10"/>
    </font>
    <font>
      <name val="Arial"/>
      <color rgb="FF000000"/>
      <sz val="10"/>
    </font>
    <font>
      <name val="Arial"/>
      <sz val="11"/>
    </font>
    <font>
      <name val="Arial"/>
      <color rgb="FF000000"/>
      <sz val="10"/>
    </font>
    <font>
      <name val="Arial"/>
      <color rgb="FF000000"/>
      <sz val="10"/>
    </font>
    <font>
      <name val="Arial"/>
      <sz val="10"/>
    </font>
    <font>
      <name val="Arial"/>
      <b val="1"/>
      <sz val="10"/>
    </font>
    <font>
      <name val="Arial"/>
      <b val="1"/>
      <sz val="9"/>
    </font>
    <font>
      <name val="Arial"/>
      <color rgb="FF000000"/>
      <sz val="10"/>
    </font>
    <font>
      <name val="Arial"/>
      <b val="1"/>
      <sz val="10"/>
    </font>
    <font>
      <name val="Arial"/>
      <sz val="10"/>
    </font>
    <font>
      <name val="Arial"/>
      <sz val="11"/>
    </font>
    <font>
      <name val="Arial"/>
      <b val="1"/>
      <sz val="9"/>
    </font>
    <font>
      <name val="Arial"/>
      <color rgb="FF000000"/>
      <sz val="10"/>
    </font>
    <font>
      <name val="Arial"/>
      <b val="1"/>
      <sz val="10"/>
    </font>
    <font>
      <name val="Arial"/>
      <b val="1"/>
      <sz val="9"/>
    </font>
    <font>
      <name val="Arial"/>
      <sz val="11"/>
    </font>
    <font>
      <name val="proxima nova"/>
      <b val="1"/>
      <sz val="10"/>
    </font>
    <font>
      <name val="proxima nova"/>
      <color rgb="FF000000"/>
      <sz val="10"/>
    </font>
    <font>
      <name val="Roboto"/>
      <b val="1"/>
      <color rgb="FF1218DC"/>
      <sz val="9"/>
      <u val="single"/>
    </font>
    <font>
      <name val="proxima nova"/>
      <b val="1"/>
      <sz val="10"/>
    </font>
  </fonts>
  <fills count="42">
    <fill>
      <patternFill/>
    </fill>
    <fill>
      <patternFill patternType="lightGray"/>
    </fill>
    <fill>
      <patternFill>
        <fgColor rgb="FFFFF158"/>
      </patternFill>
    </fill>
    <fill>
      <patternFill patternType="solid">
        <fgColor rgb="FFFFF158"/>
      </patternFill>
    </fill>
    <fill>
      <patternFill>
        <fgColor rgb="FFF9F9F9"/>
      </patternFill>
    </fill>
    <fill>
      <patternFill patternType="solid">
        <fgColor rgb="FFF9F9F9"/>
      </patternFill>
    </fill>
    <fill>
      <patternFill>
        <fgColor rgb="FFF5F5F5"/>
      </patternFill>
    </fill>
    <fill>
      <patternFill patternType="solid">
        <fgColor rgb="FFF5F5F5"/>
      </patternFill>
    </fill>
    <fill>
      <patternFill>
        <fgColor rgb="FFFFF8DC"/>
      </patternFill>
    </fill>
    <fill>
      <patternFill patternType="solid">
        <fgColor rgb="FFFFF8DC"/>
      </patternFill>
    </fill>
    <fill>
      <patternFill>
        <fgColor rgb="FFFFEFD5"/>
      </patternFill>
    </fill>
    <fill>
      <patternFill patternType="solid">
        <fgColor rgb="FFFFEFD5"/>
      </patternFill>
    </fill>
    <fill>
      <patternFill>
        <fgColor rgb="FFE0FFE0"/>
      </patternFill>
    </fill>
    <fill>
      <patternFill patternType="solid">
        <fgColor rgb="FFE0FFE0"/>
      </patternFill>
    </fill>
    <fill>
      <patternFill>
        <fgColor rgb="FFDCE6EB"/>
      </patternFill>
    </fill>
    <fill>
      <patternFill patternType="solid">
        <fgColor rgb="FFDCE6EB"/>
      </patternFill>
    </fill>
    <fill>
      <patternFill>
        <fgColor rgb="FFF3F3F3"/>
      </patternFill>
    </fill>
    <fill>
      <patternFill patternType="solid">
        <fgColor rgb="FFF3F3F3"/>
      </patternFill>
    </fill>
    <fill>
      <patternFill>
        <fgColor rgb="FFFFFFFF"/>
      </patternFill>
    </fill>
    <fill>
      <patternFill patternType="solid">
        <fgColor rgb="FFFFFFFF"/>
      </patternFill>
    </fill>
    <fill>
      <patternFill>
        <fgColor rgb="FFFFD966"/>
      </patternFill>
    </fill>
    <fill>
      <patternFill patternType="solid">
        <fgColor rgb="FFFFD966"/>
      </patternFill>
    </fill>
    <fill>
      <patternFill>
        <fgColor rgb="FFFFF2CC"/>
      </patternFill>
    </fill>
    <fill>
      <patternFill patternType="solid">
        <fgColor rgb="FFFFF2CC"/>
      </patternFill>
    </fill>
    <fill>
      <patternFill>
        <fgColor rgb="FFF6B26B"/>
      </patternFill>
    </fill>
    <fill>
      <patternFill patternType="solid">
        <fgColor rgb="FFF6B26B"/>
      </patternFill>
    </fill>
    <fill>
      <patternFill>
        <fgColor rgb="FFFCE5CD"/>
      </patternFill>
    </fill>
    <fill>
      <patternFill patternType="solid">
        <fgColor rgb="FFFCE5CD"/>
      </patternFill>
    </fill>
    <fill>
      <patternFill>
        <fgColor rgb="FFB1DA9F"/>
      </patternFill>
    </fill>
    <fill>
      <patternFill patternType="solid">
        <fgColor rgb="FFB1DA9F"/>
      </patternFill>
    </fill>
    <fill>
      <patternFill>
        <fgColor rgb="FFD9EAD3"/>
      </patternFill>
    </fill>
    <fill>
      <patternFill patternType="solid">
        <fgColor rgb="FFD9EAD3"/>
      </patternFill>
    </fill>
    <fill>
      <patternFill>
        <fgColor rgb="FF76A5AF"/>
      </patternFill>
    </fill>
    <fill>
      <patternFill patternType="solid">
        <fgColor rgb="FF76A5AF"/>
      </patternFill>
    </fill>
    <fill>
      <patternFill>
        <fgColor rgb="FFD0E0E3"/>
      </patternFill>
    </fill>
    <fill>
      <patternFill patternType="solid">
        <fgColor rgb="FFD0E0E3"/>
      </patternFill>
    </fill>
    <fill>
      <patternFill>
        <fgColor rgb="FFEA9999"/>
      </patternFill>
    </fill>
    <fill>
      <patternFill patternType="solid">
        <fgColor rgb="FFEA9999"/>
      </patternFill>
    </fill>
    <fill>
      <patternFill>
        <fgColor rgb="FFF0DCDC"/>
      </patternFill>
    </fill>
    <fill>
      <patternFill patternType="solid">
        <fgColor rgb="FFF0DCDC"/>
      </patternFill>
    </fill>
    <fill>
      <patternFill>
        <fgColor rgb="FFCFCFCF"/>
      </patternFill>
    </fill>
    <fill>
      <patternFill patternType="solid">
        <fgColor rgb="FFCFCFCF"/>
      </patternFill>
    </fill>
  </fills>
  <borders count="48">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
      <right>
        <color rgb="FFF5F5F5"/>
      </right>
      <bottom>
        <color rgb="FFF5F5F5"/>
      </bottom>
    </border>
    <border>
      <left style="thin">
        <color rgb="FFCFCFCF"/>
      </left>
    </border>
    <border>
      <left style="thin">
        <color rgb="FFCFCFCF"/>
      </left>
      <right style="thin">
        <color rgb="FFCFCFCF"/>
      </right>
    </border>
    <border>
      <left style="thin">
        <color rgb="FFCFCFCF"/>
      </left>
      <right style="thin">
        <color rgb="FFCFCFCF"/>
      </right>
      <bottom style="thin">
        <color rgb="FFCFCFCF"/>
      </bottom>
    </border>
    <border>
      <top style="thin">
        <color rgb="FFCFCFCF"/>
      </top>
    </border>
    <border>
      <right style="thin">
        <color rgb="FFCFCFCF"/>
      </right>
      <top style="thin">
        <color rgb="FFCFCFCF"/>
      </top>
    </border>
    <border>
      <right style="thin">
        <color rgb="FFCFCFCF"/>
      </right>
      <top style="thin">
        <color rgb="FFCFCFCF"/>
      </top>
      <bottom style="thin">
        <color rgb="FFCFCFCF"/>
      </bottom>
    </border>
    <border>
      <right style="thin">
        <color rgb="FFCFCFCF"/>
      </right>
    </border>
    <border>
      <left style="thin">
        <color rgb="FFCFCFCF"/>
      </left>
      <bottom style="thin">
        <color rgb="FFCFCFCF"/>
      </bottom>
    </border>
    <border>
      <bottom style="thin">
        <color rgb="FFCFCFCF"/>
      </bottom>
    </border>
    <border>
      <right style="thin">
        <color rgb="FFCFCFCF"/>
      </right>
      <bottom style="thin">
        <color rgb="FFCFCFCF"/>
      </bottom>
    </border>
  </borders>
  <cellStyleXfs count="1">
    <xf numFmtId="0" fontId="0" fillId="0" borderId="0"/>
  </cellStyleXfs>
  <cellXfs count="74">
    <xf numFmtId="49" fontId="0" fillId="0" borderId="0" applyAlignment="1" pivotButton="0" quotePrefix="0" xfId="0">
      <alignment vertical="bottom"/>
    </xf>
    <xf numFmtId="0" fontId="1" fillId="0" borderId="0" applyAlignment="1" pivotButton="0" quotePrefix="0" xfId="0">
      <alignment horizontal="center"/>
    </xf>
    <xf numFmtId="0" fontId="2" fillId="0" borderId="0" pivotButton="0" quotePrefix="0" xfId="0"/>
    <xf numFmtId="0" fontId="3" fillId="0" borderId="0" applyAlignment="1" pivotButton="0" quotePrefix="0" xfId="0">
      <alignment vertical="bottom"/>
    </xf>
    <xf numFmtId="0" fontId="4" fillId="3" borderId="4" applyAlignment="1" applyProtection="1" pivotButton="0" quotePrefix="0" xfId="0">
      <alignment horizontal="left" vertical="center" wrapText="1"/>
      <protection locked="0" hidden="0"/>
    </xf>
    <xf numFmtId="0" fontId="5" fillId="3" borderId="4" applyAlignment="1" applyProtection="1" pivotButton="0" quotePrefix="0" xfId="0">
      <alignment horizontal="left" vertical="center" wrapText="1"/>
      <protection locked="0" hidden="0"/>
    </xf>
    <xf numFmtId="0" fontId="6" fillId="3" borderId="4" applyAlignment="1" applyProtection="1" pivotButton="0" quotePrefix="0" xfId="0">
      <alignment horizontal="left" vertical="center" wrapText="1"/>
      <protection locked="0" hidden="0"/>
    </xf>
    <xf numFmtId="0" fontId="7" fillId="5" borderId="8" applyAlignment="1" applyProtection="1" pivotButton="0" quotePrefix="0" xfId="0">
      <alignment horizontal="left" vertical="top" wrapText="1"/>
      <protection locked="0" hidden="0"/>
    </xf>
    <xf numFmtId="0" fontId="8" fillId="7" borderId="12" applyAlignment="1" applyProtection="1" pivotButton="0" quotePrefix="0" xfId="0">
      <alignment horizontal="left" vertical="top" wrapText="1"/>
      <protection locked="0" hidden="0"/>
    </xf>
    <xf numFmtId="0" fontId="9" fillId="5" borderId="8" applyAlignment="1" applyProtection="1" pivotButton="0" quotePrefix="0" xfId="0">
      <alignment horizontal="left" vertical="center" wrapText="1"/>
      <protection locked="0" hidden="0"/>
    </xf>
    <xf numFmtId="0" fontId="10" fillId="5" borderId="8" applyAlignment="1" applyProtection="1" pivotButton="0" quotePrefix="0" xfId="0">
      <alignment horizontal="left" vertical="center" wrapText="1"/>
      <protection locked="0" hidden="0"/>
    </xf>
    <xf numFmtId="0" fontId="11" fillId="5" borderId="8" applyAlignment="1" applyProtection="1" pivotButton="0" quotePrefix="0" xfId="0">
      <alignment horizontal="left" vertical="top" wrapText="1"/>
      <protection locked="0" hidden="0"/>
    </xf>
    <xf numFmtId="0" fontId="12" fillId="5" borderId="8" applyAlignment="1" applyProtection="1" pivotButton="0" quotePrefix="0" xfId="0">
      <alignment horizontal="left" vertical="center" wrapText="1"/>
      <protection locked="0" hidden="0"/>
    </xf>
    <xf numFmtId="0" fontId="13" fillId="5" borderId="8" applyAlignment="1" applyProtection="1" pivotButton="0" quotePrefix="0" xfId="0">
      <alignment horizontal="left" vertical="top" wrapText="1"/>
      <protection locked="0" hidden="0"/>
    </xf>
    <xf numFmtId="0" fontId="14" fillId="5" borderId="8" applyAlignment="1" applyProtection="1" pivotButton="0" quotePrefix="0" xfId="0">
      <alignment horizontal="left" vertical="center" wrapText="1"/>
      <protection locked="0" hidden="0"/>
    </xf>
    <xf numFmtId="0" fontId="15" fillId="5" borderId="8" applyAlignment="1" applyProtection="1" pivotButton="0" quotePrefix="0" xfId="0">
      <alignment horizontal="left" vertical="center" wrapText="1"/>
      <protection locked="0" hidden="0"/>
    </xf>
    <xf numFmtId="0" fontId="16" fillId="5" borderId="8" applyAlignment="1" applyProtection="1" pivotButton="0" quotePrefix="0" xfId="0">
      <alignment horizontal="left" vertical="center" wrapText="1"/>
      <protection locked="0" hidden="0"/>
    </xf>
    <xf numFmtId="0" fontId="17" fillId="5" borderId="8" applyAlignment="1" applyProtection="1" pivotButton="0" quotePrefix="0" xfId="0">
      <alignment horizontal="left" vertical="center" wrapText="1"/>
      <protection locked="0" hidden="0"/>
    </xf>
    <xf numFmtId="0" fontId="18" fillId="3" borderId="4" applyAlignment="1" applyProtection="1" pivotButton="0" quotePrefix="0" xfId="0">
      <alignment horizontal="left" vertical="center" wrapText="1"/>
      <protection locked="0" hidden="0"/>
    </xf>
    <xf numFmtId="0" fontId="19" fillId="7" borderId="12" applyAlignment="1" applyProtection="1" pivotButton="0" quotePrefix="0" xfId="0">
      <alignment horizontal="left" vertical="center" wrapText="1"/>
      <protection locked="0" hidden="0"/>
    </xf>
    <xf numFmtId="0" fontId="20" fillId="9" borderId="16" applyAlignment="1" applyProtection="1" pivotButton="0" quotePrefix="0" xfId="0">
      <alignment horizontal="left" vertical="center" wrapText="1"/>
      <protection locked="0" hidden="0"/>
    </xf>
    <xf numFmtId="0" fontId="21" fillId="11" borderId="20" applyAlignment="1" applyProtection="1" pivotButton="0" quotePrefix="0" xfId="0">
      <alignment horizontal="left" vertical="center" wrapText="1"/>
      <protection locked="0" hidden="0"/>
    </xf>
    <xf numFmtId="0" fontId="22" fillId="13" borderId="24" applyAlignment="1" applyProtection="1" pivotButton="0" quotePrefix="0" xfId="0">
      <alignment horizontal="left" vertical="center" wrapText="1"/>
      <protection locked="0" hidden="0"/>
    </xf>
    <xf numFmtId="0" fontId="23" fillId="15" borderId="28" applyAlignment="1" applyProtection="1" pivotButton="0" quotePrefix="0" xfId="0">
      <alignment horizontal="left" vertical="center" wrapText="1"/>
      <protection locked="0" hidden="0"/>
    </xf>
    <xf numFmtId="0" fontId="26" fillId="7" borderId="12" applyAlignment="1" applyProtection="1" pivotButton="0" quotePrefix="0" xfId="0">
      <alignment horizontal="left" vertical="center" wrapText="1"/>
      <protection locked="0" hidden="0"/>
    </xf>
    <xf numFmtId="0" fontId="38" fillId="7" borderId="12" applyAlignment="1" applyProtection="1" pivotButton="0" quotePrefix="0" xfId="0">
      <alignment horizontal="left" vertical="top" wrapText="1"/>
      <protection locked="0" hidden="0"/>
    </xf>
    <xf numFmtId="0" fontId="42" fillId="7" borderId="12" applyAlignment="1" applyProtection="1" pivotButton="0" quotePrefix="0" xfId="0">
      <alignment horizontal="left" vertical="center" wrapText="1"/>
      <protection locked="0" hidden="0"/>
    </xf>
    <xf numFmtId="0" fontId="58" fillId="3" borderId="0" applyAlignment="1" applyProtection="1" pivotButton="0" quotePrefix="0" xfId="0">
      <alignment horizontal="left" vertical="center"/>
      <protection locked="0" hidden="0"/>
    </xf>
    <xf numFmtId="0" fontId="59" fillId="7" borderId="12" applyAlignment="1" applyProtection="1" pivotButton="0" quotePrefix="0" xfId="0">
      <alignment horizontal="left" vertical="top" wrapText="1"/>
      <protection locked="0" hidden="0"/>
    </xf>
    <xf numFmtId="0" fontId="78" fillId="3" borderId="36" applyAlignment="1" applyProtection="1" pivotButton="0" quotePrefix="0" xfId="0">
      <alignment horizontal="center" vertical="center" wrapText="1"/>
      <protection locked="0" hidden="0"/>
    </xf>
    <xf numFmtId="0" fontId="79" fillId="17" borderId="36" applyAlignment="1" applyProtection="1" pivotButton="0" quotePrefix="0" xfId="0">
      <alignment horizontal="center" vertical="center" wrapText="1"/>
      <protection locked="0" hidden="0"/>
    </xf>
    <xf numFmtId="0" fontId="80" fillId="17" borderId="36" applyAlignment="1" pivotButton="0" quotePrefix="0" xfId="0">
      <alignment horizontal="center" vertical="center" wrapText="1"/>
    </xf>
    <xf numFmtId="0" fontId="82" fillId="17" borderId="36" applyAlignment="1" pivotButton="0" quotePrefix="0" xfId="0">
      <alignment horizontal="center" vertical="center" wrapText="1"/>
    </xf>
    <xf numFmtId="0" fontId="83" fillId="17" borderId="36" applyAlignment="1" applyProtection="1" pivotButton="0" quotePrefix="0" xfId="0">
      <alignment horizontal="center" vertical="center" wrapText="1"/>
      <protection locked="0" hidden="0"/>
    </xf>
    <xf numFmtId="0" fontId="84" fillId="0" borderId="0" applyAlignment="1" applyProtection="1" pivotButton="0" quotePrefix="0" xfId="0">
      <alignment wrapText="1"/>
      <protection locked="0" hidden="0"/>
    </xf>
    <xf numFmtId="0" fontId="88" fillId="17" borderId="0" applyAlignment="1" applyProtection="1" pivotButton="0" quotePrefix="0" xfId="0">
      <alignment horizontal="center" vertical="center" wrapText="1"/>
      <protection locked="0" hidden="0"/>
    </xf>
    <xf numFmtId="0" fontId="92" fillId="19" borderId="0" applyAlignment="1" applyProtection="1" pivotButton="0" quotePrefix="0" xfId="0">
      <alignment horizontal="left" vertical="center"/>
      <protection locked="0" hidden="0"/>
    </xf>
    <xf numFmtId="0" fontId="93" fillId="19" borderId="0" applyAlignment="1" applyProtection="1" pivotButton="0" quotePrefix="0" xfId="0">
      <alignment horizontal="left" vertical="center"/>
      <protection locked="0" hidden="0"/>
    </xf>
    <xf numFmtId="0" fontId="94" fillId="0" borderId="0" applyAlignment="1" applyProtection="1" pivotButton="0" quotePrefix="0" xfId="0">
      <alignment wrapText="1"/>
      <protection locked="0" hidden="0"/>
    </xf>
    <xf numFmtId="0" fontId="95" fillId="21" borderId="36" applyAlignment="1" applyProtection="1" pivotButton="0" quotePrefix="0" xfId="0">
      <alignment horizontal="center" vertical="center" wrapText="1"/>
      <protection locked="0" hidden="0"/>
    </xf>
    <xf numFmtId="3" fontId="0" fillId="0" borderId="0" pivotButton="0" quotePrefix="0" xfId="0"/>
    <xf numFmtId="0" fontId="97" fillId="23" borderId="36" applyAlignment="1" applyProtection="1" pivotButton="0" quotePrefix="0" xfId="0">
      <alignment horizontal="center" vertical="center" wrapText="1"/>
      <protection locked="0" hidden="0"/>
    </xf>
    <xf numFmtId="4" fontId="0" fillId="0" borderId="0" pivotButton="0" quotePrefix="0" xfId="0"/>
    <xf numFmtId="0" fontId="98" fillId="25" borderId="36" applyAlignment="1" applyProtection="1" pivotButton="0" quotePrefix="0" xfId="0">
      <alignment horizontal="center" vertical="center" wrapText="1"/>
      <protection locked="0" hidden="0"/>
    </xf>
    <xf numFmtId="0" fontId="100" fillId="0" borderId="36" applyAlignment="1" applyProtection="1" pivotButton="0" quotePrefix="0" xfId="0">
      <alignment wrapText="1"/>
      <protection locked="0" hidden="0"/>
    </xf>
    <xf numFmtId="0" fontId="102" fillId="27" borderId="36" applyAlignment="1" applyProtection="1" pivotButton="0" quotePrefix="0" xfId="0">
      <alignment horizontal="center" vertical="center"/>
      <protection locked="0" hidden="0"/>
    </xf>
    <xf numFmtId="0" fontId="103" fillId="29" borderId="36" applyAlignment="1" applyProtection="1" pivotButton="0" quotePrefix="0" xfId="0">
      <alignment horizontal="center" vertical="center" wrapText="1"/>
      <protection locked="0" hidden="0"/>
    </xf>
    <xf numFmtId="49" fontId="108" fillId="0" borderId="0" applyAlignment="1" applyProtection="1" pivotButton="0" quotePrefix="0" xfId="0">
      <alignment/>
      <protection locked="0" hidden="0"/>
    </xf>
    <xf numFmtId="164" fontId="0" fillId="0" borderId="0" pivotButton="0" quotePrefix="0" xfId="0"/>
    <xf numFmtId="0" fontId="112" fillId="31" borderId="0" applyAlignment="1" applyProtection="1" pivotButton="0" quotePrefix="0" xfId="0">
      <alignment horizontal="center" vertical="center"/>
      <protection locked="0" hidden="0"/>
    </xf>
    <xf numFmtId="164" fontId="0" fillId="0" borderId="0" pivotButton="0" quotePrefix="0" xfId="0"/>
    <xf numFmtId="0" fontId="113" fillId="33" borderId="36" applyAlignment="1" applyProtection="1" pivotButton="0" quotePrefix="0" xfId="0">
      <alignment horizontal="center" vertical="center" wrapText="1"/>
      <protection locked="0" hidden="0"/>
    </xf>
    <xf numFmtId="0" fontId="115" fillId="35" borderId="36" applyAlignment="1" applyProtection="1" pivotButton="0" quotePrefix="0" xfId="0">
      <alignment horizontal="center" vertical="center" wrapText="1"/>
      <protection locked="0" hidden="0"/>
    </xf>
    <xf numFmtId="0" fontId="117" fillId="17" borderId="36" applyAlignment="1" pivotButton="0" quotePrefix="0" xfId="0">
      <alignment horizontal="left" vertical="bottom"/>
    </xf>
    <xf numFmtId="0" fontId="118" fillId="37" borderId="36" applyAlignment="1" applyProtection="1" pivotButton="0" quotePrefix="0" xfId="0">
      <alignment horizontal="center" vertical="center"/>
      <protection locked="0" hidden="0"/>
    </xf>
    <xf numFmtId="0" fontId="120" fillId="39" borderId="36" applyAlignment="1" applyProtection="1" pivotButton="0" quotePrefix="0" xfId="0">
      <alignment horizontal="center" vertical="center"/>
      <protection locked="0" hidden="0"/>
    </xf>
    <xf numFmtId="0" fontId="121" fillId="41" borderId="36" applyAlignment="1" applyProtection="1" pivotButton="0" quotePrefix="0" xfId="0">
      <alignment horizontal="center" vertical="center"/>
      <protection locked="0" hidden="0"/>
    </xf>
    <xf numFmtId="0" fontId="122" fillId="0" borderId="0" applyAlignment="1" applyProtection="1" pivotButton="0" quotePrefix="0" xfId="0">
      <alignment/>
      <protection locked="0" hidden="0"/>
    </xf>
    <xf numFmtId="0" fontId="123" fillId="3" borderId="0" applyAlignment="1" applyProtection="1" pivotButton="0" quotePrefix="0" xfId="0">
      <alignment vertical="center" wrapText="1"/>
      <protection locked="0" hidden="0"/>
    </xf>
    <xf numFmtId="0" fontId="124" fillId="0" borderId="0" applyAlignment="1" applyProtection="1" pivotButton="0" quotePrefix="0" xfId="0">
      <alignment vertical="center" wrapText="1"/>
      <protection locked="0" hidden="0"/>
    </xf>
    <xf numFmtId="0" fontId="125" fillId="0" borderId="0" applyAlignment="1" applyProtection="1" pivotButton="0" quotePrefix="0" xfId="0">
      <alignment/>
      <protection locked="0" hidden="0"/>
    </xf>
    <xf numFmtId="0" fontId="126" fillId="0" borderId="0" applyAlignment="1" applyProtection="1" pivotButton="0" quotePrefix="0" xfId="0">
      <alignment vertical="center" wrapText="1"/>
      <protection locked="0" hidden="0"/>
    </xf>
    <xf numFmtId="0" fontId="0" fillId="0" borderId="0" pivotButton="0" quotePrefix="0" xfId="0"/>
    <xf numFmtId="0" fontId="0" fillId="0" borderId="0" applyProtection="1" pivotButton="0" quotePrefix="0" xfId="0">
      <protection locked="0" hidden="0"/>
    </xf>
    <xf numFmtId="0" fontId="58" fillId="3" borderId="37" applyAlignment="1" applyProtection="1" pivotButton="0" quotePrefix="0" xfId="0">
      <alignment horizontal="left" vertical="center"/>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5" applyProtection="1" pivotButton="0" quotePrefix="0" xfId="0">
      <protection locked="0" hidden="0"/>
    </xf>
    <xf numFmtId="0" fontId="0" fillId="0" borderId="46" applyProtection="1" pivotButton="0" quotePrefix="0" xfId="0">
      <protection locked="0" hidden="0"/>
    </xf>
    <xf numFmtId="0" fontId="0" fillId="0" borderId="47" applyProtection="1" pivotButton="0" quotePrefix="0" xfId="0">
      <protection locked="0" hidden="0"/>
    </xf>
    <xf numFmtId="0" fontId="0" fillId="0" borderId="40" applyProtection="1" pivotButton="0" quotePrefix="0" xfId="0">
      <protection locked="0" hidden="0"/>
    </xf>
    <xf numFmtId="0" fontId="0" fillId="0" borderId="43" pivotButton="0" quotePrefix="0" xfId="0"/>
    <xf numFmtId="0" fontId="0" fillId="0" borderId="40" pivotButton="0" quotePrefix="0" xfId="0"/>
    <xf numFmtId="0" fontId="0" fillId="0" borderId="39" pivotButton="0" quotePrefix="0" xfId="0"/>
  </cellXfs>
  <cellStyles count="1">
    <cellStyle name="Normal" xfId="0" builtinId="0"/>
  </cellStyles>
  <dxfs count="35">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00"/>
      </font>
      <fill>
        <patternFill patternType="solid">
          <bgColor rgb="FFFFFFFF"/>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dxf>
    <dxf>
      <font>
        <color rgb="00919191"/>
      </font>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919191"/>
      </font>
    </dxf>
    <dxf>
      <font>
        <color rgb="00919191"/>
      </font>
      <fill>
        <patternFill patternType="solid">
          <bgColor rgb="FFF3F3F3"/>
        </patternFill>
      </fill>
      <border>
        <left style="thin">
          <color rgb="FFCFCFCF"/>
        </left>
        <right style="thin">
          <color rgb="FFCFCFCF"/>
        </right>
        <top style="thin">
          <color rgb="FFCFCFCF"/>
        </top>
        <bottom style="thin">
          <color rgb="FFCFCFCF"/>
        </bottom>
      </border>
    </dxf>
    <dxf>
      <font>
        <color rgb="00A61C00"/>
      </font>
      <fill>
        <patternFill patternType="solid">
          <bgColor rgb="FFF4CCCC"/>
        </patternFill>
      </fill>
      <border>
        <left style="thin">
          <color rgb="FFCFCFCF"/>
        </left>
        <right style="thin">
          <color rgb="FFCFCFCF"/>
        </right>
        <top style="thin">
          <color rgb="FFCFCFCF"/>
        </top>
        <bottom style="thin">
          <color rgb="FFCFCFCF"/>
        </bottom>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s>
</file>

<file path=xl/drawings/drawing1.xml><?xml version="1.0" encoding="utf-8"?>
<wsDr xmlns="http://schemas.openxmlformats.org/drawingml/2006/spreadsheetDrawing">
  <twoCellAnchor editAs="twoCell">
    <from>
      <col>1</col>
      <colOff>10</colOff>
      <row>5</row>
      <rowOff>5</rowOff>
    </from>
    <to>
      <col>1</col>
      <colOff>160063</colOff>
      <row>5</row>
      <rowOff>129542</rowOff>
    </to>
    <pic>
      <nvPicPr>
        <cNvPr id="1" name="Picture 1" descr="Picture"/>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 y="5"/>
          <a:ext cx="160053" cy="129537"/>
        </a:xfrm>
        <a:prstGeom xmlns:a="http://schemas.openxmlformats.org/drawingml/2006/main" prst="rect">
          <avLst/>
        </a:prstGeom>
        <a:ln xmlns:a="http://schemas.openxmlformats.org/drawingml/2006/main">
          <a:prstDash val="solid"/>
        </a:ln>
      </spPr>
    </pic>
    <clientData/>
  </twoCellAnchor>
  <twoCellAnchor editAs="twoCell">
    <from>
      <col>1</col>
      <colOff>1000</colOff>
      <row>7</row>
      <rowOff>500</rowOff>
    </from>
    <to>
      <col>1</col>
      <colOff>187035</colOff>
      <row>7</row>
      <rowOff>195730</rowOff>
    </to>
    <pic>
      <nvPicPr>
        <cNvPr id="2" name="Picture 1" descr="Picture"/>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000" y="500"/>
          <a:ext cx="186035" cy="195230"/>
        </a:xfrm>
        <a:prstGeom xmlns:a="http://schemas.openxmlformats.org/drawingml/2006/main" prst="rect">
          <avLst/>
        </a:prstGeom>
        <a:ln xmlns:a="http://schemas.openxmlformats.org/drawingml/2006/main">
          <a:prstDash val="solid"/>
        </a:ln>
      </spPr>
    </pic>
    <clientData/>
  </twoCellAnchor>
  <twoCellAnchor editAs="twoCell">
    <from>
      <col>1</col>
      <colOff>1000</colOff>
      <row>12</row>
      <rowOff>500</rowOff>
    </from>
    <to>
      <col>1</col>
      <colOff>187035</colOff>
      <row>12</row>
      <rowOff>195730</rowOff>
    </to>
    <pic>
      <nvPicPr>
        <cNvPr id="3" name="Picture 1" descr="Picture"/>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1000" y="500"/>
          <a:ext cx="186035" cy="195230"/>
        </a:xfrm>
        <a:prstGeom xmlns:a="http://schemas.openxmlformats.org/drawingml/2006/main" prst="rect">
          <avLst/>
        </a:prstGeom>
        <a:ln xmlns:a="http://schemas.openxmlformats.org/drawingml/2006/main">
          <a:prstDash val="solid"/>
        </a:ln>
      </spPr>
    </pic>
    <clientData/>
  </twoCellAnchor>
  <twoCellAnchor editAs="twoCell">
    <from>
      <col>1</col>
      <colOff>1500</colOff>
      <row>17</row>
      <rowOff>0</rowOff>
    </from>
    <to>
      <col>1</col>
      <colOff>134132</colOff>
      <row>17</row>
      <rowOff>194310</rowOff>
    </to>
    <pic>
      <nvPicPr>
        <cNvPr id="4" name="Picture 1" descr="Picture"/>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1500" y="0"/>
          <a:ext cx="132633" cy="194310"/>
        </a:xfrm>
        <a:prstGeom xmlns:a="http://schemas.openxmlformats.org/drawingml/2006/main" prst="rect">
          <avLst/>
        </a:prstGeom>
        <a:ln xmlns:a="http://schemas.openxmlformats.org/drawingml/2006/main">
          <a:prstDash val="solid"/>
        </a:ln>
      </spPr>
    </pic>
    <clientData/>
  </twoCellAnchor>
  <twoCellAnchor editAs="twoCell">
    <from>
      <col>1</col>
      <colOff>1500</colOff>
      <row>22</row>
      <rowOff>0</rowOff>
    </from>
    <to>
      <col>2</col>
      <colOff>26527</colOff>
      <row>23</row>
      <rowOff>172720</rowOff>
    </to>
    <pic>
      <nvPicPr>
        <cNvPr id="5" name="Picture 1" descr="Picture"/>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1500" y="0"/>
          <a:ext cx="291792" cy="388620"/>
        </a:xfrm>
        <a:prstGeom xmlns:a="http://schemas.openxmlformats.org/drawingml/2006/main" prst="rect">
          <avLst/>
        </a:prstGeom>
        <a:ln xmlns:a="http://schemas.openxmlformats.org/drawingml/2006/main">
          <a:prstDash val="solid"/>
        </a:ln>
      </spPr>
    </pic>
    <clientData/>
  </twoCellAnchor>
  <twoCellAnchor editAs="twoCell">
    <from>
      <col>6</col>
      <colOff>10</colOff>
      <row>63</row>
      <rowOff>5</rowOff>
    </from>
    <to>
      <col>6</col>
      <colOff>400147</colOff>
      <row>64</row>
      <rowOff>200020</rowOff>
    </to>
    <pic>
      <nvPicPr>
        <cNvPr id="6" name="Picture 1" descr="Picture"/>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10" y="5"/>
          <a:ext cx="400137" cy="400040"/>
        </a:xfrm>
        <a:prstGeom xmlns:a="http://schemas.openxmlformats.org/drawingml/2006/main" prst="rect">
          <avLst/>
        </a:prstGeom>
        <a:ln xmlns:a="http://schemas.openxmlformats.org/drawingml/2006/main">
          <a:prstDash val="solid"/>
        </a:ln>
      </spPr>
    </pic>
    <clientData/>
  </twoCellAnchor>
  <twoCellAnchor editAs="twoCell">
    <from>
      <col>6</col>
      <colOff>10</colOff>
      <row>69</row>
      <rowOff>5</rowOff>
    </from>
    <to>
      <col>6</col>
      <colOff>400147</colOff>
      <row>70</row>
      <rowOff>200020</rowOff>
    </to>
    <pic>
      <nvPicPr>
        <cNvPr id="7" name="Picture 1" descr="Picture"/>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10" y="5"/>
          <a:ext cx="400137" cy="400040"/>
        </a:xfrm>
        <a:prstGeom xmlns:a="http://schemas.openxmlformats.org/drawingml/2006/main" prst="rect">
          <avLst/>
        </a:prstGeom>
        <a:ln xmlns:a="http://schemas.openxmlformats.org/drawingml/2006/main">
          <a:prstDash val="solid"/>
        </a:ln>
      </spPr>
    </pic>
    <clientData/>
  </twoCellAnchor>
  <twoCellAnchor editAs="twoCell">
    <from>
      <col>6</col>
      <colOff>10</colOff>
      <row>75</row>
      <rowOff>5</rowOff>
    </from>
    <to>
      <col>6</col>
      <colOff>400147</colOff>
      <row>76</row>
      <rowOff>200020</rowOff>
    </to>
    <pic>
      <nvPicPr>
        <cNvPr id="8" name="Picture 1" descr="Picture"/>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10" y="5"/>
          <a:ext cx="400137" cy="40004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mercadolibre.com.ar/gestion_de_fotos" TargetMode="External" Id="rId1"/><Relationship Type="http://schemas.openxmlformats.org/officeDocument/2006/relationships/hyperlink" Target="https://www.mercadolibre.com.ar/publicar-masivamente/upload" TargetMode="External" Id="rId2"/><Relationship Type="http://schemas.openxmlformats.org/officeDocument/2006/relationships/hyperlink" Target="https://www.mercadolibre.com.ar/catalogo/explorar/codigos#from=puma" TargetMode="External" Id="rId3"/><Relationship Type="http://schemas.openxmlformats.org/officeDocument/2006/relationships/hyperlink" Target="https://www.mercadolibre.com.ar/gestion_de_fotos" TargetMode="External" Id="rId4"/><Relationship Type="http://schemas.openxmlformats.org/officeDocument/2006/relationships/hyperlink" Target="https://www.mercadolibre.com.ar/ayuda/C-mo-agregar-las-fotos-de-mis-_5124" TargetMode="External" Id="rId5"/><Relationship Type="http://schemas.openxmlformats.org/officeDocument/2006/relationships/hyperlink" Target="https://www.mercadolibre.com.ar/ayuda/variantes-excel_5167" TargetMode="External" Id="rId6"/><Relationship Type="http://schemas.openxmlformats.org/officeDocument/2006/relationships/hyperlink" Target="https://www.mercadolibre.com.ar/gestion_de_fotos" TargetMode="External" Id="rId7"/><Relationship Type="http://schemas.openxmlformats.org/officeDocument/2006/relationships/hyperlink" Target="https://www.mercadolibre.com.ar/gestion_de_fotos" TargetMode="External" Id="rId8"/><Relationship Type="http://schemas.openxmlformats.org/officeDocument/2006/relationships/hyperlink" Target="https://vendedores.mercadolibre.com.ar/nota/requisitos-de-fotos-para-sillones" TargetMode="External" Id="rId9"/><Relationship Type="http://schemas.openxmlformats.org/officeDocument/2006/relationships/drawing" Target="/xl/drawings/drawing1.xml" Id="rId10"/></Relationships>
</file>

<file path=xl/worksheets/_rels/sheet3.xml.rels><Relationships xmlns="http://schemas.openxmlformats.org/package/2006/relationships"><Relationship Type="http://schemas.openxmlformats.org/officeDocument/2006/relationships/hyperlink" Target="https://www.mercadolibre.com.ar/ayuda/31926" TargetMode="External" Id="rId1"/><Relationship Type="http://schemas.openxmlformats.org/officeDocument/2006/relationships/hyperlink" Target="https://www.mercadolibre.com.ar/gestion_de_fotos?from=excel" TargetMode="External" Id="rId2"/><Relationship Type="http://schemas.openxmlformats.org/officeDocument/2006/relationships/hyperlink" Target="https://www.mercadolibre.com.ar/simulador-de-costos" TargetMode="External" Id="rId3"/><Relationship Type="http://schemas.openxmlformats.org/officeDocument/2006/relationships/hyperlink" Target="https://www.mercadolibre.com.ar/catalogo/explorar/codigos#from=puma" TargetMode="External" Id="rId4"/><Relationship Type="http://schemas.openxmlformats.org/officeDocument/2006/relationships/hyperlink" Target="https://vendedores.mercadolibre.com.ar/nota/aprende-a-completar-tu-excel-para-publicar-masivamente" TargetMode="External" Id="rId5"/></Relationships>
</file>

<file path=xl/worksheets/_rels/sheet4.xml.rels><Relationships xmlns="http://schemas.openxmlformats.org/package/2006/relationships"><Relationship Type="http://schemas.openxmlformats.org/officeDocument/2006/relationships/hyperlink" Target="https://www.mercadolibre.com.ar/ayuda/1049" TargetMode="External" Id="rId1"/></Relationships>
</file>

<file path=xl/worksheets/sheet1.xml><?xml version="1.0" encoding="utf-8"?>
<worksheet xmlns="http://schemas.openxmlformats.org/spreadsheetml/2006/main">
  <sheetPr>
    <outlinePr summaryBelow="0" summaryRight="0"/>
    <pageSetUpPr/>
  </sheetPr>
  <dimension ref="A1:AK10001"/>
  <sheetViews>
    <sheetView workbookViewId="0">
      <selection activeCell="A1" sqref="A1"/>
    </sheetView>
  </sheetViews>
  <sheetFormatPr baseColWidth="8" defaultColWidth="12.63" defaultRowHeight="15.75" customHeight="1"/>
  <cols>
    <col width="4" customWidth="1" style="62" min="1" max="1"/>
    <col width="4" customWidth="1" style="62" min="2" max="2"/>
    <col width="23" customWidth="1" style="62" min="4" max="4"/>
    <col width="4" customWidth="1" style="62" min="5" max="5"/>
    <col width="3" customWidth="1" style="62" min="6" max="6"/>
    <col width="6" customWidth="1" style="62" min="7" max="7"/>
    <col width="30" customWidth="1" style="62" min="8" max="8"/>
    <col width="74" customWidth="1" style="62" min="9" max="9"/>
  </cols>
  <sheetData>
    <row r="1" ht="29.25" customHeight="1" s="62">
      <c r="A1" s="4" t="n"/>
      <c r="B1" s="4" t="inlineStr">
        <is>
          <t>Ayudas para completar la planilla</t>
        </is>
      </c>
      <c r="C1" s="63" t="n"/>
      <c r="D1" s="63" t="n"/>
      <c r="E1" s="63" t="n"/>
      <c r="F1" s="63" t="n"/>
      <c r="G1" s="63" t="n"/>
      <c r="H1" s="63" t="n"/>
      <c r="I1" s="63" t="n"/>
      <c r="J1" s="63" t="n"/>
      <c r="K1" s="63" t="n"/>
      <c r="L1" s="63" t="n"/>
      <c r="M1" s="63" t="n"/>
      <c r="N1" s="63" t="n"/>
      <c r="O1" s="63" t="n"/>
      <c r="P1" s="63" t="n"/>
      <c r="Q1" s="63" t="n"/>
      <c r="R1" s="63" t="n"/>
      <c r="S1" s="63" t="n"/>
      <c r="T1" s="63" t="n"/>
      <c r="U1" s="63" t="n"/>
      <c r="V1" s="63" t="n"/>
      <c r="W1" s="63" t="n"/>
    </row>
    <row r="2" ht="20.25" customHeight="1" s="62">
      <c r="A2" s="63" t="n"/>
      <c r="B2" s="5" t="inlineStr">
        <is>
          <t>Publicá varios productos a la vez</t>
        </is>
      </c>
      <c r="C2" s="63" t="n"/>
      <c r="D2" s="63" t="n"/>
      <c r="E2" s="63" t="n"/>
      <c r="F2" s="63" t="n"/>
      <c r="G2" s="63" t="n"/>
      <c r="H2" s="63" t="n"/>
      <c r="I2" s="63" t="n"/>
      <c r="J2" s="63" t="n"/>
      <c r="K2" s="63" t="n"/>
      <c r="L2" s="63" t="n"/>
      <c r="M2" s="63" t="n"/>
      <c r="N2" s="63" t="n"/>
      <c r="O2" s="63" t="n"/>
      <c r="P2" s="63" t="n"/>
      <c r="Q2" s="63" t="n"/>
      <c r="R2" s="63" t="n"/>
      <c r="S2" s="63" t="n"/>
      <c r="T2" s="63" t="n"/>
      <c r="U2" s="63" t="n"/>
      <c r="V2" s="63" t="n"/>
      <c r="W2" s="63" t="n"/>
    </row>
    <row r="3" ht="16.5" customHeight="1" s="62">
      <c r="A3" s="63" t="n"/>
      <c r="B3" s="6" t="inlineStr">
        <is>
          <t>Completá los datos de lo que quieras vender.</t>
        </is>
      </c>
      <c r="C3" s="63" t="n"/>
      <c r="D3" s="63" t="n"/>
      <c r="E3" s="63" t="n"/>
      <c r="F3" s="63" t="n"/>
      <c r="G3" s="63" t="n"/>
      <c r="H3" s="63" t="n"/>
      <c r="I3" s="63" t="n"/>
      <c r="J3" s="63" t="n"/>
      <c r="K3" s="63" t="n"/>
      <c r="L3" s="63" t="n"/>
      <c r="M3" s="63" t="n"/>
      <c r="N3" s="63" t="n"/>
      <c r="O3" s="63" t="n"/>
      <c r="P3" s="63" t="n"/>
      <c r="Q3" s="63" t="n"/>
      <c r="R3" s="63" t="n"/>
      <c r="S3" s="63" t="n"/>
      <c r="T3" s="63" t="n"/>
      <c r="U3" s="63" t="n"/>
      <c r="V3" s="63" t="n"/>
      <c r="W3" s="63" t="n"/>
    </row>
    <row r="4">
      <c r="A4" s="7" t="n"/>
      <c r="B4" s="7" t="n"/>
      <c r="C4" s="7" t="n"/>
      <c r="D4" s="7" t="n"/>
      <c r="E4" s="7" t="n"/>
      <c r="F4" s="8" t="n"/>
      <c r="G4" s="8" t="n"/>
      <c r="H4" s="8" t="n"/>
      <c r="I4" s="8" t="n"/>
      <c r="J4" s="8" t="n"/>
      <c r="K4" s="8" t="n"/>
      <c r="L4" s="8" t="n"/>
      <c r="M4" s="8" t="n"/>
      <c r="N4" s="8" t="n"/>
      <c r="O4" s="8" t="n"/>
      <c r="P4" s="8" t="n"/>
      <c r="Q4" s="8" t="n"/>
      <c r="R4" s="8" t="n"/>
      <c r="S4" s="8" t="n"/>
      <c r="T4" s="8" t="n"/>
      <c r="U4" s="8" t="n"/>
      <c r="V4" s="8" t="n"/>
      <c r="W4" s="1" t="n"/>
    </row>
    <row r="5">
      <c r="A5" s="7" t="n"/>
      <c r="B5" s="7" t="n"/>
      <c r="C5" s="7" t="n"/>
      <c r="D5" s="7" t="n"/>
      <c r="E5" s="7" t="n"/>
      <c r="F5" s="8" t="n"/>
      <c r="G5" s="8" t="n"/>
      <c r="H5" s="8" t="n"/>
      <c r="I5" s="8" t="n"/>
      <c r="J5" s="8" t="n"/>
      <c r="K5" s="8" t="n"/>
      <c r="L5" s="8" t="n"/>
      <c r="M5" s="8" t="n"/>
      <c r="N5" s="8" t="n"/>
      <c r="O5" s="8" t="n"/>
      <c r="P5" s="8" t="n"/>
      <c r="Q5" s="8" t="n"/>
      <c r="R5" s="8" t="n"/>
      <c r="S5" s="8" t="n"/>
      <c r="T5" s="8" t="n"/>
      <c r="U5" s="8" t="n"/>
      <c r="V5" s="8" t="n"/>
      <c r="W5" s="1" t="n"/>
    </row>
    <row r="6" ht="17" customHeight="1" s="62">
      <c r="A6" s="7" t="n"/>
      <c r="B6" s="7" t="n"/>
      <c r="C6" s="9" t="inlineStr">
        <is>
          <t>Colores de las celdas</t>
        </is>
      </c>
      <c r="D6" s="63" t="n"/>
      <c r="E6" s="7" t="n"/>
      <c r="F6" s="8" t="n"/>
      <c r="G6" s="18" t="inlineStr">
        <is>
          <t>1. ¿Cómo está organizada la planilla Excel?</t>
        </is>
      </c>
      <c r="H6" s="63" t="n"/>
      <c r="I6" s="63" t="n"/>
      <c r="J6" s="8" t="n"/>
      <c r="K6" s="8" t="n"/>
      <c r="L6" s="8" t="n"/>
      <c r="M6" s="8" t="n"/>
      <c r="N6" s="8" t="n"/>
      <c r="O6" s="8" t="n"/>
      <c r="P6" s="8" t="n"/>
      <c r="Q6" s="8" t="n"/>
      <c r="R6" s="8" t="n"/>
      <c r="S6" s="8" t="n"/>
      <c r="T6" s="8" t="n"/>
      <c r="U6" s="8" t="n"/>
      <c r="V6" s="8" t="n"/>
      <c r="W6" s="1" t="n"/>
    </row>
    <row r="7">
      <c r="A7" s="7" t="n"/>
      <c r="B7" s="7" t="n"/>
      <c r="C7" s="7" t="n"/>
      <c r="D7" s="7" t="n"/>
      <c r="E7" s="7" t="n"/>
      <c r="F7" s="8" t="n"/>
      <c r="G7" s="8" t="n"/>
      <c r="H7" s="8" t="n"/>
      <c r="I7" s="8" t="n"/>
      <c r="J7" s="8" t="n"/>
      <c r="K7" s="8" t="n"/>
      <c r="L7" s="8" t="n"/>
      <c r="M7" s="8" t="n"/>
      <c r="N7" s="8" t="n"/>
      <c r="O7" s="8" t="n"/>
      <c r="P7" s="8" t="n"/>
      <c r="Q7" s="8" t="n"/>
      <c r="R7" s="8" t="n"/>
      <c r="S7" s="8" t="n"/>
      <c r="T7" s="8" t="n"/>
      <c r="U7" s="8" t="n"/>
      <c r="V7" s="8" t="n"/>
      <c r="W7" s="1" t="n"/>
    </row>
    <row r="8" ht="22" customHeight="1" s="62">
      <c r="A8" s="7" t="n"/>
      <c r="B8" s="7" t="n"/>
      <c r="C8" s="10" t="inlineStr">
        <is>
          <t>Las celdas grises no las tenés que completar, lo vamos a hacer por vos.</t>
        </is>
      </c>
      <c r="D8" s="63" t="n"/>
      <c r="E8" s="7" t="n"/>
      <c r="F8" s="8" t="n"/>
      <c r="G8" s="19" t="inlineStr">
        <is>
          <t>Esta planilla está distribuida por pestañas según las categorías que seleccionaste. Dentro de cada pestaña, vas a encontrar una división por colores según el tipo de información.</t>
        </is>
      </c>
      <c r="H8" s="63" t="n"/>
      <c r="I8" s="63" t="n"/>
      <c r="J8" s="8" t="n"/>
      <c r="K8" s="8" t="n"/>
      <c r="L8" s="8" t="n"/>
      <c r="M8" s="8" t="n"/>
      <c r="N8" s="8" t="n"/>
      <c r="O8" s="8" t="n"/>
      <c r="P8" s="8" t="n"/>
      <c r="Q8" s="8" t="n"/>
      <c r="R8" s="8" t="n"/>
      <c r="S8" s="8" t="n"/>
      <c r="T8" s="8" t="n"/>
      <c r="U8" s="8" t="n"/>
      <c r="V8" s="8" t="n"/>
      <c r="W8" s="1" t="n"/>
    </row>
    <row r="9" ht="17" customHeight="1" s="62">
      <c r="A9" s="7" t="n"/>
      <c r="B9" s="7" t="n"/>
      <c r="C9" s="11" t="inlineStr">
        <is>
          <t>Si publicás usando datos del catálogo, este color marca aquellas celdas que vamos a completar por vos.</t>
        </is>
      </c>
      <c r="D9" s="63" t="n"/>
      <c r="E9" s="7" t="n"/>
      <c r="F9" s="8" t="n"/>
      <c r="G9" s="63" t="n"/>
      <c r="H9" s="63" t="n"/>
      <c r="I9" s="63" t="n"/>
      <c r="J9" s="8" t="n"/>
      <c r="K9" s="8" t="n"/>
      <c r="L9" s="8" t="n"/>
      <c r="M9" s="8" t="n"/>
      <c r="N9" s="8" t="n"/>
      <c r="O9" s="8" t="n"/>
      <c r="P9" s="8" t="n"/>
      <c r="Q9" s="8" t="n"/>
      <c r="R9" s="8" t="n"/>
      <c r="S9" s="8" t="n"/>
      <c r="T9" s="8" t="n"/>
      <c r="U9" s="8" t="n"/>
      <c r="V9" s="8" t="n"/>
      <c r="W9" s="1" t="n"/>
    </row>
    <row r="10" ht="17" customHeight="1" s="62">
      <c r="A10" s="7" t="n"/>
      <c r="B10" s="7" t="n"/>
      <c r="C10" s="63" t="n"/>
      <c r="D10" s="63" t="n"/>
      <c r="E10" s="7" t="n"/>
      <c r="F10" s="8" t="n"/>
      <c r="G10" s="8" t="n"/>
      <c r="H10" s="8" t="n"/>
      <c r="I10" s="8" t="n"/>
      <c r="J10" s="8" t="n"/>
      <c r="K10" s="8" t="n"/>
      <c r="L10" s="8" t="n"/>
      <c r="M10" s="8" t="n"/>
      <c r="N10" s="8" t="n"/>
      <c r="O10" s="8" t="n"/>
      <c r="P10" s="8" t="n"/>
      <c r="Q10" s="8" t="n"/>
      <c r="R10" s="8" t="n"/>
      <c r="S10" s="8" t="n"/>
      <c r="T10" s="8" t="n"/>
      <c r="U10" s="8" t="n"/>
      <c r="V10" s="8" t="n"/>
      <c r="W10" s="1" t="n"/>
    </row>
    <row r="11" customHeight="1" s="62">
      <c r="A11" s="7" t="n"/>
      <c r="B11" s="7" t="n"/>
      <c r="C11" s="7" t="n"/>
      <c r="D11" s="7" t="n"/>
      <c r="E11" s="7" t="n"/>
      <c r="F11" s="8" t="n"/>
      <c r="G11" s="8" t="n"/>
      <c r="H11" s="8" t="n"/>
      <c r="I11" s="8" t="n"/>
      <c r="J11" s="8" t="n"/>
      <c r="K11" s="8" t="n"/>
      <c r="L11" s="8" t="n"/>
      <c r="M11" s="8" t="n"/>
      <c r="N11" s="8" t="n"/>
      <c r="O11" s="8" t="n"/>
      <c r="P11" s="8" t="n"/>
      <c r="Q11" s="8" t="n"/>
      <c r="R11" s="8" t="n"/>
      <c r="S11" s="8" t="n"/>
      <c r="T11" s="8" t="n"/>
      <c r="U11" s="8" t="n"/>
      <c r="V11" s="8" t="n"/>
      <c r="W11" s="1" t="n"/>
    </row>
    <row r="12" ht="22" customHeight="1" s="62">
      <c r="A12" s="7" t="n"/>
      <c r="B12" s="7" t="n"/>
      <c r="C12" s="7" t="n"/>
      <c r="D12" s="7" t="n"/>
      <c r="E12" s="7" t="n"/>
      <c r="F12" s="8" t="n"/>
      <c r="G12" s="20" t="inlineStr">
        <is>
          <t>Creá variantes</t>
        </is>
      </c>
      <c r="H12" s="63" t="n"/>
      <c r="I12" s="19" t="inlineStr">
        <is>
          <t>Variantes, código universal, fotos y stock.</t>
        </is>
      </c>
      <c r="J12" s="8" t="n"/>
      <c r="K12" s="8" t="n"/>
      <c r="L12" s="8" t="n"/>
      <c r="M12" s="8" t="n"/>
      <c r="N12" s="8" t="n"/>
      <c r="O12" s="8" t="n"/>
      <c r="P12" s="8" t="n"/>
      <c r="Q12" s="8" t="n"/>
      <c r="R12" s="8" t="n"/>
      <c r="S12" s="8" t="n"/>
      <c r="T12" s="8" t="n"/>
      <c r="U12" s="8" t="n"/>
      <c r="V12" s="8" t="n"/>
      <c r="W12" s="1" t="n"/>
    </row>
    <row r="13" ht="22" customHeight="1" s="62">
      <c r="A13" s="7" t="n"/>
      <c r="B13" s="7" t="n"/>
      <c r="C13" s="12" t="inlineStr">
        <is>
          <t>Las celdas rojas indican que hay un error o que falta un dato.</t>
        </is>
      </c>
      <c r="D13" s="63" t="n"/>
      <c r="E13" s="7" t="n"/>
      <c r="F13" s="8" t="n"/>
      <c r="G13" s="21" t="inlineStr">
        <is>
          <t>Información del producto</t>
        </is>
      </c>
      <c r="H13" s="63" t="n"/>
      <c r="I13" s="19" t="inlineStr">
        <is>
          <t>Canal de venta, precio, condición y descripción.</t>
        </is>
      </c>
      <c r="J13" s="8" t="n"/>
      <c r="K13" s="8" t="n"/>
      <c r="L13" s="8" t="n"/>
      <c r="M13" s="8" t="n"/>
      <c r="N13" s="8" t="n"/>
      <c r="O13" s="8" t="n"/>
      <c r="P13" s="8" t="n"/>
      <c r="Q13" s="8" t="n"/>
      <c r="R13" s="8" t="n"/>
      <c r="S13" s="8" t="n"/>
      <c r="T13" s="8" t="n"/>
      <c r="U13" s="8" t="n"/>
      <c r="V13" s="8" t="n"/>
      <c r="W13" s="1" t="n"/>
    </row>
    <row r="14" ht="22" customHeight="1" s="62">
      <c r="A14" s="7" t="n"/>
      <c r="B14" s="7" t="n"/>
      <c r="C14" s="13" t="inlineStr">
        <is>
          <t>Revisá la información de ayuda en la parte superior de cada columna para corregir o completar el dato. El color de la celda va a cambiar a blanco cuando lo soluciones.</t>
        </is>
      </c>
      <c r="D14" s="63" t="n"/>
      <c r="E14" s="7" t="n"/>
      <c r="F14" s="8" t="n"/>
      <c r="G14" s="22" t="inlineStr">
        <is>
          <t>Condiciones de venta</t>
        </is>
      </c>
      <c r="H14" s="63" t="n"/>
      <c r="I14" s="19" t="inlineStr">
        <is>
          <t>Tipo de financiación, forma de envío, si tiene garantía, etc.</t>
        </is>
      </c>
      <c r="J14" s="8" t="n"/>
      <c r="K14" s="8" t="n"/>
      <c r="L14" s="8" t="n"/>
      <c r="M14" s="8" t="n"/>
      <c r="N14" s="8" t="n"/>
      <c r="O14" s="8" t="n"/>
      <c r="P14" s="8" t="n"/>
      <c r="Q14" s="8" t="n"/>
      <c r="R14" s="8" t="n"/>
      <c r="S14" s="8" t="n"/>
      <c r="T14" s="8" t="n"/>
      <c r="U14" s="8" t="n"/>
      <c r="V14" s="8" t="n"/>
      <c r="W14" s="1" t="n"/>
    </row>
    <row r="15" ht="22" customHeight="1" s="62">
      <c r="A15" s="7" t="n"/>
      <c r="B15" s="7" t="n"/>
      <c r="C15" s="63" t="n"/>
      <c r="D15" s="63" t="n"/>
      <c r="E15" s="7" t="n"/>
      <c r="F15" s="8" t="n"/>
      <c r="G15" s="23" t="inlineStr">
        <is>
          <t xml:space="preserve">Características del producto </t>
        </is>
      </c>
      <c r="H15" s="63" t="n"/>
      <c r="I15" s="19" t="inlineStr">
        <is>
          <t>Datos complementarios del producto que varían según su categoría.</t>
        </is>
      </c>
      <c r="J15" s="8" t="n"/>
      <c r="K15" s="8" t="n"/>
      <c r="L15" s="8" t="n"/>
      <c r="M15" s="8" t="n"/>
      <c r="N15" s="8" t="n"/>
      <c r="O15" s="8" t="n"/>
      <c r="P15" s="8" t="n"/>
      <c r="Q15" s="8" t="n"/>
      <c r="R15" s="8" t="n"/>
      <c r="S15" s="8" t="n"/>
      <c r="T15" s="8" t="n"/>
      <c r="U15" s="8" t="n"/>
      <c r="V15" s="8" t="n"/>
      <c r="W15" s="1" t="n"/>
    </row>
    <row r="16" ht="22" customHeight="1" s="62">
      <c r="A16" s="7" t="n"/>
      <c r="B16" s="7" t="n"/>
      <c r="C16" s="63" t="n"/>
      <c r="D16" s="63" t="n"/>
      <c r="E16" s="7" t="n"/>
      <c r="F16" s="8" t="n"/>
      <c r="G16" s="8" t="n"/>
      <c r="H16" s="8" t="n"/>
      <c r="I16" s="8" t="n"/>
      <c r="J16" s="8" t="n"/>
      <c r="K16" s="8" t="n"/>
      <c r="L16" s="8" t="n"/>
      <c r="M16" s="8" t="n"/>
      <c r="N16" s="8" t="n"/>
      <c r="O16" s="8" t="n"/>
      <c r="P16" s="8" t="n"/>
      <c r="Q16" s="8" t="n"/>
      <c r="R16" s="8" t="n"/>
      <c r="S16" s="8" t="n"/>
      <c r="T16" s="8" t="n"/>
      <c r="U16" s="8" t="n"/>
      <c r="V16" s="8" t="n"/>
      <c r="W16" s="1" t="n"/>
    </row>
    <row r="17" customHeight="1" s="62">
      <c r="A17" s="7" t="n"/>
      <c r="B17" s="7" t="n"/>
      <c r="C17" s="7" t="n"/>
      <c r="D17" s="7" t="n"/>
      <c r="E17" s="7" t="n"/>
      <c r="F17" s="8" t="n"/>
      <c r="G17" s="8" t="n"/>
      <c r="H17" s="8" t="n"/>
      <c r="I17" s="8" t="n"/>
      <c r="J17" s="8" t="n"/>
      <c r="K17" s="8" t="n"/>
      <c r="L17" s="8" t="n"/>
      <c r="M17" s="8" t="n"/>
      <c r="N17" s="8" t="n"/>
      <c r="O17" s="8" t="n"/>
      <c r="P17" s="8" t="n"/>
      <c r="Q17" s="8" t="n"/>
      <c r="R17" s="8" t="n"/>
      <c r="S17" s="8" t="n"/>
      <c r="T17" s="8" t="n"/>
      <c r="U17" s="8" t="n"/>
      <c r="V17" s="8" t="n"/>
      <c r="W17" s="1" t="n"/>
    </row>
    <row r="18" ht="17" customHeight="1" s="62">
      <c r="A18" s="7" t="n"/>
      <c r="B18" s="7" t="n"/>
      <c r="C18" s="9" t="inlineStr">
        <is>
          <t>Links útiles</t>
        </is>
      </c>
      <c r="D18" s="63" t="n"/>
      <c r="E18" s="7" t="n"/>
      <c r="F18" s="8" t="n"/>
      <c r="G18" s="8" t="n"/>
      <c r="H18" s="8" t="n"/>
      <c r="I18" s="8" t="n"/>
      <c r="J18" s="8" t="n"/>
      <c r="K18" s="8" t="n"/>
      <c r="L18" s="8" t="n"/>
      <c r="M18" s="8" t="n"/>
      <c r="N18" s="8" t="n"/>
      <c r="O18" s="8" t="n"/>
      <c r="P18" s="8" t="n"/>
      <c r="Q18" s="8" t="n"/>
      <c r="R18" s="8" t="n"/>
      <c r="S18" s="8" t="n"/>
      <c r="T18" s="8" t="n"/>
      <c r="U18" s="8" t="n"/>
      <c r="V18" s="8" t="n"/>
      <c r="W18" s="1" t="n"/>
    </row>
    <row r="19" ht="17" customHeight="1" s="62">
      <c r="A19" s="7" t="n"/>
      <c r="B19" s="7" t="n"/>
      <c r="C19" s="14" t="inlineStr">
        <is>
          <t>- Herramienta para crear las URLs de las fotos</t>
        </is>
      </c>
      <c r="D19" s="63" t="n"/>
      <c r="E19" s="7" t="n"/>
      <c r="F19" s="8" t="n"/>
      <c r="G19" s="18" t="inlineStr">
        <is>
          <t>2.¿Cómo completar más rápido la información de tus productos?</t>
        </is>
      </c>
      <c r="H19" s="63" t="n"/>
      <c r="I19" s="63" t="n"/>
      <c r="J19" s="8" t="n"/>
      <c r="K19" s="8" t="n"/>
      <c r="L19" s="8" t="n"/>
      <c r="M19" s="8" t="n"/>
      <c r="N19" s="8" t="n"/>
      <c r="O19" s="8" t="n"/>
      <c r="P19" s="8" t="n"/>
      <c r="Q19" s="8" t="n"/>
      <c r="R19" s="8" t="n"/>
      <c r="S19" s="8" t="n"/>
      <c r="T19" s="8" t="n"/>
      <c r="U19" s="8" t="n"/>
      <c r="V19" s="8" t="n"/>
      <c r="W19" s="1" t="n"/>
    </row>
    <row r="20" ht="22" customHeight="1" s="62">
      <c r="A20" s="7" t="n"/>
      <c r="B20" s="7" t="n"/>
      <c r="C20" s="15" t="inlineStr">
        <is>
          <t>Gestor de fotos</t>
        </is>
      </c>
      <c r="D20" s="63" t="n"/>
      <c r="E20" s="7" t="n"/>
      <c r="F20" s="8" t="n"/>
      <c r="G20" s="8" t="n"/>
      <c r="H20" s="8" t="n"/>
      <c r="I20" s="8" t="n"/>
      <c r="J20" s="8" t="n"/>
      <c r="K20" s="8" t="n"/>
      <c r="L20" s="8" t="n"/>
      <c r="M20" s="8" t="n"/>
      <c r="N20" s="8" t="n"/>
      <c r="O20" s="8" t="n"/>
      <c r="P20" s="8" t="n"/>
      <c r="Q20" s="8" t="n"/>
      <c r="R20" s="8" t="n"/>
      <c r="S20" s="8" t="n"/>
      <c r="T20" s="8" t="n"/>
      <c r="U20" s="8" t="n"/>
      <c r="V20" s="8" t="n"/>
      <c r="W20" s="1" t="n"/>
    </row>
    <row r="21" ht="17" customHeight="1" s="62">
      <c r="A21" s="7" t="n"/>
      <c r="B21" s="7" t="n"/>
      <c r="C21" s="7" t="n"/>
      <c r="D21" s="7" t="n"/>
      <c r="E21" s="7" t="n"/>
      <c r="F21" s="8" t="n"/>
      <c r="G21" s="19" t="inlineStr">
        <is>
          <t>Si encontrás tu producto en el catálogo no tenés que completar las celdas que marcamos en gris.</t>
        </is>
      </c>
      <c r="H21" s="63" t="n"/>
      <c r="I21" s="63" t="n"/>
      <c r="J21" s="8" t="n"/>
      <c r="K21" s="8" t="n"/>
      <c r="L21" s="8" t="n"/>
      <c r="M21" s="8" t="n"/>
      <c r="N21" s="8" t="n"/>
      <c r="O21" s="8" t="n"/>
      <c r="P21" s="8" t="n"/>
      <c r="Q21" s="8" t="n"/>
      <c r="R21" s="8" t="n"/>
      <c r="S21" s="8" t="n"/>
      <c r="T21" s="8" t="n"/>
      <c r="U21" s="8" t="n"/>
      <c r="V21" s="8" t="n"/>
      <c r="W21" s="1" t="n"/>
    </row>
    <row r="22" ht="17" customHeight="1" s="62">
      <c r="A22" s="7" t="n"/>
      <c r="B22" s="7" t="n"/>
      <c r="C22" s="9" t="inlineStr">
        <is>
          <t>Subir planilla</t>
        </is>
      </c>
      <c r="D22" s="63" t="n"/>
      <c r="E22" s="7" t="n"/>
      <c r="F22" s="8" t="n"/>
      <c r="G22" s="8" t="n"/>
      <c r="H22" s="8" t="n"/>
      <c r="I22" s="8" t="n"/>
      <c r="J22" s="8" t="n"/>
      <c r="K22" s="8" t="n"/>
      <c r="L22" s="8" t="n"/>
      <c r="M22" s="8" t="n"/>
      <c r="N22" s="8" t="n"/>
      <c r="O22" s="8" t="n"/>
      <c r="P22" s="8" t="n"/>
      <c r="Q22" s="8" t="n"/>
      <c r="R22" s="8" t="n"/>
      <c r="S22" s="8" t="n"/>
      <c r="T22" s="8" t="n"/>
      <c r="U22" s="8" t="n"/>
      <c r="V22" s="8" t="n"/>
      <c r="W22" s="1" t="n"/>
    </row>
    <row r="23" ht="17" customHeight="1" s="62">
      <c r="A23" s="7" t="n"/>
      <c r="B23" s="7" t="n"/>
      <c r="C23" s="16" t="inlineStr">
        <is>
          <t>Cuando termines, acordate de guardar y subir la planilla Excel.</t>
        </is>
      </c>
      <c r="D23" s="63" t="n"/>
      <c r="E23" s="7" t="n"/>
      <c r="F23" s="8" t="n"/>
      <c r="G23" s="8" t="inlineStr">
        <is>
          <t>Si al configurar tu planilla buscaste tus productos por código universal o número de pieza y los agregaste, ya estás usando información del catálogo y solo debes completar las celdas que están en blanco.</t>
        </is>
      </c>
      <c r="H23" s="63" t="n"/>
      <c r="I23" s="63" t="n"/>
      <c r="J23" s="8" t="n"/>
      <c r="K23" s="8" t="n"/>
      <c r="L23" s="8" t="n"/>
      <c r="M23" s="8" t="n"/>
      <c r="N23" s="8" t="n"/>
      <c r="O23" s="8" t="n"/>
      <c r="P23" s="8" t="n"/>
      <c r="Q23" s="8" t="n"/>
      <c r="R23" s="8" t="n"/>
      <c r="S23" s="8" t="n"/>
      <c r="T23" s="8" t="n"/>
      <c r="U23" s="8" t="n"/>
      <c r="V23" s="8" t="n"/>
      <c r="W23" s="1" t="n"/>
    </row>
    <row r="24" ht="17" customHeight="1" s="62">
      <c r="A24" s="7" t="n"/>
      <c r="B24" s="7" t="n"/>
      <c r="C24" s="63" t="n"/>
      <c r="D24" s="63" t="n"/>
      <c r="E24" s="7" t="n"/>
      <c r="F24" s="8" t="n"/>
      <c r="G24" s="63" t="n"/>
      <c r="H24" s="63" t="n"/>
      <c r="I24" s="63" t="n"/>
      <c r="J24" s="8" t="n"/>
      <c r="K24" s="8" t="n"/>
      <c r="L24" s="8" t="n"/>
      <c r="M24" s="8" t="n"/>
      <c r="N24" s="8" t="n"/>
      <c r="O24" s="8" t="n"/>
      <c r="P24" s="8" t="n"/>
      <c r="Q24" s="8" t="n"/>
      <c r="R24" s="8" t="n"/>
      <c r="S24" s="8" t="n"/>
      <c r="T24" s="8" t="n"/>
      <c r="U24" s="8" t="n"/>
      <c r="V24" s="8" t="n"/>
      <c r="W24" s="1" t="n"/>
    </row>
    <row r="25" ht="17" customHeight="1" s="62">
      <c r="A25" s="7" t="n"/>
      <c r="B25" s="7" t="n"/>
      <c r="C25" s="7" t="n"/>
      <c r="D25" s="7" t="n"/>
      <c r="E25" s="7" t="n"/>
      <c r="F25" s="8" t="n"/>
      <c r="G25" s="24" t="inlineStr">
        <is>
          <t>Si no lo hiciste antes de descargar la planilla:</t>
        </is>
      </c>
      <c r="H25" s="63" t="n"/>
      <c r="I25" s="63" t="n"/>
      <c r="J25" s="8" t="n"/>
      <c r="K25" s="8" t="n"/>
      <c r="L25" s="8" t="n"/>
      <c r="M25" s="8" t="n"/>
      <c r="N25" s="8" t="n"/>
      <c r="O25" s="8" t="n"/>
      <c r="P25" s="8" t="n"/>
      <c r="Q25" s="8" t="n"/>
      <c r="R25" s="8" t="n"/>
      <c r="S25" s="8" t="n"/>
      <c r="T25" s="8" t="n"/>
      <c r="U25" s="8" t="n"/>
      <c r="V25" s="8" t="n"/>
      <c r="W25" s="1" t="n"/>
    </row>
    <row r="26" ht="17" customHeight="1" s="62">
      <c r="A26" s="7" t="n"/>
      <c r="B26" s="7" t="n"/>
      <c r="C26" s="16" t="inlineStr">
        <is>
          <t>Hacelo antes del 6 de octubre</t>
        </is>
      </c>
      <c r="D26" s="63" t="n"/>
      <c r="E26" s="7" t="n"/>
      <c r="F26" s="8" t="n"/>
      <c r="G26" s="8" t="n"/>
      <c r="H26" s="8" t="n"/>
      <c r="I26" s="8" t="n"/>
      <c r="J26" s="8" t="n"/>
      <c r="K26" s="8" t="n"/>
      <c r="L26" s="8" t="n"/>
      <c r="M26" s="8" t="n"/>
      <c r="N26" s="8" t="n"/>
      <c r="O26" s="8" t="n"/>
      <c r="P26" s="8" t="n"/>
      <c r="Q26" s="8" t="n"/>
      <c r="R26" s="8" t="n"/>
      <c r="S26" s="8" t="n"/>
      <c r="T26" s="8" t="n"/>
      <c r="U26" s="8" t="n"/>
      <c r="V26" s="8" t="n"/>
      <c r="W26" s="1" t="n"/>
    </row>
    <row r="27" ht="17" customHeight="1" s="62">
      <c r="A27" s="7" t="n"/>
      <c r="B27" s="7" t="n"/>
      <c r="C27" s="17" t="inlineStr">
        <is>
          <t>Subir planilla.</t>
        </is>
      </c>
      <c r="D27" s="63" t="n"/>
      <c r="E27" s="7" t="n"/>
      <c r="F27" s="8" t="n"/>
      <c r="G27" s="8" t="inlineStr">
        <is>
          <t>1. Buscá los productos que querés vender en el buscador de productos de catálogo.</t>
        </is>
      </c>
      <c r="H27" s="63" t="n"/>
      <c r="I27" s="63" t="n"/>
      <c r="J27" s="8" t="n"/>
      <c r="K27" s="8" t="n"/>
      <c r="L27" s="8" t="n"/>
      <c r="M27" s="8" t="n"/>
      <c r="N27" s="8" t="n"/>
      <c r="O27" s="8" t="n"/>
      <c r="P27" s="8" t="n"/>
      <c r="Q27" s="8" t="n"/>
      <c r="R27" s="8" t="n"/>
      <c r="S27" s="8" t="n"/>
      <c r="T27" s="8" t="n"/>
      <c r="U27" s="8" t="n"/>
      <c r="V27" s="8" t="n"/>
      <c r="W27" s="1" t="n"/>
    </row>
    <row r="28" ht="17" customHeight="1" s="62">
      <c r="A28" s="7" t="n"/>
      <c r="B28" s="7" t="n"/>
      <c r="C28" s="7" t="n"/>
      <c r="D28" s="7" t="n"/>
      <c r="E28" s="7" t="n"/>
      <c r="F28" s="8" t="n"/>
      <c r="G28" s="19" t="inlineStr">
        <is>
          <t>2. Copiá el código de cada uno de los productos.</t>
        </is>
      </c>
      <c r="H28" s="63" t="n"/>
      <c r="I28" s="63" t="n"/>
      <c r="J28" s="8" t="n"/>
      <c r="K28" s="8" t="n"/>
      <c r="L28" s="8" t="n"/>
      <c r="M28" s="8" t="n"/>
      <c r="N28" s="8" t="n"/>
      <c r="O28" s="8" t="n"/>
      <c r="P28" s="8" t="n"/>
      <c r="Q28" s="8" t="n"/>
      <c r="R28" s="8" t="n"/>
      <c r="S28" s="8" t="n"/>
      <c r="T28" s="8" t="n"/>
      <c r="U28" s="8" t="n"/>
      <c r="V28" s="8" t="n"/>
      <c r="W28" s="1" t="n"/>
    </row>
    <row r="29" ht="25" customHeight="1" s="62">
      <c r="A29" s="7" t="n"/>
      <c r="B29" s="7" t="n"/>
      <c r="C29" s="7" t="n"/>
      <c r="D29" s="7" t="n"/>
      <c r="E29" s="7" t="n"/>
      <c r="F29" s="8" t="n"/>
      <c r="G29" s="19" t="inlineStr">
        <is>
          <t>3. Pegalos en la columna "Código de catálogo ML" y varios datos de la publicación se van a completar automáticamente cuando subas esta planilla.</t>
        </is>
      </c>
      <c r="H29" s="63" t="n"/>
      <c r="I29" s="63" t="n"/>
      <c r="J29" s="8" t="n"/>
      <c r="K29" s="8" t="n"/>
      <c r="L29" s="8" t="n"/>
      <c r="M29" s="8" t="n"/>
      <c r="N29" s="8" t="n"/>
      <c r="O29" s="8" t="n"/>
      <c r="P29" s="8" t="n"/>
      <c r="Q29" s="8" t="n"/>
      <c r="R29" s="8" t="n"/>
      <c r="S29" s="8" t="n"/>
      <c r="T29" s="8" t="n"/>
      <c r="U29" s="8" t="n"/>
      <c r="V29" s="8" t="n"/>
      <c r="W29" s="1" t="n"/>
    </row>
    <row r="30">
      <c r="A30" s="7" t="n"/>
      <c r="B30" s="7" t="n"/>
      <c r="C30" s="7" t="n"/>
      <c r="D30" s="7" t="n"/>
      <c r="E30" s="7" t="n"/>
      <c r="F30" s="8" t="n"/>
      <c r="G30" s="8" t="n"/>
      <c r="H30" s="8" t="n"/>
      <c r="I30" s="8" t="n"/>
      <c r="J30" s="8" t="n"/>
      <c r="K30" s="8" t="n"/>
      <c r="L30" s="8" t="n"/>
      <c r="M30" s="8" t="n"/>
      <c r="N30" s="8" t="n"/>
      <c r="O30" s="8" t="n"/>
      <c r="P30" s="8" t="n"/>
      <c r="Q30" s="8" t="n"/>
      <c r="R30" s="8" t="n"/>
      <c r="S30" s="8" t="n"/>
      <c r="T30" s="8" t="n"/>
      <c r="U30" s="8" t="n"/>
      <c r="V30" s="8" t="n"/>
      <c r="W30" s="1" t="n"/>
    </row>
    <row r="31" ht="17" customHeight="1" s="62">
      <c r="A31" s="7" t="n"/>
      <c r="B31" s="7" t="n"/>
      <c r="C31" s="7" t="n"/>
      <c r="D31" s="7" t="n"/>
      <c r="E31" s="7" t="n"/>
      <c r="F31" s="8" t="n"/>
      <c r="G31" s="24" t="inlineStr">
        <is>
          <t>Si alguno de tus productos no está en el catálogo</t>
        </is>
      </c>
      <c r="H31" s="63" t="n"/>
      <c r="I31" s="63" t="n"/>
      <c r="J31" s="8" t="n"/>
      <c r="K31" s="8" t="n"/>
      <c r="L31" s="8" t="n"/>
      <c r="M31" s="8" t="n"/>
      <c r="N31" s="8" t="n"/>
      <c r="O31" s="8" t="n"/>
      <c r="P31" s="8" t="n"/>
      <c r="Q31" s="8" t="n"/>
      <c r="R31" s="8" t="n"/>
      <c r="S31" s="8" t="n"/>
      <c r="T31" s="8" t="n"/>
      <c r="U31" s="8" t="n"/>
      <c r="V31" s="8" t="n"/>
      <c r="W31" s="1" t="n"/>
    </row>
    <row r="32" ht="17" customHeight="1" s="62">
      <c r="A32" s="7" t="n"/>
      <c r="B32" s="7" t="n"/>
      <c r="C32" s="7" t="n"/>
      <c r="D32" s="7" t="n"/>
      <c r="E32" s="7" t="n"/>
      <c r="F32" s="8" t="n"/>
      <c r="G32" s="19" t="inlineStr">
        <is>
          <t>completá manualmente todos los datos de la planilla marcados con "Obligatorio".</t>
        </is>
      </c>
      <c r="H32" s="63" t="n"/>
      <c r="I32" s="63" t="n"/>
      <c r="J32" s="8" t="n"/>
      <c r="K32" s="8" t="n"/>
      <c r="L32" s="8" t="n"/>
      <c r="M32" s="8" t="n"/>
      <c r="N32" s="8" t="n"/>
      <c r="O32" s="8" t="n"/>
      <c r="P32" s="8" t="n"/>
      <c r="Q32" s="8" t="n"/>
      <c r="R32" s="8" t="n"/>
      <c r="S32" s="8" t="n"/>
      <c r="T32" s="8" t="n"/>
      <c r="U32" s="8" t="n"/>
      <c r="V32" s="8" t="n"/>
      <c r="W32" s="1" t="n"/>
    </row>
    <row r="33">
      <c r="A33" s="7" t="n"/>
      <c r="B33" s="7" t="n"/>
      <c r="C33" s="7" t="n"/>
      <c r="D33" s="7" t="n"/>
      <c r="E33" s="7" t="n"/>
      <c r="F33" s="8" t="n"/>
      <c r="G33" s="8" t="n"/>
      <c r="H33" s="8" t="n"/>
      <c r="I33" s="8" t="n"/>
      <c r="J33" s="8" t="n"/>
      <c r="K33" s="8" t="n"/>
      <c r="L33" s="8" t="n"/>
      <c r="M33" s="8" t="n"/>
      <c r="N33" s="8" t="n"/>
      <c r="O33" s="8" t="n"/>
      <c r="P33" s="8" t="n"/>
      <c r="Q33" s="8" t="n"/>
      <c r="R33" s="8" t="n"/>
      <c r="S33" s="8" t="n"/>
      <c r="T33" s="8" t="n"/>
      <c r="U33" s="8" t="n"/>
      <c r="V33" s="8" t="n"/>
      <c r="W33" s="1" t="n"/>
    </row>
    <row r="34" ht="17" customHeight="1" s="62">
      <c r="A34" s="7" t="n"/>
      <c r="B34" s="7" t="n"/>
      <c r="C34" s="7" t="n"/>
      <c r="D34" s="7" t="n"/>
      <c r="E34" s="7" t="n"/>
      <c r="F34" s="8" t="n"/>
      <c r="G34" s="18" t="inlineStr">
        <is>
          <t>3. ¿Cómo agregar las fotos de mis productos?</t>
        </is>
      </c>
      <c r="H34" s="63" t="n"/>
      <c r="I34" s="63" t="n"/>
      <c r="J34" s="8" t="n"/>
      <c r="K34" s="8" t="n"/>
      <c r="L34" s="8" t="n"/>
      <c r="M34" s="8" t="n"/>
      <c r="N34" s="8" t="n"/>
      <c r="O34" s="8" t="n"/>
      <c r="P34" s="8" t="n"/>
      <c r="Q34" s="8" t="n"/>
      <c r="R34" s="8" t="n"/>
      <c r="S34" s="8" t="n"/>
      <c r="T34" s="8" t="n"/>
      <c r="U34" s="8" t="n"/>
      <c r="V34" s="8" t="n"/>
      <c r="W34" s="1" t="n"/>
    </row>
    <row r="35">
      <c r="A35" s="7" t="n"/>
      <c r="B35" s="7" t="n"/>
      <c r="C35" s="7" t="n"/>
      <c r="D35" s="7" t="n"/>
      <c r="E35" s="7" t="n"/>
      <c r="F35" s="8" t="n"/>
      <c r="G35" s="8" t="n"/>
      <c r="H35" s="8" t="n"/>
      <c r="I35" s="8" t="n"/>
      <c r="J35" s="8" t="n"/>
      <c r="K35" s="8" t="n"/>
      <c r="L35" s="8" t="n"/>
      <c r="M35" s="8" t="n"/>
      <c r="N35" s="8" t="n"/>
      <c r="O35" s="8" t="n"/>
      <c r="P35" s="8" t="n"/>
      <c r="Q35" s="8" t="n"/>
      <c r="R35" s="8" t="n"/>
      <c r="S35" s="8" t="n"/>
      <c r="T35" s="8" t="n"/>
      <c r="U35" s="8" t="n"/>
      <c r="V35" s="8" t="n"/>
      <c r="W35" s="1" t="n"/>
    </row>
    <row r="36" ht="17" customHeight="1" s="62">
      <c r="A36" s="7" t="n"/>
      <c r="B36" s="7" t="n"/>
      <c r="C36" s="7" t="n"/>
      <c r="D36" s="7" t="n"/>
      <c r="E36" s="7" t="n"/>
      <c r="F36" s="8" t="n"/>
      <c r="G36" s="8" t="inlineStr">
        <is>
          <t>La columna "Fotos" es Obligatoria para tus publicaciones, por eso desde el "Gestor de fotos" vas a poder asociarlas siguiendo estos pasos:</t>
        </is>
      </c>
      <c r="H36" s="63" t="n"/>
      <c r="I36" s="63" t="n"/>
      <c r="J36" s="8" t="n"/>
      <c r="K36" s="8" t="n"/>
      <c r="L36" s="8" t="n"/>
      <c r="M36" s="8" t="n"/>
      <c r="N36" s="8" t="n"/>
      <c r="O36" s="8" t="n"/>
      <c r="P36" s="8" t="n"/>
      <c r="Q36" s="8" t="n"/>
      <c r="R36" s="8" t="n"/>
      <c r="S36" s="8" t="n"/>
      <c r="T36" s="8" t="n"/>
      <c r="U36" s="8" t="n"/>
      <c r="V36" s="8" t="n"/>
      <c r="W36" s="1" t="n"/>
    </row>
    <row r="37">
      <c r="A37" s="7" t="n"/>
      <c r="B37" s="7" t="n"/>
      <c r="C37" s="7" t="n"/>
      <c r="D37" s="7" t="n"/>
      <c r="E37" s="7" t="n"/>
      <c r="F37" s="8" t="n"/>
      <c r="G37" s="8" t="n"/>
      <c r="H37" s="8" t="n"/>
      <c r="I37" s="8" t="n"/>
      <c r="J37" s="8" t="n"/>
      <c r="K37" s="8" t="n"/>
      <c r="L37" s="8" t="n"/>
      <c r="M37" s="8" t="n"/>
      <c r="N37" s="8" t="n"/>
      <c r="O37" s="8" t="n"/>
      <c r="P37" s="8" t="n"/>
      <c r="Q37" s="8" t="n"/>
      <c r="R37" s="8" t="n"/>
      <c r="S37" s="8" t="n"/>
      <c r="T37" s="8" t="n"/>
      <c r="U37" s="8" t="n"/>
      <c r="V37" s="8" t="n"/>
      <c r="W37" s="1" t="n"/>
    </row>
    <row r="38" ht="17" customHeight="1" s="62">
      <c r="A38" s="7" t="n"/>
      <c r="B38" s="7" t="n"/>
      <c r="C38" s="7" t="n"/>
      <c r="D38" s="7" t="n"/>
      <c r="E38" s="7" t="n"/>
      <c r="F38" s="8" t="n"/>
      <c r="G38" s="8" t="inlineStr">
        <is>
          <t>1. Ingresá al "Gestor de fotos" desde la columna "Fotos".</t>
        </is>
      </c>
      <c r="H38" s="63" t="n"/>
      <c r="I38" s="63" t="n"/>
      <c r="J38" s="8" t="n"/>
      <c r="K38" s="8" t="n"/>
      <c r="L38" s="8" t="n"/>
      <c r="M38" s="8" t="n"/>
      <c r="N38" s="8" t="n"/>
      <c r="O38" s="8" t="n"/>
      <c r="P38" s="8" t="n"/>
      <c r="Q38" s="8" t="n"/>
      <c r="R38" s="8" t="n"/>
      <c r="S38" s="8" t="n"/>
      <c r="T38" s="8" t="n"/>
      <c r="U38" s="8" t="n"/>
      <c r="V38" s="8" t="n"/>
      <c r="W38" s="1" t="n"/>
    </row>
    <row r="39" ht="17" customHeight="1" s="62">
      <c r="A39" s="7" t="n"/>
      <c r="B39" s="7" t="n"/>
      <c r="C39" s="7" t="n"/>
      <c r="D39" s="7" t="n"/>
      <c r="E39" s="7" t="n"/>
      <c r="F39" s="8" t="n"/>
      <c r="G39" s="8" t="inlineStr">
        <is>
          <t>2. Presioná en "+ Crear grupo de fotos", asignale un nombre y confirmá la creación.</t>
        </is>
      </c>
      <c r="H39" s="63" t="n"/>
      <c r="I39" s="63" t="n"/>
      <c r="J39" s="8" t="n"/>
      <c r="K39" s="8" t="n"/>
      <c r="L39" s="8" t="n"/>
      <c r="M39" s="8" t="n"/>
      <c r="N39" s="8" t="n"/>
      <c r="O39" s="8" t="n"/>
      <c r="P39" s="8" t="n"/>
      <c r="Q39" s="8" t="n"/>
      <c r="R39" s="8" t="n"/>
      <c r="S39" s="8" t="n"/>
      <c r="T39" s="8" t="n"/>
      <c r="U39" s="8" t="n"/>
      <c r="V39" s="8" t="n"/>
      <c r="W39" s="1" t="n"/>
    </row>
    <row r="40" ht="17" customHeight="1" s="62">
      <c r="A40" s="7" t="n"/>
      <c r="B40" s="7" t="n"/>
      <c r="C40" s="7" t="n"/>
      <c r="D40" s="7" t="n"/>
      <c r="E40" s="7" t="n"/>
      <c r="F40" s="8" t="n"/>
      <c r="G40" s="25" t="inlineStr">
        <is>
          <t>3. Agregá o arrastrá las fotos que querés asociar a tu publicación.</t>
        </is>
      </c>
      <c r="H40" s="63" t="n"/>
      <c r="I40" s="63" t="n"/>
      <c r="J40" s="8" t="n"/>
      <c r="K40" s="8" t="n"/>
      <c r="L40" s="8" t="n"/>
      <c r="M40" s="8" t="n"/>
      <c r="N40" s="8" t="n"/>
      <c r="O40" s="8" t="n"/>
      <c r="P40" s="8" t="n"/>
      <c r="Q40" s="8" t="n"/>
      <c r="R40" s="8" t="n"/>
      <c r="S40" s="8" t="n"/>
      <c r="T40" s="8" t="n"/>
      <c r="U40" s="8" t="n"/>
      <c r="V40" s="8" t="n"/>
      <c r="W40" s="1" t="n"/>
    </row>
    <row r="41" ht="17" customHeight="1" s="62">
      <c r="A41" s="7" t="n"/>
      <c r="B41" s="7" t="n"/>
      <c r="C41" s="7" t="n"/>
      <c r="D41" s="7" t="n"/>
      <c r="E41" s="7" t="n"/>
      <c r="F41" s="8" t="n"/>
      <c r="G41" s="8" t="inlineStr">
        <is>
          <t>4. Para terminar, presioná en "Copiar URLs" y pegá directamente en tu planilla Excel, en el campo de fotos de tu producto.</t>
        </is>
      </c>
      <c r="H41" s="63" t="n"/>
      <c r="I41" s="63" t="n"/>
      <c r="J41" s="8" t="n"/>
      <c r="K41" s="8" t="n"/>
      <c r="L41" s="8" t="n"/>
      <c r="M41" s="8" t="n"/>
      <c r="N41" s="8" t="n"/>
      <c r="O41" s="8" t="n"/>
      <c r="P41" s="8" t="n"/>
      <c r="Q41" s="8" t="n"/>
      <c r="R41" s="8" t="n"/>
      <c r="S41" s="8" t="n"/>
      <c r="T41" s="8" t="n"/>
      <c r="U41" s="8" t="n"/>
      <c r="V41" s="8" t="n"/>
      <c r="W41" s="1" t="n"/>
    </row>
    <row r="42">
      <c r="A42" s="7" t="n"/>
      <c r="B42" s="7" t="n"/>
      <c r="C42" s="7" t="n"/>
      <c r="D42" s="7" t="n"/>
      <c r="E42" s="7" t="n"/>
      <c r="F42" s="8" t="n"/>
      <c r="G42" s="8" t="n"/>
      <c r="H42" s="8" t="n"/>
      <c r="I42" s="8" t="n"/>
      <c r="J42" s="8" t="n"/>
      <c r="K42" s="8" t="n"/>
      <c r="L42" s="8" t="n"/>
      <c r="M42" s="8" t="n"/>
      <c r="N42" s="8" t="n"/>
      <c r="O42" s="8" t="n"/>
      <c r="P42" s="8" t="n"/>
      <c r="Q42" s="8" t="n"/>
      <c r="R42" s="8" t="n"/>
      <c r="S42" s="8" t="n"/>
      <c r="T42" s="8" t="n"/>
      <c r="U42" s="8" t="n"/>
      <c r="V42" s="8" t="n"/>
      <c r="W42" s="1" t="n"/>
    </row>
    <row r="43" ht="17" customHeight="1" s="62">
      <c r="A43" s="7" t="n"/>
      <c r="B43" s="7" t="n"/>
      <c r="C43" s="7" t="n"/>
      <c r="D43" s="7" t="n"/>
      <c r="E43" s="7" t="n"/>
      <c r="F43" s="8" t="n"/>
      <c r="G43" s="26" t="inlineStr">
        <is>
          <t>Visitá el Gestor de fotos</t>
        </is>
      </c>
      <c r="H43" s="63" t="n"/>
      <c r="I43" s="63" t="n"/>
      <c r="J43" s="8" t="n"/>
      <c r="K43" s="8" t="n"/>
      <c r="L43" s="8" t="n"/>
      <c r="M43" s="8" t="n"/>
      <c r="N43" s="8" t="n"/>
      <c r="O43" s="8" t="n"/>
      <c r="P43" s="8" t="n"/>
      <c r="Q43" s="8" t="n"/>
      <c r="R43" s="8" t="n"/>
      <c r="S43" s="8" t="n"/>
      <c r="T43" s="8" t="n"/>
      <c r="U43" s="8" t="n"/>
      <c r="V43" s="8" t="n"/>
      <c r="W43" s="1" t="n"/>
    </row>
    <row r="44">
      <c r="A44" s="7" t="n"/>
      <c r="B44" s="7" t="n"/>
      <c r="C44" s="7" t="n"/>
      <c r="D44" s="7" t="n"/>
      <c r="E44" s="7" t="n"/>
      <c r="F44" s="8" t="n"/>
      <c r="G44" s="8" t="n"/>
      <c r="H44" s="8" t="n"/>
      <c r="I44" s="8" t="n"/>
      <c r="J44" s="8" t="n"/>
      <c r="K44" s="8" t="n"/>
      <c r="L44" s="8" t="n"/>
      <c r="M44" s="8" t="n"/>
      <c r="N44" s="8" t="n"/>
      <c r="O44" s="8" t="n"/>
      <c r="P44" s="8" t="n"/>
      <c r="Q44" s="8" t="n"/>
      <c r="R44" s="8" t="n"/>
      <c r="S44" s="8" t="n"/>
      <c r="T44" s="8" t="n"/>
      <c r="U44" s="8" t="n"/>
      <c r="V44" s="8" t="n"/>
      <c r="W44" s="1" t="n"/>
    </row>
    <row r="45" ht="17" customHeight="1" s="62">
      <c r="A45" s="7" t="n"/>
      <c r="B45" s="7" t="n"/>
      <c r="C45" s="7" t="n"/>
      <c r="D45" s="7" t="n"/>
      <c r="E45" s="7" t="n"/>
      <c r="F45" s="8" t="n"/>
      <c r="G45" s="8" t="inlineStr">
        <is>
          <t>Tenés 2 días para pegar la URL en tu planilla y cargarla, y las tenés que separar por coma. Recordá que para cada producto tenés que crear un grupo de fotos</t>
        </is>
      </c>
      <c r="H45" s="63" t="n"/>
      <c r="I45" s="63" t="n"/>
      <c r="J45" s="8" t="n"/>
      <c r="K45" s="8" t="n"/>
      <c r="L45" s="8" t="n"/>
      <c r="M45" s="8" t="n"/>
      <c r="N45" s="8" t="n"/>
      <c r="O45" s="8" t="n"/>
      <c r="P45" s="8" t="n"/>
      <c r="Q45" s="8" t="n"/>
      <c r="R45" s="8" t="n"/>
      <c r="S45" s="8" t="n"/>
      <c r="T45" s="8" t="n"/>
      <c r="U45" s="8" t="n"/>
      <c r="V45" s="8" t="n"/>
      <c r="W45" s="1" t="n"/>
    </row>
    <row r="46" ht="17" customHeight="1" s="62">
      <c r="A46" s="7" t="n"/>
      <c r="B46" s="7" t="n"/>
      <c r="C46" s="7" t="n"/>
      <c r="D46" s="7" t="n"/>
      <c r="E46" s="7" t="n"/>
      <c r="F46" s="8" t="n"/>
      <c r="G46" s="63" t="n"/>
      <c r="H46" s="63" t="n"/>
      <c r="I46" s="63" t="n"/>
      <c r="J46" s="8" t="n"/>
      <c r="K46" s="8" t="n"/>
      <c r="L46" s="8" t="n"/>
      <c r="M46" s="8" t="n"/>
      <c r="N46" s="8" t="n"/>
      <c r="O46" s="8" t="n"/>
      <c r="P46" s="8" t="n"/>
      <c r="Q46" s="8" t="n"/>
      <c r="R46" s="8" t="n"/>
      <c r="S46" s="8" t="n"/>
      <c r="T46" s="8" t="n"/>
      <c r="U46" s="8" t="n"/>
      <c r="V46" s="8" t="n"/>
      <c r="W46" s="1" t="n"/>
    </row>
    <row r="47">
      <c r="A47" s="7" t="n"/>
      <c r="B47" s="7" t="n"/>
      <c r="C47" s="7" t="n"/>
      <c r="D47" s="7" t="n"/>
      <c r="E47" s="7" t="n"/>
      <c r="F47" s="8" t="n"/>
      <c r="G47" s="8" t="n"/>
      <c r="H47" s="8" t="n"/>
      <c r="I47" s="8" t="n"/>
      <c r="J47" s="8" t="n"/>
      <c r="K47" s="8" t="n"/>
      <c r="L47" s="8" t="n"/>
      <c r="M47" s="8" t="n"/>
      <c r="N47" s="8" t="n"/>
      <c r="O47" s="8" t="n"/>
      <c r="P47" s="8" t="n"/>
      <c r="Q47" s="8" t="n"/>
      <c r="R47" s="8" t="n"/>
      <c r="S47" s="8" t="n"/>
      <c r="T47" s="8" t="n"/>
      <c r="U47" s="8" t="n"/>
      <c r="V47" s="8" t="n"/>
      <c r="W47" s="1" t="n"/>
    </row>
    <row r="48" ht="17" customHeight="1" s="62">
      <c r="A48" s="7" t="n"/>
      <c r="B48" s="7" t="n"/>
      <c r="C48" s="7" t="n"/>
      <c r="D48" s="7" t="n"/>
      <c r="E48" s="7" t="n"/>
      <c r="F48" s="8" t="n"/>
      <c r="G48" s="26" t="inlineStr">
        <is>
          <t>Conocé más sobre la gestión de tus fotos</t>
        </is>
      </c>
      <c r="H48" s="63" t="n"/>
      <c r="I48" s="63" t="n"/>
      <c r="J48" s="8" t="n"/>
      <c r="K48" s="8" t="n"/>
      <c r="L48" s="8" t="n"/>
      <c r="M48" s="8" t="n"/>
      <c r="N48" s="8" t="n"/>
      <c r="O48" s="8" t="n"/>
      <c r="P48" s="8" t="n"/>
      <c r="Q48" s="8" t="n"/>
      <c r="R48" s="8" t="n"/>
      <c r="S48" s="8" t="n"/>
      <c r="T48" s="8" t="n"/>
      <c r="U48" s="8" t="n"/>
      <c r="V48" s="8" t="n"/>
      <c r="W48" s="1" t="n"/>
    </row>
    <row r="49">
      <c r="A49" s="7" t="n"/>
      <c r="B49" s="7" t="n"/>
      <c r="C49" s="7" t="n"/>
      <c r="D49" s="7" t="n"/>
      <c r="E49" s="7" t="n"/>
      <c r="F49" s="8" t="n"/>
      <c r="G49" s="8" t="n"/>
      <c r="H49" s="8" t="n"/>
      <c r="I49" s="8" t="n"/>
      <c r="J49" s="8" t="n"/>
      <c r="K49" s="8" t="n"/>
      <c r="L49" s="8" t="n"/>
      <c r="M49" s="8" t="n"/>
      <c r="N49" s="8" t="n"/>
      <c r="O49" s="8" t="n"/>
      <c r="P49" s="8" t="n"/>
      <c r="Q49" s="8" t="n"/>
      <c r="R49" s="8" t="n"/>
      <c r="S49" s="8" t="n"/>
      <c r="T49" s="8" t="n"/>
      <c r="U49" s="8" t="n"/>
      <c r="V49" s="8" t="n"/>
      <c r="W49" s="1" t="n"/>
    </row>
    <row r="50" ht="17" customHeight="1" s="62">
      <c r="A50" s="7" t="n"/>
      <c r="B50" s="7" t="n"/>
      <c r="C50" s="7" t="n"/>
      <c r="D50" s="7" t="n"/>
      <c r="E50" s="7" t="n"/>
      <c r="F50" s="8" t="n"/>
      <c r="G50" s="18" t="inlineStr">
        <is>
          <t>4. ¿Cómo crear variantes?</t>
        </is>
      </c>
      <c r="H50" s="63" t="n"/>
      <c r="I50" s="63" t="n"/>
      <c r="J50" s="8" t="n"/>
      <c r="K50" s="8" t="n"/>
      <c r="L50" s="8" t="n"/>
      <c r="M50" s="8" t="n"/>
      <c r="N50" s="8" t="n"/>
      <c r="O50" s="8" t="n"/>
      <c r="P50" s="8" t="n"/>
      <c r="Q50" s="8" t="n"/>
      <c r="R50" s="8" t="n"/>
      <c r="S50" s="8" t="n"/>
      <c r="T50" s="8" t="n"/>
      <c r="U50" s="8" t="n"/>
      <c r="V50" s="8" t="n"/>
      <c r="W50" s="1" t="n"/>
    </row>
    <row r="51">
      <c r="A51" s="7" t="n"/>
      <c r="B51" s="7" t="n"/>
      <c r="C51" s="7" t="n"/>
      <c r="D51" s="7" t="n"/>
      <c r="E51" s="7" t="n"/>
      <c r="F51" s="8" t="n"/>
      <c r="G51" s="8" t="n"/>
      <c r="H51" s="8" t="n"/>
      <c r="I51" s="8" t="n"/>
      <c r="J51" s="8" t="n"/>
      <c r="K51" s="8" t="n"/>
      <c r="L51" s="8" t="n"/>
      <c r="M51" s="8" t="n"/>
      <c r="N51" s="8" t="n"/>
      <c r="O51" s="8" t="n"/>
      <c r="P51" s="8" t="n"/>
      <c r="Q51" s="8" t="n"/>
      <c r="R51" s="8" t="n"/>
      <c r="S51" s="8" t="n"/>
      <c r="T51" s="8" t="n"/>
      <c r="U51" s="8" t="n"/>
      <c r="V51" s="8" t="n"/>
      <c r="W51" s="1" t="n"/>
    </row>
    <row r="52" ht="17" customHeight="1" s="62">
      <c r="A52" s="7" t="n"/>
      <c r="B52" s="7" t="n"/>
      <c r="C52" s="7" t="n"/>
      <c r="D52" s="7" t="n"/>
      <c r="E52" s="7" t="n"/>
      <c r="F52" s="8" t="n"/>
      <c r="G52" s="25" t="inlineStr">
        <is>
          <t xml:space="preserve">Las variantes son diferentes opciones de un mismo producto, siempre y cuando no supongan un cambio en el precio. Para crearlas en tus publicaciones, seguí estos pasos: </t>
        </is>
      </c>
      <c r="H52" s="63" t="n"/>
      <c r="I52" s="63" t="n"/>
      <c r="J52" s="8" t="n"/>
      <c r="K52" s="8" t="n"/>
      <c r="L52" s="8" t="n"/>
      <c r="M52" s="8" t="n"/>
      <c r="N52" s="8" t="n"/>
      <c r="O52" s="8" t="n"/>
      <c r="P52" s="8" t="n"/>
      <c r="Q52" s="8" t="n"/>
      <c r="R52" s="8" t="n"/>
      <c r="S52" s="8" t="n"/>
      <c r="T52" s="8" t="n"/>
      <c r="U52" s="8" t="n"/>
      <c r="V52" s="8" t="n"/>
      <c r="W52" s="1" t="n"/>
    </row>
    <row r="53" ht="17" customHeight="1" s="62">
      <c r="A53" s="7" t="n"/>
      <c r="B53" s="7" t="n"/>
      <c r="C53" s="7" t="n"/>
      <c r="D53" s="7" t="n"/>
      <c r="E53" s="7" t="n"/>
      <c r="F53" s="8" t="n"/>
      <c r="G53" s="63" t="n"/>
      <c r="H53" s="63" t="n"/>
      <c r="I53" s="63" t="n"/>
      <c r="J53" s="8" t="n"/>
      <c r="K53" s="8" t="n"/>
      <c r="L53" s="8" t="n"/>
      <c r="M53" s="8" t="n"/>
      <c r="N53" s="8" t="n"/>
      <c r="O53" s="8" t="n"/>
      <c r="P53" s="8" t="n"/>
      <c r="Q53" s="8" t="n"/>
      <c r="R53" s="8" t="n"/>
      <c r="S53" s="8" t="n"/>
      <c r="T53" s="8" t="n"/>
      <c r="U53" s="8" t="n"/>
      <c r="V53" s="8" t="n"/>
      <c r="W53" s="1" t="n"/>
    </row>
    <row r="54">
      <c r="A54" s="7" t="n"/>
      <c r="B54" s="7" t="n"/>
      <c r="C54" s="7" t="n"/>
      <c r="D54" s="7" t="n"/>
      <c r="E54" s="7" t="n"/>
      <c r="F54" s="8" t="n"/>
      <c r="G54" s="8" t="n"/>
      <c r="H54" s="8" t="n"/>
      <c r="I54" s="8" t="n"/>
      <c r="J54" s="8" t="n"/>
      <c r="K54" s="8" t="n"/>
      <c r="L54" s="8" t="n"/>
      <c r="M54" s="8" t="n"/>
      <c r="N54" s="8" t="n"/>
      <c r="O54" s="8" t="n"/>
      <c r="P54" s="8" t="n"/>
      <c r="Q54" s="8" t="n"/>
      <c r="R54" s="8" t="n"/>
      <c r="S54" s="8" t="n"/>
      <c r="T54" s="8" t="n"/>
      <c r="U54" s="8" t="n"/>
      <c r="V54" s="8" t="n"/>
      <c r="W54" s="1" t="n"/>
    </row>
    <row r="55" ht="17" customHeight="1" s="62">
      <c r="A55" s="7" t="n"/>
      <c r="B55" s="7" t="n"/>
      <c r="C55" s="7" t="n"/>
      <c r="D55" s="7" t="n"/>
      <c r="E55" s="7" t="n"/>
      <c r="F55" s="8" t="n"/>
      <c r="G55" s="8" t="inlineStr">
        <is>
          <t>1. Completá en una fila los datos de la primera variante. Asignale un título genérico, porque va a ser el mismo para todas.</t>
        </is>
      </c>
      <c r="H55" s="63" t="n"/>
      <c r="I55" s="63" t="n"/>
      <c r="J55" s="8" t="n"/>
      <c r="K55" s="8" t="n"/>
      <c r="L55" s="8" t="n"/>
      <c r="M55" s="8" t="n"/>
      <c r="N55" s="8" t="n"/>
      <c r="O55" s="8" t="n"/>
      <c r="P55" s="8" t="n"/>
      <c r="Q55" s="8" t="n"/>
      <c r="R55" s="8" t="n"/>
      <c r="S55" s="8" t="n"/>
      <c r="T55" s="8" t="n"/>
      <c r="U55" s="8" t="n"/>
      <c r="V55" s="8" t="n"/>
      <c r="W55" s="1" t="n"/>
    </row>
    <row r="56" ht="17" customHeight="1" s="62">
      <c r="A56" s="7" t="n"/>
      <c r="B56" s="7" t="n"/>
      <c r="C56" s="7" t="n"/>
      <c r="D56" s="7" t="n"/>
      <c r="E56" s="7" t="n"/>
      <c r="F56" s="8" t="n"/>
      <c r="G56" s="8" t="inlineStr">
        <is>
          <t>2. Duplicá la fila. Creá una nueva por cada variante.</t>
        </is>
      </c>
      <c r="H56" s="63" t="n"/>
      <c r="I56" s="63" t="n"/>
      <c r="J56" s="8" t="n"/>
      <c r="K56" s="8" t="n"/>
      <c r="L56" s="8" t="n"/>
      <c r="M56" s="8" t="n"/>
      <c r="N56" s="8" t="n"/>
      <c r="O56" s="8" t="n"/>
      <c r="P56" s="8" t="n"/>
      <c r="Q56" s="8" t="n"/>
      <c r="R56" s="8" t="n"/>
      <c r="S56" s="8" t="n"/>
      <c r="T56" s="8" t="n"/>
      <c r="U56" s="8" t="n"/>
      <c r="V56" s="8" t="n"/>
      <c r="W56" s="1" t="n"/>
    </row>
    <row r="57" ht="17" customHeight="1" s="62">
      <c r="A57" s="7" t="n"/>
      <c r="B57" s="7" t="n"/>
      <c r="C57" s="7" t="n"/>
      <c r="D57" s="7" t="n"/>
      <c r="E57" s="7" t="n"/>
      <c r="F57" s="8" t="n"/>
      <c r="G57" s="8" t="inlineStr">
        <is>
          <t>3. Modificá los datos por los que varía tu producto, como el color, el talle, u otras características.</t>
        </is>
      </c>
      <c r="H57" s="63" t="n"/>
      <c r="I57" s="63" t="n"/>
      <c r="J57" s="8" t="n"/>
      <c r="K57" s="8" t="n"/>
      <c r="L57" s="8" t="n"/>
      <c r="M57" s="8" t="n"/>
      <c r="N57" s="8" t="n"/>
      <c r="O57" s="8" t="n"/>
      <c r="P57" s="8" t="n"/>
      <c r="Q57" s="8" t="n"/>
      <c r="R57" s="8" t="n"/>
      <c r="S57" s="8" t="n"/>
      <c r="T57" s="8" t="n"/>
      <c r="U57" s="8" t="n"/>
      <c r="V57" s="8" t="n"/>
      <c r="W57" s="1" t="n"/>
    </row>
    <row r="58" ht="17" customHeight="1" s="62">
      <c r="A58" s="7" t="n"/>
      <c r="B58" s="7" t="n"/>
      <c r="C58" s="7" t="n"/>
      <c r="D58" s="7" t="n"/>
      <c r="E58" s="7" t="n"/>
      <c r="F58" s="8" t="n"/>
      <c r="G58" s="8" t="inlineStr">
        <is>
          <t>4. Diferenciá tus variantes, agregando sus propias fotos, SKU y stock.</t>
        </is>
      </c>
      <c r="H58" s="63" t="n"/>
      <c r="I58" s="63" t="n"/>
      <c r="J58" s="8" t="n"/>
      <c r="K58" s="8" t="n"/>
      <c r="L58" s="8" t="n"/>
      <c r="M58" s="8" t="n"/>
      <c r="N58" s="8" t="n"/>
      <c r="O58" s="8" t="n"/>
      <c r="P58" s="8" t="n"/>
      <c r="Q58" s="8" t="n"/>
      <c r="R58" s="8" t="n"/>
      <c r="S58" s="8" t="n"/>
      <c r="T58" s="8" t="n"/>
      <c r="U58" s="8" t="n"/>
      <c r="V58" s="8" t="n"/>
      <c r="W58" s="1" t="n"/>
    </row>
    <row r="59">
      <c r="A59" s="7" t="n"/>
      <c r="B59" s="7" t="n"/>
      <c r="C59" s="7" t="n"/>
      <c r="D59" s="7" t="n"/>
      <c r="E59" s="7" t="n"/>
      <c r="F59" s="8" t="n"/>
      <c r="G59" s="8" t="n"/>
      <c r="H59" s="8" t="n"/>
      <c r="I59" s="8" t="n"/>
      <c r="J59" s="8" t="n"/>
      <c r="K59" s="8" t="n"/>
      <c r="L59" s="8" t="n"/>
      <c r="M59" s="8" t="n"/>
      <c r="N59" s="8" t="n"/>
      <c r="O59" s="8" t="n"/>
      <c r="P59" s="8" t="n"/>
      <c r="Q59" s="8" t="n"/>
      <c r="R59" s="8" t="n"/>
      <c r="S59" s="8" t="n"/>
      <c r="T59" s="8" t="n"/>
      <c r="U59" s="8" t="n"/>
      <c r="V59" s="8" t="n"/>
      <c r="W59" s="1" t="n"/>
    </row>
    <row r="60" ht="17" customHeight="1" s="62">
      <c r="A60" s="7" t="n"/>
      <c r="B60" s="7" t="n"/>
      <c r="C60" s="7" t="n"/>
      <c r="D60" s="7" t="n"/>
      <c r="E60" s="7" t="n"/>
      <c r="F60" s="8" t="n"/>
      <c r="G60" s="26" t="inlineStr">
        <is>
          <t>Quiero saber más</t>
        </is>
      </c>
      <c r="H60" s="63" t="n"/>
      <c r="I60" s="63" t="n"/>
      <c r="J60" s="8" t="n"/>
      <c r="K60" s="8" t="n"/>
      <c r="L60" s="8" t="n"/>
      <c r="M60" s="8" t="n"/>
      <c r="N60" s="8" t="n"/>
      <c r="O60" s="8" t="n"/>
      <c r="P60" s="8" t="n"/>
      <c r="Q60" s="8" t="n"/>
      <c r="R60" s="8" t="n"/>
      <c r="S60" s="8" t="n"/>
      <c r="T60" s="8" t="n"/>
      <c r="U60" s="8" t="n"/>
      <c r="V60" s="8" t="n"/>
      <c r="W60" s="1" t="n"/>
    </row>
    <row r="61">
      <c r="A61" s="7" t="n"/>
      <c r="B61" s="7" t="n"/>
      <c r="C61" s="7" t="n"/>
      <c r="D61" s="7" t="n"/>
      <c r="E61" s="7" t="n"/>
      <c r="F61" s="8" t="n"/>
      <c r="G61" s="8" t="n"/>
      <c r="H61" s="8" t="n"/>
      <c r="I61" s="8" t="n"/>
      <c r="J61" s="8" t="n"/>
      <c r="K61" s="8" t="n"/>
      <c r="L61" s="8" t="n"/>
      <c r="M61" s="8" t="n"/>
      <c r="N61" s="8" t="n"/>
      <c r="O61" s="8" t="n"/>
      <c r="P61" s="8" t="n"/>
      <c r="Q61" s="8" t="n"/>
      <c r="R61" s="8" t="n"/>
      <c r="S61" s="8" t="n"/>
      <c r="T61" s="8" t="n"/>
      <c r="U61" s="8" t="n"/>
      <c r="V61" s="8" t="n"/>
      <c r="W61" s="1" t="n"/>
    </row>
    <row r="62" ht="17" customHeight="1" s="62">
      <c r="A62" s="7" t="n"/>
      <c r="B62" s="7" t="n"/>
      <c r="C62" s="7" t="n"/>
      <c r="D62" s="7" t="n"/>
      <c r="E62" s="7" t="n"/>
      <c r="F62" s="8" t="n"/>
      <c r="G62" s="64" t="inlineStr">
        <is>
          <t>5. Requisitos para tener buenas fotos</t>
        </is>
      </c>
      <c r="H62" s="63" t="n"/>
      <c r="I62" s="63" t="n"/>
      <c r="J62" s="8" t="n"/>
      <c r="K62" s="8" t="n"/>
      <c r="L62" s="8" t="n"/>
      <c r="M62" s="8" t="n"/>
      <c r="N62" s="8" t="n"/>
      <c r="O62" s="8" t="n"/>
      <c r="P62" s="8" t="n"/>
      <c r="Q62" s="8" t="n"/>
      <c r="R62" s="8" t="n"/>
      <c r="S62" s="8" t="n"/>
      <c r="T62" s="8" t="n"/>
      <c r="U62" s="8" t="n"/>
      <c r="V62" s="8" t="n"/>
      <c r="W62" s="1" t="n"/>
    </row>
    <row r="63">
      <c r="A63" s="7" t="n"/>
      <c r="B63" s="7" t="n"/>
      <c r="C63" s="7" t="n"/>
      <c r="D63" s="7" t="n"/>
      <c r="E63" s="7" t="n"/>
      <c r="F63" s="8" t="n"/>
      <c r="G63" s="8" t="n"/>
      <c r="H63" s="8" t="n"/>
      <c r="I63" s="8" t="n"/>
      <c r="J63" s="8" t="n"/>
      <c r="K63" s="8" t="n"/>
      <c r="L63" s="8" t="n"/>
      <c r="M63" s="8" t="n"/>
      <c r="N63" s="8" t="n"/>
      <c r="O63" s="8" t="n"/>
      <c r="P63" s="8" t="n"/>
      <c r="Q63" s="8" t="n"/>
      <c r="R63" s="8" t="n"/>
      <c r="S63" s="8" t="n"/>
      <c r="T63" s="8" t="n"/>
      <c r="U63" s="8" t="n"/>
      <c r="V63" s="8" t="n"/>
      <c r="W63" s="1" t="n"/>
    </row>
    <row r="64" ht="17" customHeight="1" s="62">
      <c r="A64" s="7" t="n"/>
      <c r="B64" s="7" t="n"/>
      <c r="C64" s="7" t="n"/>
      <c r="D64" s="7" t="n"/>
      <c r="E64" s="7" t="n"/>
      <c r="F64" s="8" t="n"/>
      <c r="G64" s="8" t="n"/>
      <c r="H64" s="28" t="inlineStr">
        <is>
          <t>Generales</t>
        </is>
      </c>
      <c r="I64" s="63" t="n"/>
      <c r="J64" s="8" t="n"/>
      <c r="K64" s="8" t="n"/>
      <c r="L64" s="8" t="n"/>
      <c r="M64" s="8" t="n"/>
      <c r="N64" s="8" t="n"/>
      <c r="O64" s="8" t="n"/>
      <c r="P64" s="8" t="n"/>
      <c r="Q64" s="8" t="n"/>
      <c r="R64" s="8" t="n"/>
      <c r="S64" s="8" t="n"/>
      <c r="T64" s="8" t="n"/>
      <c r="U64" s="8" t="n"/>
      <c r="V64" s="8" t="n"/>
      <c r="W64" s="1" t="n"/>
    </row>
    <row r="65" ht="25" customHeight="1" s="62">
      <c r="A65" s="7" t="n"/>
      <c r="B65" s="7" t="n"/>
      <c r="C65" s="7" t="n"/>
      <c r="D65" s="7" t="n"/>
      <c r="E65" s="7" t="n"/>
      <c r="F65" s="8" t="n"/>
      <c r="G65" s="8" t="n"/>
      <c r="H65" s="8" t="inlineStr">
        <is>
          <t>· El tamaño tiene que ser de 1200 x 1200 px, para que los compradores puedan hacer zoom. Podés usar fotos con mínimo 500 px en uno de sus lados.</t>
        </is>
      </c>
      <c r="I65" s="63" t="n"/>
      <c r="J65" s="8" t="n"/>
      <c r="K65" s="8" t="n"/>
      <c r="L65" s="8" t="n"/>
      <c r="M65" s="8" t="n"/>
      <c r="N65" s="8" t="n"/>
      <c r="O65" s="8" t="n"/>
      <c r="P65" s="8" t="n"/>
      <c r="Q65" s="8" t="n"/>
      <c r="R65" s="8" t="n"/>
      <c r="S65" s="8" t="n"/>
      <c r="T65" s="8" t="n"/>
      <c r="U65" s="8" t="n"/>
      <c r="V65" s="8" t="n"/>
      <c r="W65" s="1" t="n"/>
    </row>
    <row r="66" ht="17" customHeight="1" s="62">
      <c r="A66" s="7" t="n"/>
      <c r="B66" s="7" t="n"/>
      <c r="C66" s="7" t="n"/>
      <c r="D66" s="7" t="n"/>
      <c r="E66" s="7" t="n"/>
      <c r="F66" s="8" t="n"/>
      <c r="G66" s="8" t="n"/>
      <c r="H66" s="8" t="inlineStr">
        <is>
          <t>· Usá un fondo blanco puro digital para que tu producto se destaque.</t>
        </is>
      </c>
      <c r="I66" s="63" t="n"/>
      <c r="J66" s="8" t="n"/>
      <c r="K66" s="8" t="n"/>
      <c r="L66" s="8" t="n"/>
      <c r="M66" s="8" t="n"/>
      <c r="N66" s="8" t="n"/>
      <c r="O66" s="8" t="n"/>
      <c r="P66" s="8" t="n"/>
      <c r="Q66" s="8" t="n"/>
      <c r="R66" s="8" t="n"/>
      <c r="S66" s="8" t="n"/>
      <c r="T66" s="8" t="n"/>
      <c r="U66" s="8" t="n"/>
      <c r="V66" s="8" t="n"/>
      <c r="W66" s="1" t="n"/>
    </row>
    <row r="67" ht="17" customHeight="1" s="62">
      <c r="A67" s="7" t="n"/>
      <c r="B67" s="7" t="n"/>
      <c r="C67" s="7" t="n"/>
      <c r="D67" s="7" t="n"/>
      <c r="E67" s="7" t="n"/>
      <c r="F67" s="8" t="n"/>
      <c r="G67" s="8" t="n"/>
      <c r="H67" s="8" t="inlineStr">
        <is>
          <t>· No agregues bordes, logos ni marcas de agua.</t>
        </is>
      </c>
      <c r="I67" s="63" t="n"/>
      <c r="J67" s="8" t="n"/>
      <c r="K67" s="8" t="n"/>
      <c r="L67" s="8" t="n"/>
      <c r="M67" s="8" t="n"/>
      <c r="N67" s="8" t="n"/>
      <c r="O67" s="8" t="n"/>
      <c r="P67" s="8" t="n"/>
      <c r="Q67" s="8" t="n"/>
      <c r="R67" s="8" t="n"/>
      <c r="S67" s="8" t="n"/>
      <c r="T67" s="8" t="n"/>
      <c r="U67" s="8" t="n"/>
      <c r="V67" s="8" t="n"/>
      <c r="W67" s="1" t="n"/>
    </row>
    <row r="68" ht="17" customHeight="1" s="62">
      <c r="A68" s="7" t="n"/>
      <c r="B68" s="7" t="n"/>
      <c r="C68" s="7" t="n"/>
      <c r="D68" s="7" t="n"/>
      <c r="E68" s="7" t="n"/>
      <c r="F68" s="8" t="n"/>
      <c r="G68" s="8" t="n"/>
      <c r="H68" s="26" t="inlineStr">
        <is>
          <t>Quiero saber más</t>
        </is>
      </c>
      <c r="I68" s="63" t="n"/>
      <c r="J68" s="8" t="n"/>
      <c r="K68" s="8" t="n"/>
      <c r="L68" s="8" t="n"/>
      <c r="M68" s="8" t="n"/>
      <c r="N68" s="8" t="n"/>
      <c r="O68" s="8" t="n"/>
      <c r="P68" s="8" t="n"/>
      <c r="Q68" s="8" t="n"/>
      <c r="R68" s="8" t="n"/>
      <c r="S68" s="8" t="n"/>
      <c r="T68" s="8" t="n"/>
      <c r="U68" s="8" t="n"/>
      <c r="V68" s="8" t="n"/>
      <c r="W68" s="1" t="n"/>
    </row>
    <row r="69">
      <c r="A69" s="7" t="n"/>
      <c r="B69" s="7" t="n"/>
      <c r="C69" s="7" t="n"/>
      <c r="D69" s="7" t="n"/>
      <c r="E69" s="7" t="n"/>
      <c r="F69" s="8" t="n"/>
      <c r="G69" s="8" t="n"/>
      <c r="H69" s="8" t="n"/>
      <c r="I69" s="8" t="n"/>
      <c r="J69" s="8" t="n"/>
      <c r="K69" s="8" t="n"/>
      <c r="L69" s="8" t="n"/>
      <c r="M69" s="8" t="n"/>
      <c r="N69" s="8" t="n"/>
      <c r="O69" s="8" t="n"/>
      <c r="P69" s="8" t="n"/>
      <c r="Q69" s="8" t="n"/>
      <c r="R69" s="8" t="n"/>
      <c r="S69" s="8" t="n"/>
      <c r="T69" s="8" t="n"/>
      <c r="U69" s="8" t="n"/>
      <c r="V69" s="8" t="n"/>
      <c r="W69" s="1" t="n"/>
    </row>
    <row r="70" ht="17" customHeight="1" s="62">
      <c r="A70" s="7" t="n"/>
      <c r="B70" s="7" t="n"/>
      <c r="C70" s="7" t="n"/>
      <c r="D70" s="7" t="n"/>
      <c r="E70" s="7" t="n"/>
      <c r="F70" s="8" t="n"/>
      <c r="G70" s="8" t="n"/>
      <c r="H70" s="28" t="inlineStr">
        <is>
          <t>Para productos de "Moda"</t>
        </is>
      </c>
      <c r="I70" s="63" t="n"/>
      <c r="J70" s="8" t="n"/>
      <c r="K70" s="8" t="n"/>
      <c r="L70" s="8" t="n"/>
      <c r="M70" s="8" t="n"/>
      <c r="N70" s="8" t="n"/>
      <c r="O70" s="8" t="n"/>
      <c r="P70" s="8" t="n"/>
      <c r="Q70" s="8" t="n"/>
      <c r="R70" s="8" t="n"/>
      <c r="S70" s="8" t="n"/>
      <c r="T70" s="8" t="n"/>
      <c r="U70" s="8" t="n"/>
      <c r="V70" s="8" t="n"/>
      <c r="W70" s="1" t="n"/>
    </row>
    <row r="71" ht="17" customHeight="1" s="62">
      <c r="A71" s="7" t="n"/>
      <c r="B71" s="7" t="n"/>
      <c r="C71" s="7" t="n"/>
      <c r="D71" s="7" t="n"/>
      <c r="E71" s="7" t="n"/>
      <c r="F71" s="8" t="n"/>
      <c r="G71" s="8" t="n"/>
      <c r="H71" s="8" t="inlineStr">
        <is>
          <t>· Usá un modelo o maniquí invisible según tu tipo de prenda.</t>
        </is>
      </c>
      <c r="I71" s="63" t="n"/>
      <c r="J71" s="8" t="n"/>
      <c r="K71" s="8" t="n"/>
      <c r="L71" s="8" t="n"/>
      <c r="M71" s="8" t="n"/>
      <c r="N71" s="8" t="n"/>
      <c r="O71" s="8" t="n"/>
      <c r="P71" s="8" t="n"/>
      <c r="Q71" s="8" t="n"/>
      <c r="R71" s="8" t="n"/>
      <c r="S71" s="8" t="n"/>
      <c r="T71" s="8" t="n"/>
      <c r="U71" s="8" t="n"/>
      <c r="V71" s="8" t="n"/>
      <c r="W71" s="1" t="n"/>
    </row>
    <row r="72" ht="25" customHeight="1" s="62">
      <c r="A72" s="7" t="n"/>
      <c r="B72" s="7" t="n"/>
      <c r="C72" s="7" t="n"/>
      <c r="D72" s="7" t="n"/>
      <c r="E72" s="7" t="n"/>
      <c r="F72" s="8" t="n"/>
      <c r="G72" s="8" t="n"/>
      <c r="H72" s="8" t="inlineStr">
        <is>
          <t>· En moda también permitimos fondos claros como gris o crema para que contrasten con el color de tu prenda.</t>
        </is>
      </c>
      <c r="I72" s="63" t="n"/>
      <c r="J72" s="8" t="n"/>
      <c r="K72" s="8" t="n"/>
      <c r="L72" s="8" t="n"/>
      <c r="M72" s="8" t="n"/>
      <c r="N72" s="8" t="n"/>
      <c r="O72" s="8" t="n"/>
      <c r="P72" s="8" t="n"/>
      <c r="Q72" s="8" t="n"/>
      <c r="R72" s="8" t="n"/>
      <c r="S72" s="8" t="n"/>
      <c r="T72" s="8" t="n"/>
      <c r="U72" s="8" t="n"/>
      <c r="V72" s="8" t="n"/>
      <c r="W72" s="1" t="n"/>
    </row>
    <row r="73" ht="17" customHeight="1" s="62">
      <c r="A73" s="7" t="n"/>
      <c r="B73" s="7" t="n"/>
      <c r="C73" s="7" t="n"/>
      <c r="D73" s="7" t="n"/>
      <c r="E73" s="7" t="n"/>
      <c r="F73" s="8" t="n"/>
      <c r="G73" s="8" t="n"/>
      <c r="H73" s="8" t="inlineStr">
        <is>
          <t>· Evitá tomar fotos tipo selfie, en exteriores o que tapen el producto.</t>
        </is>
      </c>
      <c r="I73" s="63" t="n"/>
      <c r="J73" s="8" t="n"/>
      <c r="K73" s="8" t="n"/>
      <c r="L73" s="8" t="n"/>
      <c r="M73" s="8" t="n"/>
      <c r="N73" s="8" t="n"/>
      <c r="O73" s="8" t="n"/>
      <c r="P73" s="8" t="n"/>
      <c r="Q73" s="8" t="n"/>
      <c r="R73" s="8" t="n"/>
      <c r="S73" s="8" t="n"/>
      <c r="T73" s="8" t="n"/>
      <c r="U73" s="8" t="n"/>
      <c r="V73" s="8" t="n"/>
      <c r="W73" s="1" t="n"/>
    </row>
    <row r="74" ht="17" customHeight="1" s="62">
      <c r="A74" s="7" t="n"/>
      <c r="B74" s="7" t="n"/>
      <c r="C74" s="7" t="n"/>
      <c r="D74" s="7" t="n"/>
      <c r="E74" s="7" t="n"/>
      <c r="F74" s="8" t="n"/>
      <c r="G74" s="8" t="n"/>
      <c r="H74" s="26" t="inlineStr">
        <is>
          <t>Quiero saber más</t>
        </is>
      </c>
      <c r="I74" s="63" t="n"/>
      <c r="J74" s="8" t="n"/>
      <c r="K74" s="8" t="n"/>
      <c r="L74" s="8" t="n"/>
      <c r="M74" s="8" t="n"/>
      <c r="N74" s="8" t="n"/>
      <c r="O74" s="8" t="n"/>
      <c r="P74" s="8" t="n"/>
      <c r="Q74" s="8" t="n"/>
      <c r="R74" s="8" t="n"/>
      <c r="S74" s="8" t="n"/>
      <c r="T74" s="8" t="n"/>
      <c r="U74" s="8" t="n"/>
      <c r="V74" s="8" t="n"/>
      <c r="W74" s="1" t="n"/>
    </row>
    <row r="75">
      <c r="A75" s="7" t="n"/>
      <c r="B75" s="7" t="n"/>
      <c r="C75" s="7" t="n"/>
      <c r="D75" s="7" t="n"/>
      <c r="E75" s="7" t="n"/>
      <c r="F75" s="8" t="n"/>
      <c r="G75" s="8" t="n"/>
      <c r="H75" s="8" t="n"/>
      <c r="I75" s="8" t="n"/>
      <c r="J75" s="8" t="n"/>
      <c r="K75" s="8" t="n"/>
      <c r="L75" s="8" t="n"/>
      <c r="M75" s="8" t="n"/>
      <c r="N75" s="8" t="n"/>
      <c r="O75" s="8" t="n"/>
      <c r="P75" s="8" t="n"/>
      <c r="Q75" s="8" t="n"/>
      <c r="R75" s="8" t="n"/>
      <c r="S75" s="8" t="n"/>
      <c r="T75" s="8" t="n"/>
      <c r="U75" s="8" t="n"/>
      <c r="V75" s="8" t="n"/>
      <c r="W75" s="1" t="n"/>
    </row>
    <row r="76" ht="17" customHeight="1" s="62">
      <c r="A76" s="7" t="n"/>
      <c r="B76" s="7" t="n"/>
      <c r="C76" s="7" t="n"/>
      <c r="D76" s="7" t="n"/>
      <c r="E76" s="7" t="n"/>
      <c r="F76" s="8" t="n"/>
      <c r="G76" s="8" t="n"/>
      <c r="H76" s="28" t="inlineStr">
        <is>
          <t>Para productos de "Hogar y Muebles"</t>
        </is>
      </c>
      <c r="I76" s="63" t="n"/>
      <c r="J76" s="8" t="n"/>
      <c r="K76" s="8" t="n"/>
      <c r="L76" s="8" t="n"/>
      <c r="M76" s="8" t="n"/>
      <c r="N76" s="8" t="n"/>
      <c r="O76" s="8" t="n"/>
      <c r="P76" s="8" t="n"/>
      <c r="Q76" s="8" t="n"/>
      <c r="R76" s="8" t="n"/>
      <c r="S76" s="8" t="n"/>
      <c r="T76" s="8" t="n"/>
      <c r="U76" s="8" t="n"/>
      <c r="V76" s="8" t="n"/>
      <c r="W76" s="1" t="n"/>
    </row>
    <row r="77" ht="25" customHeight="1" s="62">
      <c r="A77" s="7" t="n"/>
      <c r="B77" s="7" t="n"/>
      <c r="C77" s="7" t="n"/>
      <c r="D77" s="7" t="n"/>
      <c r="E77" s="7" t="n"/>
      <c r="F77" s="8" t="n"/>
      <c r="G77" s="8" t="n"/>
      <c r="H77" s="8" t="inlineStr">
        <is>
          <t>· Usá un fondo profesional que muestre al producto en su ambiente de uso o editá la foto para incluir un fondo gris claro.</t>
        </is>
      </c>
      <c r="I77" s="63" t="n"/>
      <c r="J77" s="8" t="n"/>
      <c r="K77" s="8" t="n"/>
      <c r="L77" s="8" t="n"/>
      <c r="M77" s="8" t="n"/>
      <c r="N77" s="8" t="n"/>
      <c r="O77" s="8" t="n"/>
      <c r="P77" s="8" t="n"/>
      <c r="Q77" s="8" t="n"/>
      <c r="R77" s="8" t="n"/>
      <c r="S77" s="8" t="n"/>
      <c r="T77" s="8" t="n"/>
      <c r="U77" s="8" t="n"/>
      <c r="V77" s="8" t="n"/>
      <c r="W77" s="1" t="n"/>
    </row>
    <row r="78" ht="25" customHeight="1" s="62">
      <c r="A78" s="7" t="n"/>
      <c r="B78" s="7" t="n"/>
      <c r="C78" s="7" t="n"/>
      <c r="D78" s="7" t="n"/>
      <c r="E78" s="7" t="n"/>
      <c r="F78" s="8" t="n"/>
      <c r="G78" s="8" t="n"/>
      <c r="H78" s="8" t="inlineStr">
        <is>
          <t>· Asegurate de que el producto esté bien iluminado. Evitá la luz directa y las sombras pronunciadas.</t>
        </is>
      </c>
      <c r="I78" s="63" t="n"/>
      <c r="J78" s="8" t="n"/>
      <c r="K78" s="8" t="n"/>
      <c r="L78" s="8" t="n"/>
      <c r="M78" s="8" t="n"/>
      <c r="N78" s="8" t="n"/>
      <c r="O78" s="8" t="n"/>
      <c r="P78" s="8" t="n"/>
      <c r="Q78" s="8" t="n"/>
      <c r="R78" s="8" t="n"/>
      <c r="S78" s="8" t="n"/>
      <c r="T78" s="8" t="n"/>
      <c r="U78" s="8" t="n"/>
      <c r="V78" s="8" t="n"/>
      <c r="W78" s="1" t="n"/>
    </row>
    <row r="79" ht="17" customHeight="1" s="62">
      <c r="A79" s="7" t="n"/>
      <c r="B79" s="7" t="n"/>
      <c r="C79" s="7" t="n"/>
      <c r="D79" s="7" t="n"/>
      <c r="E79" s="7" t="n"/>
      <c r="F79" s="8" t="n"/>
      <c r="G79" s="8" t="n"/>
      <c r="H79" s="8" t="inlineStr">
        <is>
          <t>· Evitá las fotos con personas o con objetos que tapen el producto.</t>
        </is>
      </c>
      <c r="I79" s="63" t="n"/>
      <c r="J79" s="8" t="n"/>
      <c r="K79" s="8" t="n"/>
      <c r="L79" s="8" t="n"/>
      <c r="M79" s="8" t="n"/>
      <c r="N79" s="8" t="n"/>
      <c r="O79" s="8" t="n"/>
      <c r="P79" s="8" t="n"/>
      <c r="Q79" s="8" t="n"/>
      <c r="R79" s="8" t="n"/>
      <c r="S79" s="8" t="n"/>
      <c r="T79" s="8" t="n"/>
      <c r="U79" s="8" t="n"/>
      <c r="V79" s="8" t="n"/>
      <c r="W79" s="1" t="n"/>
    </row>
    <row r="80" ht="17" customHeight="1" s="62">
      <c r="A80" s="7" t="n"/>
      <c r="B80" s="7" t="n"/>
      <c r="C80" s="7" t="n"/>
      <c r="D80" s="7" t="n"/>
      <c r="E80" s="7" t="n"/>
      <c r="F80" s="8" t="n"/>
      <c r="G80" s="8" t="n"/>
      <c r="H80" s="26" t="inlineStr">
        <is>
          <t>Quiero saber más</t>
        </is>
      </c>
      <c r="I80" s="63" t="n"/>
      <c r="J80" s="8" t="n"/>
      <c r="K80" s="8" t="n"/>
      <c r="L80" s="8" t="n"/>
      <c r="M80" s="8" t="n"/>
      <c r="N80" s="8" t="n"/>
      <c r="O80" s="8" t="n"/>
      <c r="P80" s="8" t="n"/>
      <c r="Q80" s="8" t="n"/>
      <c r="R80" s="8" t="n"/>
      <c r="S80" s="8" t="n"/>
      <c r="T80" s="8" t="n"/>
      <c r="U80" s="8" t="n"/>
      <c r="V80" s="8" t="n"/>
      <c r="W80" s="1" t="n"/>
    </row>
    <row r="81">
      <c r="A81" s="7" t="n"/>
      <c r="B81" s="7" t="n"/>
      <c r="C81" s="7" t="n"/>
      <c r="D81" s="7" t="n"/>
      <c r="E81" s="7" t="n"/>
      <c r="F81" s="8" t="n"/>
      <c r="G81" s="8" t="n"/>
      <c r="H81" s="8" t="n"/>
      <c r="I81" s="8" t="n"/>
      <c r="J81" s="8" t="n"/>
      <c r="K81" s="8" t="n"/>
      <c r="L81" s="8" t="n"/>
      <c r="M81" s="8" t="n"/>
      <c r="N81" s="8" t="n"/>
      <c r="O81" s="8" t="n"/>
      <c r="P81" s="8" t="n"/>
      <c r="Q81" s="8" t="n"/>
      <c r="R81" s="8" t="n"/>
      <c r="S81" s="8" t="n"/>
      <c r="T81" s="8" t="n"/>
      <c r="U81" s="8" t="n"/>
      <c r="V81" s="8" t="n"/>
      <c r="W81" s="1" t="n"/>
    </row>
    <row r="82">
      <c r="A82" s="7" t="n"/>
      <c r="B82" s="7" t="n"/>
      <c r="C82" s="7" t="n"/>
      <c r="D82" s="7" t="n"/>
      <c r="E82" s="7" t="n"/>
      <c r="F82" s="8" t="n"/>
      <c r="G82" s="8" t="n"/>
      <c r="H82" s="8" t="n"/>
      <c r="I82" s="8" t="n"/>
      <c r="J82" s="8" t="n"/>
      <c r="K82" s="8" t="n"/>
      <c r="L82" s="8" t="n"/>
      <c r="M82" s="8" t="n"/>
      <c r="N82" s="8" t="n"/>
      <c r="O82" s="8" t="n"/>
      <c r="P82" s="8" t="n"/>
      <c r="Q82" s="8" t="n"/>
      <c r="R82" s="8" t="n"/>
      <c r="S82" s="8" t="n"/>
      <c r="T82" s="8" t="n"/>
      <c r="U82" s="8" t="n"/>
      <c r="V82" s="8" t="n"/>
      <c r="W82" s="1" t="n"/>
    </row>
    <row r="83">
      <c r="A83" s="7" t="n"/>
      <c r="B83" s="7" t="n"/>
      <c r="C83" s="7" t="n"/>
      <c r="D83" s="7" t="n"/>
      <c r="E83" s="7" t="n"/>
      <c r="F83" s="8" t="n"/>
      <c r="G83" s="8" t="n"/>
      <c r="H83" s="8" t="n"/>
      <c r="I83" s="8" t="n"/>
      <c r="J83" s="8" t="n"/>
      <c r="K83" s="8" t="n"/>
      <c r="L83" s="8" t="n"/>
      <c r="M83" s="8" t="n"/>
      <c r="N83" s="8" t="n"/>
      <c r="O83" s="8" t="n"/>
      <c r="P83" s="8" t="n"/>
      <c r="Q83" s="8" t="n"/>
      <c r="R83" s="8" t="n"/>
      <c r="S83" s="8" t="n"/>
      <c r="T83" s="8" t="n"/>
      <c r="U83" s="8" t="n"/>
      <c r="V83" s="8" t="n"/>
      <c r="W83" s="1" t="n"/>
    </row>
    <row r="84">
      <c r="A84" s="7" t="n"/>
      <c r="B84" s="7" t="n"/>
      <c r="C84" s="7" t="n"/>
      <c r="D84" s="7" t="n"/>
      <c r="E84" s="7" t="n"/>
      <c r="F84" s="8" t="n"/>
      <c r="G84" s="8" t="n"/>
      <c r="H84" s="8" t="n"/>
      <c r="I84" s="8" t="n"/>
      <c r="J84" s="8" t="n"/>
      <c r="K84" s="8" t="n"/>
      <c r="L84" s="8" t="n"/>
      <c r="M84" s="8" t="n"/>
      <c r="N84" s="8" t="n"/>
      <c r="O84" s="8" t="n"/>
      <c r="P84" s="8" t="n"/>
      <c r="Q84" s="8" t="n"/>
      <c r="R84" s="8" t="n"/>
      <c r="S84" s="8" t="n"/>
      <c r="T84" s="8" t="n"/>
      <c r="U84" s="8" t="n"/>
      <c r="V84" s="8" t="n"/>
      <c r="W84" s="1" t="n"/>
    </row>
    <row r="85">
      <c r="A85" s="7" t="n"/>
      <c r="B85" s="7" t="n"/>
      <c r="C85" s="7" t="n"/>
      <c r="D85" s="7" t="n"/>
      <c r="E85" s="7" t="n"/>
      <c r="F85" s="8" t="n"/>
      <c r="G85" s="8" t="n"/>
      <c r="H85" s="8" t="n"/>
      <c r="I85" s="8" t="n"/>
      <c r="J85" s="8" t="n"/>
      <c r="K85" s="8" t="n"/>
      <c r="L85" s="8" t="n"/>
      <c r="M85" s="8" t="n"/>
      <c r="N85" s="8" t="n"/>
      <c r="O85" s="8" t="n"/>
      <c r="P85" s="8" t="n"/>
      <c r="Q85" s="8" t="n"/>
      <c r="R85" s="8" t="n"/>
      <c r="S85" s="8" t="n"/>
      <c r="T85" s="8" t="n"/>
      <c r="U85" s="8" t="n"/>
      <c r="V85" s="8" t="n"/>
      <c r="W85" s="1" t="n"/>
    </row>
    <row r="86">
      <c r="A86" s="7" t="n"/>
      <c r="B86" s="7" t="n"/>
      <c r="C86" s="7" t="n"/>
      <c r="D86" s="7" t="n"/>
      <c r="E86" s="7" t="n"/>
      <c r="F86" s="8" t="n"/>
      <c r="G86" s="8" t="n"/>
      <c r="H86" s="8" t="n"/>
      <c r="I86" s="8" t="n"/>
      <c r="J86" s="8" t="n"/>
      <c r="K86" s="8" t="n"/>
      <c r="L86" s="8" t="n"/>
      <c r="M86" s="8" t="n"/>
      <c r="N86" s="8" t="n"/>
      <c r="O86" s="8" t="n"/>
      <c r="P86" s="8" t="n"/>
      <c r="Q86" s="8" t="n"/>
      <c r="R86" s="8" t="n"/>
      <c r="S86" s="8" t="n"/>
      <c r="T86" s="8" t="n"/>
      <c r="U86" s="8" t="n"/>
      <c r="V86" s="8" t="n"/>
      <c r="W86" s="1" t="n"/>
    </row>
    <row r="87">
      <c r="A87" s="7" t="n"/>
      <c r="B87" s="7" t="n"/>
      <c r="C87" s="7" t="n"/>
      <c r="D87" s="7" t="n"/>
      <c r="E87" s="7" t="n"/>
      <c r="F87" s="8" t="n"/>
      <c r="G87" s="8" t="n"/>
      <c r="H87" s="8" t="n"/>
      <c r="I87" s="8" t="n"/>
      <c r="J87" s="8" t="n"/>
      <c r="K87" s="8" t="n"/>
      <c r="L87" s="8" t="n"/>
      <c r="M87" s="8" t="n"/>
      <c r="N87" s="8" t="n"/>
      <c r="O87" s="8" t="n"/>
      <c r="P87" s="8" t="n"/>
      <c r="Q87" s="8" t="n"/>
      <c r="R87" s="8" t="n"/>
      <c r="S87" s="8" t="n"/>
      <c r="T87" s="8" t="n"/>
      <c r="U87" s="8" t="n"/>
      <c r="V87" s="8" t="n"/>
      <c r="W87" s="1" t="n"/>
    </row>
    <row r="88">
      <c r="A88" s="7" t="n"/>
      <c r="B88" s="7" t="n"/>
      <c r="C88" s="7" t="n"/>
      <c r="D88" s="7" t="n"/>
      <c r="E88" s="7" t="n"/>
      <c r="F88" s="8" t="n"/>
      <c r="G88" s="8" t="n"/>
      <c r="H88" s="8" t="n"/>
      <c r="I88" s="8" t="n"/>
      <c r="J88" s="8" t="n"/>
      <c r="K88" s="8" t="n"/>
      <c r="L88" s="8" t="n"/>
      <c r="M88" s="8" t="n"/>
      <c r="N88" s="8" t="n"/>
      <c r="O88" s="8" t="n"/>
      <c r="P88" s="8" t="n"/>
      <c r="Q88" s="8" t="n"/>
      <c r="R88" s="8" t="n"/>
      <c r="S88" s="8" t="n"/>
      <c r="T88" s="8" t="n"/>
      <c r="U88" s="8" t="n"/>
      <c r="V88" s="8" t="n"/>
      <c r="W88" s="1" t="n"/>
    </row>
    <row r="89">
      <c r="A89" s="7" t="inlineStr">
        <is>
          <t xml:space="preserve">        </t>
        </is>
      </c>
      <c r="B89" s="7" t="n"/>
      <c r="C89" s="7" t="n"/>
      <c r="D89" s="7" t="n"/>
      <c r="E89" s="7" t="n"/>
      <c r="F89" s="8" t="n"/>
      <c r="G89" s="8" t="n"/>
      <c r="H89" s="8" t="n"/>
      <c r="I89" s="8" t="n"/>
      <c r="J89" s="8" t="n"/>
      <c r="K89" s="8" t="n"/>
      <c r="L89" s="8" t="n"/>
      <c r="M89" s="8" t="n"/>
      <c r="N89" s="8" t="n"/>
      <c r="O89" s="8" t="n"/>
      <c r="P89" s="8" t="n"/>
      <c r="Q89" s="8" t="n"/>
      <c r="R89" s="8" t="n"/>
      <c r="S89" s="8" t="n"/>
      <c r="T89" s="8" t="n"/>
      <c r="U89" s="8" t="n"/>
      <c r="V89" s="8" t="n"/>
      <c r="W89" s="3" t="n"/>
      <c r="X89" s="3" t="n"/>
      <c r="Y89" s="3" t="n"/>
      <c r="Z89" s="3" t="n"/>
      <c r="AA89" s="3" t="n"/>
      <c r="AB89" s="3" t="n"/>
      <c r="AC89" s="3" t="n"/>
      <c r="AD89" s="3" t="n"/>
      <c r="AE89" s="3" t="n"/>
      <c r="AF89" s="3" t="n"/>
      <c r="AG89" s="3" t="n"/>
      <c r="AH89" s="3" t="n"/>
      <c r="AI89" s="3" t="n"/>
      <c r="AJ89" s="3" t="n"/>
      <c r="AK89" s="3" t="n"/>
    </row>
    <row r="90">
      <c r="A90" s="7" t="n"/>
      <c r="B90" s="7" t="n"/>
      <c r="C90" s="7" t="n"/>
      <c r="D90" s="7" t="n"/>
      <c r="E90" s="7" t="n"/>
      <c r="F90" s="8" t="n"/>
      <c r="G90" s="8" t="n"/>
      <c r="H90" s="8" t="n"/>
      <c r="I90" s="8" t="n"/>
      <c r="J90" s="8" t="n"/>
      <c r="K90" s="8" t="n"/>
      <c r="L90" s="8" t="n"/>
      <c r="M90" s="8" t="n"/>
      <c r="N90" s="8" t="n"/>
      <c r="O90" s="8" t="n"/>
      <c r="P90" s="8" t="n"/>
      <c r="Q90" s="8" t="n"/>
      <c r="R90" s="8" t="n"/>
      <c r="S90" s="8" t="n"/>
      <c r="T90" s="8" t="n"/>
      <c r="U90" s="8" t="n"/>
      <c r="V90" s="8" t="n"/>
      <c r="W90" s="3" t="n"/>
      <c r="X90" s="3" t="n"/>
      <c r="Y90" s="3" t="n"/>
      <c r="Z90" s="3" t="n"/>
      <c r="AA90" s="3" t="n"/>
      <c r="AB90" s="3" t="n"/>
      <c r="AC90" s="3" t="n"/>
      <c r="AD90" s="3" t="n"/>
      <c r="AE90" s="3" t="n"/>
      <c r="AF90" s="3" t="n"/>
      <c r="AG90" s="3" t="n"/>
      <c r="AH90" s="3" t="n"/>
      <c r="AI90" s="3" t="n"/>
      <c r="AJ90" s="3" t="n"/>
      <c r="AK90" s="3" t="n"/>
    </row>
    <row r="91">
      <c r="A91" s="7" t="n"/>
      <c r="B91" s="7" t="n"/>
      <c r="C91" s="7" t="n"/>
      <c r="D91" s="7" t="n"/>
      <c r="E91" s="7" t="n"/>
      <c r="F91" s="8" t="n"/>
      <c r="G91" s="8" t="n"/>
      <c r="H91" s="8" t="n"/>
      <c r="I91" s="8" t="n"/>
      <c r="J91" s="8" t="n"/>
      <c r="K91" s="8" t="n"/>
      <c r="L91" s="8" t="n"/>
      <c r="M91" s="8" t="n"/>
      <c r="N91" s="8" t="n"/>
      <c r="O91" s="8" t="n"/>
      <c r="P91" s="8" t="n"/>
      <c r="Q91" s="8" t="n"/>
      <c r="R91" s="8" t="n"/>
      <c r="S91" s="8" t="n"/>
      <c r="T91" s="8" t="n"/>
      <c r="U91" s="8" t="n"/>
      <c r="V91" s="8" t="n"/>
      <c r="W91" s="3" t="n"/>
      <c r="X91" s="3" t="n"/>
      <c r="Y91" s="3" t="n"/>
      <c r="Z91" s="3" t="n"/>
      <c r="AA91" s="3" t="n"/>
      <c r="AB91" s="3" t="n"/>
      <c r="AC91" s="3" t="n"/>
      <c r="AD91" s="3" t="n"/>
      <c r="AE91" s="3" t="n"/>
      <c r="AF91" s="3" t="n"/>
      <c r="AG91" s="3" t="n"/>
      <c r="AH91" s="3" t="n"/>
      <c r="AI91" s="3" t="n"/>
      <c r="AJ91" s="3" t="n"/>
      <c r="AK91" s="3" t="n"/>
    </row>
    <row r="92">
      <c r="A92" s="7" t="n"/>
      <c r="B92" s="7" t="n"/>
      <c r="C92" s="7" t="n"/>
      <c r="D92" s="7" t="n"/>
      <c r="E92" s="7" t="n"/>
      <c r="F92" s="8" t="n"/>
      <c r="G92" s="8" t="n"/>
      <c r="H92" s="8" t="n"/>
      <c r="I92" s="8" t="n"/>
      <c r="J92" s="8" t="n"/>
      <c r="K92" s="8" t="n"/>
      <c r="L92" s="8" t="n"/>
      <c r="M92" s="8" t="n"/>
      <c r="N92" s="8" t="n"/>
      <c r="O92" s="8" t="n"/>
      <c r="P92" s="8" t="n"/>
      <c r="Q92" s="8" t="n"/>
      <c r="R92" s="8" t="n"/>
      <c r="S92" s="8" t="n"/>
      <c r="T92" s="8" t="n"/>
      <c r="U92" s="8" t="n"/>
      <c r="V92" s="8" t="n"/>
      <c r="W92" s="3" t="n"/>
      <c r="X92" s="3" t="n"/>
      <c r="Y92" s="3" t="n"/>
      <c r="Z92" s="3" t="n"/>
      <c r="AA92" s="3" t="n"/>
      <c r="AB92" s="3" t="n"/>
      <c r="AC92" s="3" t="n"/>
      <c r="AD92" s="3" t="n"/>
      <c r="AE92" s="3" t="n"/>
      <c r="AF92" s="3" t="n"/>
      <c r="AG92" s="3" t="n"/>
      <c r="AH92" s="3" t="n"/>
      <c r="AI92" s="3" t="n"/>
      <c r="AJ92" s="3" t="n"/>
      <c r="AK92" s="3" t="n"/>
    </row>
    <row r="93">
      <c r="A93" s="7" t="n"/>
      <c r="B93" s="7" t="n"/>
      <c r="C93" s="7" t="n"/>
      <c r="D93" s="7" t="n"/>
      <c r="E93" s="7" t="n"/>
      <c r="F93" s="8" t="n"/>
      <c r="G93" s="8" t="n"/>
      <c r="H93" s="8" t="n"/>
      <c r="I93" s="8" t="n"/>
      <c r="J93" s="8" t="n"/>
      <c r="K93" s="8" t="n"/>
      <c r="L93" s="8" t="n"/>
      <c r="M93" s="8" t="n"/>
      <c r="N93" s="8" t="n"/>
      <c r="O93" s="8" t="n"/>
      <c r="P93" s="8" t="n"/>
      <c r="Q93" s="8" t="n"/>
      <c r="R93" s="8" t="n"/>
      <c r="S93" s="8" t="n"/>
      <c r="T93" s="8" t="n"/>
      <c r="U93" s="8" t="n"/>
      <c r="V93" s="8" t="n"/>
      <c r="W93" s="3" t="n"/>
      <c r="X93" s="3" t="n"/>
      <c r="Y93" s="3" t="n"/>
      <c r="Z93" s="3" t="n"/>
      <c r="AA93" s="3" t="n"/>
      <c r="AB93" s="3" t="n"/>
      <c r="AC93" s="3" t="n"/>
      <c r="AD93" s="3" t="n"/>
      <c r="AE93" s="3" t="n"/>
      <c r="AF93" s="3" t="n"/>
      <c r="AG93" s="3" t="n"/>
      <c r="AH93" s="3" t="n"/>
      <c r="AI93" s="3" t="n"/>
      <c r="AJ93" s="3" t="n"/>
      <c r="AK93" s="3" t="n"/>
    </row>
    <row r="94">
      <c r="A94" s="7" t="n"/>
      <c r="B94" s="7" t="n"/>
      <c r="C94" s="7" t="n"/>
      <c r="D94" s="7" t="n"/>
      <c r="E94" s="7" t="n"/>
      <c r="F94" s="8" t="n"/>
      <c r="G94" s="8" t="n"/>
      <c r="H94" s="8" t="n"/>
      <c r="I94" s="8" t="n"/>
      <c r="J94" s="8" t="n"/>
      <c r="K94" s="8" t="n"/>
      <c r="L94" s="8" t="n"/>
      <c r="M94" s="8" t="n"/>
      <c r="N94" s="8" t="n"/>
      <c r="O94" s="8" t="n"/>
      <c r="P94" s="8" t="n"/>
      <c r="Q94" s="8" t="n"/>
      <c r="R94" s="8" t="n"/>
      <c r="S94" s="8" t="n"/>
      <c r="T94" s="8" t="n"/>
      <c r="U94" s="8" t="n"/>
      <c r="V94" s="8" t="n"/>
      <c r="W94" s="3" t="n"/>
      <c r="X94" s="3" t="n"/>
      <c r="Y94" s="3" t="n"/>
      <c r="Z94" s="3" t="n"/>
      <c r="AA94" s="3" t="n"/>
      <c r="AB94" s="3" t="n"/>
      <c r="AC94" s="3" t="n"/>
      <c r="AD94" s="3" t="n"/>
      <c r="AE94" s="3" t="n"/>
      <c r="AF94" s="3" t="n"/>
      <c r="AG94" s="3" t="n"/>
      <c r="AH94" s="3" t="n"/>
      <c r="AI94" s="3" t="n"/>
      <c r="AJ94" s="3" t="n"/>
      <c r="AK94" s="3" t="n"/>
    </row>
    <row r="95">
      <c r="A95" s="7" t="n"/>
      <c r="B95" s="7" t="n"/>
      <c r="C95" s="7" t="n"/>
      <c r="D95" s="7" t="n"/>
      <c r="E95" s="7" t="n"/>
      <c r="F95" s="8" t="n"/>
      <c r="G95" s="8" t="n"/>
      <c r="H95" s="8" t="n"/>
      <c r="I95" s="8" t="n"/>
      <c r="J95" s="8" t="n"/>
      <c r="K95" s="8" t="n"/>
      <c r="L95" s="8" t="n"/>
      <c r="M95" s="8" t="n"/>
      <c r="N95" s="8" t="n"/>
      <c r="O95" s="8" t="n"/>
      <c r="P95" s="8" t="n"/>
      <c r="Q95" s="8" t="n"/>
      <c r="R95" s="8" t="n"/>
      <c r="S95" s="8" t="n"/>
      <c r="T95" s="8" t="n"/>
      <c r="U95" s="8" t="n"/>
      <c r="V95" s="8" t="n"/>
      <c r="W95" s="3" t="n"/>
      <c r="X95" s="3" t="n"/>
      <c r="Y95" s="3" t="n"/>
      <c r="Z95" s="3" t="n"/>
      <c r="AA95" s="3" t="n"/>
      <c r="AB95" s="3" t="n"/>
      <c r="AC95" s="3" t="n"/>
      <c r="AD95" s="3" t="n"/>
      <c r="AE95" s="3" t="n"/>
      <c r="AF95" s="3" t="n"/>
      <c r="AG95" s="3" t="n"/>
      <c r="AH95" s="3" t="n"/>
      <c r="AI95" s="3" t="n"/>
      <c r="AJ95" s="3" t="n"/>
      <c r="AK95" s="3" t="n"/>
    </row>
    <row r="96">
      <c r="A96" s="7" t="n"/>
      <c r="B96" s="7" t="n"/>
      <c r="C96" s="7" t="n"/>
      <c r="D96" s="7" t="n"/>
      <c r="E96" s="7" t="n"/>
      <c r="F96" s="8" t="n"/>
      <c r="G96" s="8" t="n"/>
      <c r="H96" s="8" t="n"/>
      <c r="I96" s="8" t="n"/>
      <c r="J96" s="8" t="n"/>
      <c r="K96" s="8" t="n"/>
      <c r="L96" s="8" t="n"/>
      <c r="M96" s="8" t="n"/>
      <c r="N96" s="8" t="n"/>
      <c r="O96" s="8" t="n"/>
      <c r="P96" s="8" t="n"/>
      <c r="Q96" s="8" t="n"/>
      <c r="R96" s="8" t="n"/>
      <c r="S96" s="8" t="n"/>
      <c r="T96" s="8" t="n"/>
      <c r="U96" s="8" t="n"/>
      <c r="V96" s="8" t="n"/>
      <c r="W96" s="3" t="n"/>
      <c r="X96" s="3" t="n"/>
      <c r="Y96" s="3" t="n"/>
      <c r="Z96" s="3" t="n"/>
      <c r="AA96" s="3" t="n"/>
      <c r="AB96" s="3" t="n"/>
      <c r="AC96" s="3" t="n"/>
      <c r="AD96" s="3" t="n"/>
      <c r="AE96" s="3" t="n"/>
      <c r="AF96" s="3" t="n"/>
      <c r="AG96" s="3" t="n"/>
      <c r="AH96" s="3" t="n"/>
      <c r="AI96" s="3" t="n"/>
      <c r="AJ96" s="3" t="n"/>
      <c r="AK96" s="3" t="n"/>
    </row>
    <row r="97">
      <c r="A97" s="7" t="n"/>
      <c r="B97" s="7" t="n"/>
      <c r="C97" s="7" t="n"/>
      <c r="D97" s="7" t="n"/>
      <c r="E97" s="7" t="n"/>
      <c r="F97" s="8" t="n"/>
      <c r="G97" s="8" t="n"/>
      <c r="H97" s="8" t="n"/>
      <c r="I97" s="8" t="n"/>
      <c r="J97" s="8" t="n"/>
      <c r="K97" s="8" t="n"/>
      <c r="L97" s="8" t="n"/>
      <c r="M97" s="8" t="n"/>
      <c r="N97" s="8" t="n"/>
      <c r="O97" s="8" t="n"/>
      <c r="P97" s="8" t="n"/>
      <c r="Q97" s="8" t="n"/>
      <c r="R97" s="8" t="n"/>
      <c r="S97" s="8" t="n"/>
      <c r="T97" s="8" t="n"/>
      <c r="U97" s="8" t="n"/>
      <c r="V97" s="8" t="n"/>
      <c r="W97" s="3" t="n"/>
      <c r="X97" s="3" t="n"/>
      <c r="Y97" s="3" t="n"/>
      <c r="Z97" s="3" t="n"/>
      <c r="AA97" s="3" t="n"/>
      <c r="AB97" s="3" t="n"/>
      <c r="AC97" s="3" t="n"/>
      <c r="AD97" s="3" t="n"/>
      <c r="AE97" s="3" t="n"/>
      <c r="AF97" s="3" t="n"/>
      <c r="AG97" s="3" t="n"/>
      <c r="AH97" s="3" t="n"/>
      <c r="AI97" s="3" t="n"/>
      <c r="AJ97" s="3" t="n"/>
      <c r="AK97" s="3" t="n"/>
    </row>
    <row r="98">
      <c r="A98" s="7" t="n"/>
      <c r="B98" s="7" t="n"/>
      <c r="C98" s="7" t="n"/>
      <c r="D98" s="7" t="n"/>
      <c r="E98" s="7" t="n"/>
      <c r="F98" s="8" t="n"/>
      <c r="G98" s="8" t="n"/>
      <c r="H98" s="8" t="n"/>
      <c r="I98" s="8" t="n"/>
      <c r="J98" s="8" t="n"/>
      <c r="K98" s="8" t="n"/>
      <c r="L98" s="8" t="n"/>
      <c r="M98" s="8" t="n"/>
      <c r="N98" s="8" t="n"/>
      <c r="O98" s="8" t="n"/>
      <c r="P98" s="8" t="n"/>
      <c r="Q98" s="8" t="n"/>
      <c r="R98" s="8" t="n"/>
      <c r="S98" s="8" t="n"/>
      <c r="T98" s="8" t="n"/>
      <c r="U98" s="8" t="n"/>
      <c r="V98" s="8" t="n"/>
      <c r="W98" s="3" t="n"/>
      <c r="X98" s="3" t="n"/>
      <c r="Y98" s="3" t="n"/>
      <c r="Z98" s="3" t="n"/>
      <c r="AA98" s="3" t="n"/>
      <c r="AB98" s="3" t="n"/>
      <c r="AC98" s="3" t="n"/>
      <c r="AD98" s="3" t="n"/>
      <c r="AE98" s="3" t="n"/>
      <c r="AF98" s="3" t="n"/>
      <c r="AG98" s="3" t="n"/>
      <c r="AH98" s="3" t="n"/>
      <c r="AI98" s="3" t="n"/>
      <c r="AJ98" s="3" t="n"/>
      <c r="AK98" s="3" t="n"/>
    </row>
    <row r="99">
      <c r="A99" s="7" t="n"/>
      <c r="B99" s="7" t="n"/>
      <c r="C99" s="7" t="n"/>
      <c r="D99" s="7" t="n"/>
      <c r="E99" s="7" t="n"/>
      <c r="F99" s="8" t="n"/>
      <c r="G99" s="8" t="n"/>
      <c r="H99" s="8" t="n"/>
      <c r="I99" s="8" t="n"/>
      <c r="J99" s="8" t="n"/>
      <c r="K99" s="8" t="n"/>
      <c r="L99" s="8" t="n"/>
      <c r="M99" s="8" t="n"/>
      <c r="N99" s="8" t="n"/>
      <c r="O99" s="8" t="n"/>
      <c r="P99" s="8" t="n"/>
      <c r="Q99" s="8" t="n"/>
      <c r="R99" s="8" t="n"/>
      <c r="S99" s="8" t="n"/>
      <c r="T99" s="8" t="n"/>
      <c r="U99" s="8" t="n"/>
      <c r="V99" s="8" t="n"/>
      <c r="W99" s="3" t="n"/>
      <c r="X99" s="3" t="n"/>
      <c r="Y99" s="3" t="n"/>
      <c r="Z99" s="3" t="n"/>
      <c r="AA99" s="3" t="n"/>
      <c r="AB99" s="3" t="n"/>
      <c r="AC99" s="3" t="n"/>
      <c r="AD99" s="3" t="n"/>
      <c r="AE99" s="3" t="n"/>
      <c r="AF99" s="3" t="n"/>
      <c r="AG99" s="3" t="n"/>
      <c r="AH99" s="3" t="n"/>
      <c r="AI99" s="3" t="n"/>
      <c r="AJ99" s="3" t="n"/>
      <c r="AK99" s="3" t="n"/>
    </row>
    <row r="100">
      <c r="A100" s="7" t="n"/>
      <c r="B100" s="7" t="n"/>
      <c r="C100" s="7" t="n"/>
      <c r="D100" s="7" t="n"/>
      <c r="E100" s="7" t="n"/>
      <c r="F100" s="8" t="n"/>
      <c r="G100" s="8" t="n"/>
      <c r="H100" s="8" t="n"/>
      <c r="I100" s="8" t="n"/>
      <c r="J100" s="8" t="n"/>
      <c r="K100" s="8" t="n"/>
      <c r="L100" s="8" t="n"/>
      <c r="M100" s="8" t="n"/>
      <c r="N100" s="8" t="n"/>
      <c r="O100" s="8" t="n"/>
      <c r="P100" s="8" t="n"/>
      <c r="Q100" s="8" t="n"/>
      <c r="R100" s="8" t="n"/>
      <c r="S100" s="8" t="n"/>
      <c r="T100" s="8" t="n"/>
      <c r="U100" s="8" t="n"/>
      <c r="V100" s="8" t="n"/>
      <c r="W100" s="3" t="n"/>
      <c r="X100" s="3" t="n"/>
      <c r="Y100" s="3" t="n"/>
      <c r="Z100" s="3" t="n"/>
      <c r="AA100" s="3" t="n"/>
      <c r="AB100" s="3" t="n"/>
      <c r="AC100" s="3" t="n"/>
      <c r="AD100" s="3" t="n"/>
      <c r="AE100" s="3" t="n"/>
      <c r="AF100" s="3" t="n"/>
      <c r="AG100" s="3" t="n"/>
      <c r="AH100" s="3" t="n"/>
      <c r="AI100" s="3" t="n"/>
      <c r="AJ100" s="3" t="n"/>
      <c r="AK100" s="3" t="n"/>
    </row>
    <row r="101">
      <c r="A101" s="7" t="n"/>
      <c r="B101" s="7" t="n"/>
      <c r="C101" s="7" t="n"/>
      <c r="D101" s="7" t="n"/>
      <c r="E101" s="7" t="n"/>
      <c r="F101" s="8" t="n"/>
      <c r="G101" s="8" t="n"/>
      <c r="H101" s="8" t="n"/>
      <c r="I101" s="8" t="n"/>
      <c r="J101" s="8" t="n"/>
      <c r="K101" s="8" t="n"/>
      <c r="L101" s="8" t="n"/>
      <c r="M101" s="8" t="n"/>
      <c r="N101" s="8" t="n"/>
      <c r="O101" s="8" t="n"/>
      <c r="P101" s="8" t="n"/>
      <c r="Q101" s="8" t="n"/>
      <c r="R101" s="8" t="n"/>
      <c r="S101" s="8" t="n"/>
      <c r="T101" s="8" t="n"/>
      <c r="U101" s="8" t="n"/>
      <c r="V101" s="8" t="n"/>
      <c r="W101" s="3" t="n"/>
      <c r="X101" s="3" t="n"/>
      <c r="Y101" s="3" t="n"/>
      <c r="Z101" s="3" t="n"/>
      <c r="AA101" s="3" t="n"/>
      <c r="AB101" s="3" t="n"/>
      <c r="AC101" s="3" t="n"/>
      <c r="AD101" s="3" t="n"/>
      <c r="AE101" s="3" t="n"/>
      <c r="AF101" s="3" t="n"/>
      <c r="AG101" s="3" t="n"/>
      <c r="AH101" s="3" t="n"/>
      <c r="AI101" s="3" t="n"/>
      <c r="AJ101" s="3" t="n"/>
      <c r="AK101" s="3" t="n"/>
    </row>
    <row r="102">
      <c r="A102" s="7" t="n"/>
      <c r="B102" s="7" t="n"/>
      <c r="C102" s="7" t="n"/>
      <c r="D102" s="7" t="n"/>
      <c r="E102" s="7" t="n"/>
      <c r="F102" s="8" t="n"/>
      <c r="G102" s="8" t="n"/>
      <c r="H102" s="8" t="n"/>
      <c r="I102" s="8" t="n"/>
      <c r="J102" s="8" t="n"/>
      <c r="K102" s="8" t="n"/>
      <c r="L102" s="8" t="n"/>
      <c r="M102" s="8" t="n"/>
      <c r="N102" s="8" t="n"/>
      <c r="O102" s="8" t="n"/>
      <c r="P102" s="8" t="n"/>
      <c r="Q102" s="8" t="n"/>
      <c r="R102" s="8" t="n"/>
      <c r="S102" s="8" t="n"/>
      <c r="T102" s="8" t="n"/>
      <c r="U102" s="8" t="n"/>
      <c r="V102" s="8" t="n"/>
      <c r="W102" s="3" t="n"/>
      <c r="X102" s="3" t="n"/>
      <c r="Y102" s="3" t="n"/>
      <c r="Z102" s="3" t="n"/>
      <c r="AA102" s="3" t="n"/>
      <c r="AB102" s="3" t="n"/>
      <c r="AC102" s="3" t="n"/>
      <c r="AD102" s="3" t="n"/>
      <c r="AE102" s="3" t="n"/>
      <c r="AF102" s="3" t="n"/>
      <c r="AG102" s="3" t="n"/>
      <c r="AH102" s="3" t="n"/>
      <c r="AI102" s="3" t="n"/>
      <c r="AJ102" s="3" t="n"/>
      <c r="AK102" s="3" t="n"/>
    </row>
    <row r="103">
      <c r="A103" s="7" t="n"/>
      <c r="B103" s="7" t="n"/>
      <c r="C103" s="7" t="n"/>
      <c r="D103" s="7" t="n"/>
      <c r="E103" s="7" t="n"/>
      <c r="F103" s="8" t="n"/>
      <c r="G103" s="8" t="n"/>
      <c r="H103" s="8" t="n"/>
      <c r="I103" s="8" t="n"/>
      <c r="J103" s="8" t="n"/>
      <c r="K103" s="8" t="n"/>
      <c r="L103" s="8" t="n"/>
      <c r="M103" s="8" t="n"/>
      <c r="N103" s="8" t="n"/>
      <c r="O103" s="8" t="n"/>
      <c r="P103" s="8" t="n"/>
      <c r="Q103" s="8" t="n"/>
      <c r="R103" s="8" t="n"/>
      <c r="S103" s="8" t="n"/>
      <c r="T103" s="8" t="n"/>
      <c r="U103" s="8" t="n"/>
      <c r="V103" s="8" t="n"/>
      <c r="W103" s="3" t="n"/>
      <c r="X103" s="3" t="n"/>
      <c r="Y103" s="3" t="n"/>
      <c r="Z103" s="3" t="n"/>
      <c r="AA103" s="3" t="n"/>
      <c r="AB103" s="3" t="n"/>
      <c r="AC103" s="3" t="n"/>
      <c r="AD103" s="3" t="n"/>
      <c r="AE103" s="3" t="n"/>
      <c r="AF103" s="3" t="n"/>
      <c r="AG103" s="3" t="n"/>
      <c r="AH103" s="3" t="n"/>
      <c r="AI103" s="3" t="n"/>
      <c r="AJ103" s="3" t="n"/>
      <c r="AK103" s="3" t="n"/>
    </row>
    <row r="104">
      <c r="A104" s="7" t="n"/>
      <c r="B104" s="7" t="n"/>
      <c r="C104" s="7" t="n"/>
      <c r="D104" s="7" t="n"/>
      <c r="E104" s="7" t="n"/>
      <c r="F104" s="8" t="n"/>
      <c r="G104" s="8" t="n"/>
      <c r="H104" s="8" t="n"/>
      <c r="I104" s="8" t="n"/>
      <c r="J104" s="8" t="n"/>
      <c r="K104" s="8" t="n"/>
      <c r="L104" s="8" t="n"/>
      <c r="M104" s="8" t="n"/>
      <c r="N104" s="8" t="n"/>
      <c r="O104" s="8" t="n"/>
      <c r="P104" s="8" t="n"/>
      <c r="Q104" s="8" t="n"/>
      <c r="R104" s="8" t="n"/>
      <c r="S104" s="8" t="n"/>
      <c r="T104" s="8" t="n"/>
      <c r="U104" s="8" t="n"/>
      <c r="V104" s="8" t="n"/>
      <c r="W104" s="3" t="n"/>
      <c r="X104" s="3" t="n"/>
      <c r="Y104" s="3" t="n"/>
      <c r="Z104" s="3" t="n"/>
      <c r="AA104" s="3" t="n"/>
      <c r="AB104" s="3" t="n"/>
      <c r="AC104" s="3" t="n"/>
      <c r="AD104" s="3" t="n"/>
      <c r="AE104" s="3" t="n"/>
      <c r="AF104" s="3" t="n"/>
      <c r="AG104" s="3" t="n"/>
      <c r="AH104" s="3" t="n"/>
      <c r="AI104" s="3" t="n"/>
      <c r="AJ104" s="3" t="n"/>
      <c r="AK104" s="3" t="n"/>
    </row>
    <row r="105">
      <c r="A105" s="7" t="n"/>
      <c r="B105" s="7" t="n"/>
      <c r="C105" s="7" t="n"/>
      <c r="D105" s="7" t="n"/>
      <c r="E105" s="7" t="n"/>
      <c r="F105" s="8" t="n"/>
      <c r="G105" s="8" t="n"/>
      <c r="H105" s="8" t="n"/>
      <c r="I105" s="8" t="n"/>
      <c r="J105" s="8" t="n"/>
      <c r="K105" s="8" t="n"/>
      <c r="L105" s="8" t="n"/>
      <c r="M105" s="8" t="n"/>
      <c r="N105" s="8" t="n"/>
      <c r="O105" s="8" t="n"/>
      <c r="P105" s="8" t="n"/>
      <c r="Q105" s="8" t="n"/>
      <c r="R105" s="8" t="n"/>
      <c r="S105" s="8" t="n"/>
      <c r="T105" s="8" t="n"/>
      <c r="U105" s="8" t="n"/>
      <c r="V105" s="8" t="n"/>
      <c r="W105" s="3" t="n"/>
      <c r="X105" s="3" t="n"/>
      <c r="Y105" s="3" t="n"/>
      <c r="Z105" s="3" t="n"/>
      <c r="AA105" s="3" t="n"/>
      <c r="AB105" s="3" t="n"/>
      <c r="AC105" s="3" t="n"/>
      <c r="AD105" s="3" t="n"/>
      <c r="AE105" s="3" t="n"/>
      <c r="AF105" s="3" t="n"/>
      <c r="AG105" s="3" t="n"/>
      <c r="AH105" s="3" t="n"/>
      <c r="AI105" s="3" t="n"/>
      <c r="AJ105" s="3" t="n"/>
      <c r="AK105" s="3" t="n"/>
    </row>
    <row r="106">
      <c r="A106" s="7" t="n"/>
      <c r="B106" s="7" t="n"/>
      <c r="C106" s="7" t="n"/>
      <c r="D106" s="7" t="n"/>
      <c r="E106" s="7" t="n"/>
      <c r="F106" s="8" t="n"/>
      <c r="G106" s="8" t="n"/>
      <c r="H106" s="8" t="n"/>
      <c r="I106" s="8" t="n"/>
      <c r="J106" s="8" t="n"/>
      <c r="K106" s="8" t="n"/>
      <c r="L106" s="8" t="n"/>
      <c r="M106" s="8" t="n"/>
      <c r="N106" s="8" t="n"/>
      <c r="O106" s="8" t="n"/>
      <c r="P106" s="8" t="n"/>
      <c r="Q106" s="8" t="n"/>
      <c r="R106" s="8" t="n"/>
      <c r="S106" s="8" t="n"/>
      <c r="T106" s="8" t="n"/>
      <c r="U106" s="8" t="n"/>
      <c r="V106" s="8" t="n"/>
      <c r="W106" s="3" t="n"/>
      <c r="X106" s="3" t="n"/>
      <c r="Y106" s="3" t="n"/>
      <c r="Z106" s="3" t="n"/>
      <c r="AA106" s="3" t="n"/>
      <c r="AB106" s="3" t="n"/>
      <c r="AC106" s="3" t="n"/>
      <c r="AD106" s="3" t="n"/>
      <c r="AE106" s="3" t="n"/>
      <c r="AF106" s="3" t="n"/>
      <c r="AG106" s="3" t="n"/>
      <c r="AH106" s="3" t="n"/>
      <c r="AI106" s="3" t="n"/>
      <c r="AJ106" s="3" t="n"/>
      <c r="AK106" s="3" t="n"/>
    </row>
    <row r="107">
      <c r="O107" s="3" t="n"/>
      <c r="P107" s="3" t="n"/>
      <c r="Q107" s="3" t="n"/>
      <c r="R107" s="3" t="n"/>
      <c r="S107" s="3" t="n"/>
      <c r="T107" s="3" t="n"/>
      <c r="U107" s="3" t="n"/>
      <c r="V107" s="3" t="n"/>
      <c r="W107" s="3" t="n"/>
      <c r="X107" s="3" t="n"/>
      <c r="Y107" s="3" t="n"/>
      <c r="Z107" s="3" t="n"/>
      <c r="AA107" s="3" t="n"/>
      <c r="AB107" s="3" t="n"/>
      <c r="AC107" s="3" t="n"/>
      <c r="AD107" s="3" t="n"/>
      <c r="AE107" s="3" t="n"/>
      <c r="AF107" s="3" t="n"/>
      <c r="AG107" s="3" t="n"/>
      <c r="AH107" s="3" t="n"/>
      <c r="AI107" s="3" t="n"/>
      <c r="AJ107" s="3" t="n"/>
      <c r="AK107" s="3" t="n"/>
    </row>
    <row r="108">
      <c r="O108" s="3" t="n"/>
      <c r="P108" s="3" t="n"/>
      <c r="Q108" s="3" t="n"/>
      <c r="R108" s="3" t="n"/>
      <c r="S108" s="3" t="n"/>
      <c r="T108" s="3" t="n"/>
      <c r="U108" s="3" t="n"/>
      <c r="V108" s="3" t="n"/>
      <c r="W108" s="3" t="n"/>
      <c r="X108" s="3" t="n"/>
      <c r="Y108" s="3" t="n"/>
      <c r="Z108" s="3" t="n"/>
      <c r="AA108" s="3" t="n"/>
      <c r="AB108" s="3" t="n"/>
      <c r="AC108" s="3" t="n"/>
      <c r="AD108" s="3" t="n"/>
      <c r="AE108" s="3" t="n"/>
      <c r="AF108" s="3" t="n"/>
      <c r="AG108" s="3" t="n"/>
      <c r="AH108" s="3" t="n"/>
      <c r="AI108" s="3" t="n"/>
      <c r="AJ108" s="3" t="n"/>
      <c r="AK108" s="3" t="n"/>
    </row>
    <row r="109">
      <c r="O109" s="3" t="n"/>
      <c r="P109" s="3" t="n"/>
      <c r="Q109" s="3" t="n"/>
      <c r="R109" s="3" t="n"/>
      <c r="S109" s="3" t="n"/>
      <c r="T109" s="3" t="n"/>
      <c r="U109" s="3" t="n"/>
      <c r="V109" s="3" t="n"/>
      <c r="W109" s="3" t="n"/>
      <c r="X109" s="3" t="n"/>
      <c r="Y109" s="3" t="n"/>
      <c r="Z109" s="3" t="n"/>
      <c r="AA109" s="3" t="n"/>
      <c r="AB109" s="3" t="n"/>
      <c r="AC109" s="3" t="n"/>
      <c r="AD109" s="3" t="n"/>
      <c r="AE109" s="3" t="n"/>
      <c r="AF109" s="3" t="n"/>
      <c r="AG109" s="3" t="n"/>
      <c r="AH109" s="3" t="n"/>
      <c r="AI109" s="3" t="n"/>
      <c r="AJ109" s="3" t="n"/>
      <c r="AK109" s="3" t="n"/>
    </row>
    <row r="110">
      <c r="O110" s="3" t="n"/>
      <c r="P110" s="3" t="n"/>
      <c r="Q110" s="3" t="n"/>
      <c r="R110" s="3" t="n"/>
      <c r="S110" s="3" t="n"/>
      <c r="T110" s="3" t="n"/>
      <c r="U110" s="3" t="n"/>
      <c r="V110" s="3" t="n"/>
      <c r="W110" s="3" t="n"/>
      <c r="X110" s="3" t="n"/>
      <c r="Y110" s="3" t="n"/>
      <c r="Z110" s="3" t="n"/>
      <c r="AA110" s="3" t="n"/>
      <c r="AB110" s="3" t="n"/>
      <c r="AC110" s="3" t="n"/>
      <c r="AD110" s="3" t="n"/>
      <c r="AE110" s="3" t="n"/>
      <c r="AF110" s="3" t="n"/>
      <c r="AG110" s="3" t="n"/>
      <c r="AH110" s="3" t="n"/>
      <c r="AI110" s="3" t="n"/>
      <c r="AJ110" s="3" t="n"/>
      <c r="AK110" s="3" t="n"/>
    </row>
    <row r="111">
      <c r="O111" s="3" t="n"/>
      <c r="P111" s="3" t="n"/>
      <c r="Q111" s="3" t="n"/>
      <c r="R111" s="3" t="n"/>
      <c r="S111" s="3" t="n"/>
      <c r="T111" s="3" t="n"/>
      <c r="U111" s="3" t="n"/>
      <c r="V111" s="3" t="n"/>
      <c r="W111" s="3" t="n"/>
      <c r="X111" s="3" t="n"/>
      <c r="Y111" s="3" t="n"/>
      <c r="Z111" s="3" t="n"/>
      <c r="AA111" s="3" t="n"/>
      <c r="AB111" s="3" t="n"/>
      <c r="AC111" s="3" t="n"/>
      <c r="AD111" s="3" t="n"/>
      <c r="AE111" s="3" t="n"/>
      <c r="AF111" s="3" t="n"/>
      <c r="AG111" s="3" t="n"/>
      <c r="AH111" s="3" t="n"/>
      <c r="AI111" s="3" t="n"/>
      <c r="AJ111" s="3" t="n"/>
      <c r="AK111" s="3" t="n"/>
    </row>
    <row r="112">
      <c r="O112" s="3" t="n"/>
      <c r="P112" s="3" t="n"/>
      <c r="Q112" s="3" t="n"/>
      <c r="R112" s="3" t="n"/>
      <c r="S112" s="3" t="n"/>
      <c r="T112" s="3" t="n"/>
      <c r="U112" s="3" t="n"/>
      <c r="V112" s="3" t="n"/>
      <c r="W112" s="3" t="n"/>
      <c r="X112" s="3" t="n"/>
      <c r="Y112" s="3" t="n"/>
      <c r="Z112" s="3" t="n"/>
      <c r="AA112" s="3" t="n"/>
      <c r="AB112" s="3" t="n"/>
      <c r="AC112" s="3" t="n"/>
      <c r="AD112" s="3" t="n"/>
      <c r="AE112" s="3" t="n"/>
      <c r="AF112" s="3" t="n"/>
      <c r="AG112" s="3" t="n"/>
      <c r="AH112" s="3" t="n"/>
      <c r="AI112" s="3" t="n"/>
      <c r="AJ112" s="3" t="n"/>
      <c r="AK112" s="3" t="n"/>
    </row>
    <row r="113">
      <c r="O113" s="3" t="n"/>
      <c r="P113" s="3" t="n"/>
      <c r="Q113" s="3" t="n"/>
      <c r="R113" s="3" t="n"/>
      <c r="S113" s="3" t="n"/>
      <c r="T113" s="3" t="n"/>
      <c r="U113" s="3" t="n"/>
      <c r="V113" s="3" t="n"/>
      <c r="W113" s="3" t="n"/>
      <c r="X113" s="3" t="n"/>
      <c r="Y113" s="3" t="n"/>
      <c r="Z113" s="3" t="n"/>
      <c r="AA113" s="3" t="n"/>
      <c r="AB113" s="3" t="n"/>
      <c r="AC113" s="3" t="n"/>
      <c r="AD113" s="3" t="n"/>
      <c r="AE113" s="3" t="n"/>
      <c r="AF113" s="3" t="n"/>
      <c r="AG113" s="3" t="n"/>
      <c r="AH113" s="3" t="n"/>
      <c r="AI113" s="3" t="n"/>
      <c r="AJ113" s="3" t="n"/>
      <c r="AK113" s="3" t="n"/>
    </row>
    <row r="114">
      <c r="O114" s="3" t="n"/>
      <c r="P114" s="3" t="n"/>
      <c r="Q114" s="3" t="n"/>
      <c r="R114" s="3" t="n"/>
      <c r="S114" s="3" t="n"/>
      <c r="T114" s="3" t="n"/>
      <c r="U114" s="3" t="n"/>
      <c r="V114" s="3" t="n"/>
      <c r="W114" s="3" t="n"/>
      <c r="X114" s="3" t="n"/>
      <c r="Y114" s="3" t="n"/>
      <c r="Z114" s="3" t="n"/>
      <c r="AA114" s="3" t="n"/>
      <c r="AB114" s="3" t="n"/>
      <c r="AC114" s="3" t="n"/>
      <c r="AD114" s="3" t="n"/>
      <c r="AE114" s="3" t="n"/>
      <c r="AF114" s="3" t="n"/>
      <c r="AG114" s="3" t="n"/>
      <c r="AH114" s="3" t="n"/>
      <c r="AI114" s="3" t="n"/>
      <c r="AJ114" s="3" t="n"/>
      <c r="AK114" s="3" t="n"/>
    </row>
    <row r="115">
      <c r="O115" s="3" t="n"/>
      <c r="P115" s="3" t="n"/>
      <c r="Q115" s="3" t="n"/>
      <c r="R115" s="3" t="n"/>
      <c r="S115" s="3" t="n"/>
      <c r="T115" s="3" t="n"/>
      <c r="U115" s="3" t="n"/>
      <c r="V115" s="3" t="n"/>
      <c r="W115" s="3" t="n"/>
      <c r="X115" s="3" t="n"/>
      <c r="Y115" s="3" t="n"/>
      <c r="Z115" s="3" t="n"/>
      <c r="AA115" s="3" t="n"/>
      <c r="AB115" s="3" t="n"/>
      <c r="AC115" s="3" t="n"/>
      <c r="AD115" s="3" t="n"/>
      <c r="AE115" s="3" t="n"/>
      <c r="AF115" s="3" t="n"/>
      <c r="AG115" s="3" t="n"/>
      <c r="AH115" s="3" t="n"/>
      <c r="AI115" s="3" t="n"/>
      <c r="AJ115" s="3" t="n"/>
      <c r="AK115" s="3" t="n"/>
    </row>
    <row r="116">
      <c r="O116" s="3" t="n"/>
      <c r="P116" s="3" t="n"/>
      <c r="Q116" s="3" t="n"/>
      <c r="R116" s="3" t="n"/>
      <c r="S116" s="3" t="n"/>
      <c r="T116" s="3" t="n"/>
      <c r="U116" s="3" t="n"/>
      <c r="V116" s="3" t="n"/>
      <c r="W116" s="3" t="n"/>
      <c r="X116" s="3" t="n"/>
      <c r="Y116" s="3" t="n"/>
      <c r="Z116" s="3" t="n"/>
      <c r="AA116" s="3" t="n"/>
      <c r="AB116" s="3" t="n"/>
      <c r="AC116" s="3" t="n"/>
      <c r="AD116" s="3" t="n"/>
      <c r="AE116" s="3" t="n"/>
      <c r="AF116" s="3" t="n"/>
      <c r="AG116" s="3" t="n"/>
      <c r="AH116" s="3" t="n"/>
      <c r="AI116" s="3" t="n"/>
      <c r="AJ116" s="3" t="n"/>
      <c r="AK116" s="3" t="n"/>
    </row>
    <row r="117">
      <c r="O117" s="3" t="n"/>
      <c r="P117" s="3" t="n"/>
      <c r="Q117" s="3" t="n"/>
      <c r="R117" s="3" t="n"/>
      <c r="S117" s="3" t="n"/>
      <c r="T117" s="3" t="n"/>
      <c r="U117" s="3" t="n"/>
      <c r="V117" s="3" t="n"/>
      <c r="W117" s="3" t="n"/>
      <c r="X117" s="3" t="n"/>
      <c r="Y117" s="3" t="n"/>
      <c r="Z117" s="3" t="n"/>
      <c r="AA117" s="3" t="n"/>
      <c r="AB117" s="3" t="n"/>
      <c r="AC117" s="3" t="n"/>
      <c r="AD117" s="3" t="n"/>
      <c r="AE117" s="3" t="n"/>
      <c r="AF117" s="3" t="n"/>
      <c r="AG117" s="3" t="n"/>
      <c r="AH117" s="3" t="n"/>
      <c r="AI117" s="3" t="n"/>
      <c r="AJ117" s="3" t="n"/>
      <c r="AK117" s="3" t="n"/>
    </row>
    <row r="118">
      <c r="O118" s="3" t="n"/>
      <c r="P118" s="3" t="n"/>
      <c r="Q118" s="3" t="n"/>
      <c r="R118" s="3" t="n"/>
      <c r="S118" s="3" t="n"/>
      <c r="T118" s="3" t="n"/>
      <c r="U118" s="3" t="n"/>
      <c r="V118" s="3" t="n"/>
      <c r="W118" s="3" t="n"/>
      <c r="X118" s="3" t="n"/>
      <c r="Y118" s="3" t="n"/>
      <c r="Z118" s="3" t="n"/>
      <c r="AA118" s="3" t="n"/>
      <c r="AB118" s="3" t="n"/>
      <c r="AC118" s="3" t="n"/>
      <c r="AD118" s="3" t="n"/>
      <c r="AE118" s="3" t="n"/>
      <c r="AF118" s="3" t="n"/>
      <c r="AG118" s="3" t="n"/>
      <c r="AH118" s="3" t="n"/>
      <c r="AI118" s="3" t="n"/>
      <c r="AJ118" s="3" t="n"/>
      <c r="AK118" s="3" t="n"/>
    </row>
    <row r="119">
      <c r="O119" s="3" t="n"/>
      <c r="P119" s="3" t="n"/>
      <c r="Q119" s="3" t="n"/>
      <c r="R119" s="3" t="n"/>
      <c r="S119" s="3" t="n"/>
      <c r="T119" s="3" t="n"/>
      <c r="U119" s="3" t="n"/>
      <c r="V119" s="3" t="n"/>
      <c r="W119" s="3" t="n"/>
      <c r="X119" s="3" t="n"/>
      <c r="Y119" s="3" t="n"/>
      <c r="Z119" s="3" t="n"/>
      <c r="AA119" s="3" t="n"/>
      <c r="AB119" s="3" t="n"/>
      <c r="AC119" s="3" t="n"/>
      <c r="AD119" s="3" t="n"/>
      <c r="AE119" s="3" t="n"/>
      <c r="AF119" s="3" t="n"/>
      <c r="AG119" s="3" t="n"/>
      <c r="AH119" s="3" t="n"/>
      <c r="AI119" s="3" t="n"/>
      <c r="AJ119" s="3" t="n"/>
      <c r="AK119" s="3" t="n"/>
    </row>
    <row r="120">
      <c r="O120" s="3" t="n"/>
      <c r="P120" s="3" t="n"/>
      <c r="Q120" s="3" t="n"/>
      <c r="R120" s="3" t="n"/>
      <c r="S120" s="3" t="n"/>
      <c r="T120" s="3" t="n"/>
      <c r="U120" s="3" t="n"/>
      <c r="V120" s="3" t="n"/>
      <c r="W120" s="3" t="n"/>
      <c r="X120" s="3" t="n"/>
      <c r="Y120" s="3" t="n"/>
      <c r="Z120" s="3" t="n"/>
      <c r="AA120" s="3" t="n"/>
      <c r="AB120" s="3" t="n"/>
      <c r="AC120" s="3" t="n"/>
      <c r="AD120" s="3" t="n"/>
      <c r="AE120" s="3" t="n"/>
      <c r="AF120" s="3" t="n"/>
      <c r="AG120" s="3" t="n"/>
      <c r="AH120" s="3" t="n"/>
      <c r="AI120" s="3" t="n"/>
      <c r="AJ120" s="3" t="n"/>
      <c r="AK120" s="3" t="n"/>
    </row>
    <row r="121">
      <c r="O121" s="3" t="n"/>
      <c r="P121" s="3" t="n"/>
      <c r="Q121" s="3" t="n"/>
      <c r="R121" s="3" t="n"/>
      <c r="S121" s="3" t="n"/>
      <c r="T121" s="3" t="n"/>
      <c r="U121" s="3" t="n"/>
      <c r="V121" s="3" t="n"/>
      <c r="W121" s="3" t="n"/>
      <c r="X121" s="3" t="n"/>
      <c r="Y121" s="3" t="n"/>
      <c r="Z121" s="3" t="n"/>
      <c r="AA121" s="3" t="n"/>
      <c r="AB121" s="3" t="n"/>
      <c r="AC121" s="3" t="n"/>
      <c r="AD121" s="3" t="n"/>
      <c r="AE121" s="3" t="n"/>
      <c r="AF121" s="3" t="n"/>
      <c r="AG121" s="3" t="n"/>
      <c r="AH121" s="3" t="n"/>
      <c r="AI121" s="3" t="n"/>
      <c r="AJ121" s="3" t="n"/>
      <c r="AK121" s="3" t="n"/>
    </row>
    <row r="122">
      <c r="O122" s="3" t="n"/>
      <c r="P122" s="3" t="n"/>
      <c r="Q122" s="3" t="n"/>
      <c r="R122" s="3" t="n"/>
      <c r="S122" s="3" t="n"/>
      <c r="T122" s="3" t="n"/>
      <c r="U122" s="3" t="n"/>
      <c r="V122" s="3" t="n"/>
      <c r="W122" s="3" t="n"/>
      <c r="X122" s="3" t="n"/>
      <c r="Y122" s="3" t="n"/>
      <c r="Z122" s="3" t="n"/>
      <c r="AA122" s="3" t="n"/>
      <c r="AB122" s="3" t="n"/>
      <c r="AC122" s="3" t="n"/>
      <c r="AD122" s="3" t="n"/>
      <c r="AE122" s="3" t="n"/>
      <c r="AF122" s="3" t="n"/>
      <c r="AG122" s="3" t="n"/>
      <c r="AH122" s="3" t="n"/>
      <c r="AI122" s="3" t="n"/>
      <c r="AJ122" s="3" t="n"/>
      <c r="AK122" s="3" t="n"/>
    </row>
    <row r="123">
      <c r="O123" s="3" t="n"/>
      <c r="P123" s="3" t="n"/>
      <c r="Q123" s="3" t="n"/>
      <c r="R123" s="3" t="n"/>
      <c r="S123" s="3" t="n"/>
      <c r="T123" s="3" t="n"/>
      <c r="U123" s="3" t="n"/>
      <c r="V123" s="3" t="n"/>
      <c r="W123" s="3" t="n"/>
      <c r="X123" s="3" t="n"/>
      <c r="Y123" s="3" t="n"/>
      <c r="Z123" s="3" t="n"/>
      <c r="AA123" s="3" t="n"/>
      <c r="AB123" s="3" t="n"/>
      <c r="AC123" s="3" t="n"/>
      <c r="AD123" s="3" t="n"/>
      <c r="AE123" s="3" t="n"/>
      <c r="AF123" s="3" t="n"/>
      <c r="AG123" s="3" t="n"/>
      <c r="AH123" s="3" t="n"/>
      <c r="AI123" s="3" t="n"/>
      <c r="AJ123" s="3" t="n"/>
      <c r="AK123" s="3" t="n"/>
    </row>
    <row r="124">
      <c r="O124" s="3" t="n"/>
      <c r="P124" s="3" t="n"/>
      <c r="Q124" s="3" t="n"/>
      <c r="R124" s="3" t="n"/>
      <c r="S124" s="3" t="n"/>
      <c r="T124" s="3" t="n"/>
      <c r="U124" s="3" t="n"/>
      <c r="V124" s="3" t="n"/>
      <c r="W124" s="3" t="n"/>
      <c r="X124" s="3" t="n"/>
      <c r="Y124" s="3" t="n"/>
      <c r="Z124" s="3" t="n"/>
      <c r="AA124" s="3" t="n"/>
      <c r="AB124" s="3" t="n"/>
      <c r="AC124" s="3" t="n"/>
      <c r="AD124" s="3" t="n"/>
      <c r="AE124" s="3" t="n"/>
      <c r="AF124" s="3" t="n"/>
      <c r="AG124" s="3" t="n"/>
      <c r="AH124" s="3" t="n"/>
      <c r="AI124" s="3" t="n"/>
      <c r="AJ124" s="3" t="n"/>
      <c r="AK124" s="3" t="n"/>
    </row>
    <row r="125">
      <c r="O125" s="3" t="n"/>
      <c r="P125" s="3" t="n"/>
      <c r="Q125" s="3" t="n"/>
      <c r="R125" s="3" t="n"/>
      <c r="S125" s="3" t="n"/>
      <c r="T125" s="3" t="n"/>
      <c r="U125" s="3" t="n"/>
      <c r="V125" s="3" t="n"/>
      <c r="W125" s="3" t="n"/>
      <c r="X125" s="3" t="n"/>
      <c r="Y125" s="3" t="n"/>
      <c r="Z125" s="3" t="n"/>
      <c r="AA125" s="3" t="n"/>
      <c r="AB125" s="3" t="n"/>
      <c r="AC125" s="3" t="n"/>
      <c r="AD125" s="3" t="n"/>
      <c r="AE125" s="3" t="n"/>
      <c r="AF125" s="3" t="n"/>
      <c r="AG125" s="3" t="n"/>
      <c r="AH125" s="3" t="n"/>
      <c r="AI125" s="3" t="n"/>
      <c r="AJ125" s="3" t="n"/>
      <c r="AK125" s="3" t="n"/>
    </row>
    <row r="126">
      <c r="O126" s="3" t="n"/>
      <c r="P126" s="3" t="n"/>
      <c r="Q126" s="3" t="n"/>
      <c r="R126" s="3" t="n"/>
      <c r="S126" s="3" t="n"/>
      <c r="T126" s="3" t="n"/>
      <c r="U126" s="3" t="n"/>
      <c r="V126" s="3" t="n"/>
      <c r="W126" s="3" t="n"/>
      <c r="X126" s="3" t="n"/>
      <c r="Y126" s="3" t="n"/>
      <c r="Z126" s="3" t="n"/>
      <c r="AA126" s="3" t="n"/>
      <c r="AB126" s="3" t="n"/>
      <c r="AC126" s="3" t="n"/>
      <c r="AD126" s="3" t="n"/>
      <c r="AE126" s="3" t="n"/>
      <c r="AF126" s="3" t="n"/>
      <c r="AG126" s="3" t="n"/>
      <c r="AH126" s="3" t="n"/>
      <c r="AI126" s="3" t="n"/>
      <c r="AJ126" s="3" t="n"/>
      <c r="AK126" s="3" t="n"/>
    </row>
    <row r="127">
      <c r="O127" s="3" t="n"/>
      <c r="P127" s="3" t="n"/>
      <c r="Q127" s="3" t="n"/>
      <c r="R127" s="3" t="n"/>
      <c r="S127" s="3" t="n"/>
      <c r="T127" s="3" t="n"/>
      <c r="U127" s="3" t="n"/>
      <c r="V127" s="3" t="n"/>
      <c r="W127" s="3" t="n"/>
      <c r="X127" s="3" t="n"/>
      <c r="Y127" s="3" t="n"/>
      <c r="Z127" s="3" t="n"/>
      <c r="AA127" s="3" t="n"/>
      <c r="AB127" s="3" t="n"/>
      <c r="AC127" s="3" t="n"/>
      <c r="AD127" s="3" t="n"/>
      <c r="AE127" s="3" t="n"/>
      <c r="AF127" s="3" t="n"/>
      <c r="AG127" s="3" t="n"/>
      <c r="AH127" s="3" t="n"/>
      <c r="AI127" s="3" t="n"/>
      <c r="AJ127" s="3" t="n"/>
      <c r="AK127" s="3" t="n"/>
    </row>
    <row r="128">
      <c r="O128" s="3" t="n"/>
      <c r="P128" s="3" t="n"/>
      <c r="Q128" s="3" t="n"/>
      <c r="R128" s="3" t="n"/>
      <c r="S128" s="3" t="n"/>
      <c r="T128" s="3" t="n"/>
      <c r="U128" s="3" t="n"/>
      <c r="V128" s="3" t="n"/>
      <c r="W128" s="3" t="n"/>
      <c r="X128" s="3" t="n"/>
      <c r="Y128" s="3" t="n"/>
      <c r="Z128" s="3" t="n"/>
      <c r="AA128" s="3" t="n"/>
      <c r="AB128" s="3" t="n"/>
      <c r="AC128" s="3" t="n"/>
      <c r="AD128" s="3" t="n"/>
      <c r="AE128" s="3" t="n"/>
      <c r="AF128" s="3" t="n"/>
      <c r="AG128" s="3" t="n"/>
      <c r="AH128" s="3" t="n"/>
      <c r="AI128" s="3" t="n"/>
      <c r="AJ128" s="3" t="n"/>
      <c r="AK128" s="3" t="n"/>
    </row>
    <row r="129">
      <c r="O129" s="3" t="n"/>
      <c r="P129" s="3" t="n"/>
      <c r="Q129" s="3" t="n"/>
      <c r="R129" s="3" t="n"/>
      <c r="S129" s="3" t="n"/>
      <c r="T129" s="3" t="n"/>
      <c r="U129" s="3" t="n"/>
      <c r="V129" s="3" t="n"/>
      <c r="W129" s="3" t="n"/>
      <c r="X129" s="3" t="n"/>
      <c r="Y129" s="3" t="n"/>
      <c r="Z129" s="3" t="n"/>
      <c r="AA129" s="3" t="n"/>
      <c r="AB129" s="3" t="n"/>
      <c r="AC129" s="3" t="n"/>
      <c r="AD129" s="3" t="n"/>
      <c r="AE129" s="3" t="n"/>
      <c r="AF129" s="3" t="n"/>
      <c r="AG129" s="3" t="n"/>
      <c r="AH129" s="3" t="n"/>
      <c r="AI129" s="3" t="n"/>
      <c r="AJ129" s="3" t="n"/>
      <c r="AK129" s="3" t="n"/>
    </row>
    <row r="130">
      <c r="O130" s="3" t="n"/>
      <c r="P130" s="3" t="n"/>
      <c r="Q130" s="3" t="n"/>
      <c r="R130" s="3" t="n"/>
      <c r="S130" s="3" t="n"/>
      <c r="T130" s="3" t="n"/>
      <c r="U130" s="3" t="n"/>
      <c r="V130" s="3" t="n"/>
      <c r="W130" s="3" t="n"/>
      <c r="X130" s="3" t="n"/>
      <c r="Y130" s="3" t="n"/>
      <c r="Z130" s="3" t="n"/>
      <c r="AA130" s="3" t="n"/>
      <c r="AB130" s="3" t="n"/>
      <c r="AC130" s="3" t="n"/>
      <c r="AD130" s="3" t="n"/>
      <c r="AE130" s="3" t="n"/>
      <c r="AF130" s="3" t="n"/>
      <c r="AG130" s="3" t="n"/>
      <c r="AH130" s="3" t="n"/>
      <c r="AI130" s="3" t="n"/>
      <c r="AJ130" s="3" t="n"/>
      <c r="AK130" s="3" t="n"/>
    </row>
    <row r="131">
      <c r="O131" s="3" t="n"/>
      <c r="P131" s="3" t="n"/>
      <c r="Q131" s="3" t="n"/>
      <c r="R131" s="3" t="n"/>
      <c r="S131" s="3" t="n"/>
      <c r="T131" s="3" t="n"/>
      <c r="U131" s="3" t="n"/>
      <c r="V131" s="3" t="n"/>
      <c r="W131" s="3" t="n"/>
      <c r="X131" s="3" t="n"/>
      <c r="Y131" s="3" t="n"/>
      <c r="Z131" s="3" t="n"/>
      <c r="AA131" s="3" t="n"/>
      <c r="AB131" s="3" t="n"/>
      <c r="AC131" s="3" t="n"/>
      <c r="AD131" s="3" t="n"/>
      <c r="AE131" s="3" t="n"/>
      <c r="AF131" s="3" t="n"/>
      <c r="AG131" s="3" t="n"/>
      <c r="AH131" s="3" t="n"/>
      <c r="AI131" s="3" t="n"/>
      <c r="AJ131" s="3" t="n"/>
      <c r="AK131" s="3" t="n"/>
    </row>
    <row r="132">
      <c r="O132" s="3" t="n"/>
      <c r="P132" s="3" t="n"/>
      <c r="Q132" s="3" t="n"/>
      <c r="R132" s="3" t="n"/>
      <c r="S132" s="3" t="n"/>
      <c r="T132" s="3" t="n"/>
      <c r="U132" s="3" t="n"/>
      <c r="V132" s="3" t="n"/>
      <c r="W132" s="3" t="n"/>
      <c r="X132" s="3" t="n"/>
      <c r="Y132" s="3" t="n"/>
      <c r="Z132" s="3" t="n"/>
      <c r="AA132" s="3" t="n"/>
      <c r="AB132" s="3" t="n"/>
      <c r="AC132" s="3" t="n"/>
      <c r="AD132" s="3" t="n"/>
      <c r="AE132" s="3" t="n"/>
      <c r="AF132" s="3" t="n"/>
      <c r="AG132" s="3" t="n"/>
      <c r="AH132" s="3" t="n"/>
      <c r="AI132" s="3" t="n"/>
      <c r="AJ132" s="3" t="n"/>
      <c r="AK132" s="3" t="n"/>
    </row>
    <row r="133">
      <c r="O133" s="3" t="n"/>
      <c r="P133" s="3" t="n"/>
      <c r="Q133" s="3" t="n"/>
      <c r="R133" s="3" t="n"/>
      <c r="S133" s="3" t="n"/>
      <c r="T133" s="3" t="n"/>
      <c r="U133" s="3" t="n"/>
      <c r="V133" s="3" t="n"/>
      <c r="W133" s="3" t="n"/>
      <c r="X133" s="3" t="n"/>
      <c r="Y133" s="3" t="n"/>
      <c r="Z133" s="3" t="n"/>
      <c r="AA133" s="3" t="n"/>
      <c r="AB133" s="3" t="n"/>
      <c r="AC133" s="3" t="n"/>
      <c r="AD133" s="3" t="n"/>
      <c r="AE133" s="3" t="n"/>
      <c r="AF133" s="3" t="n"/>
      <c r="AG133" s="3" t="n"/>
      <c r="AH133" s="3" t="n"/>
      <c r="AI133" s="3" t="n"/>
      <c r="AJ133" s="3" t="n"/>
      <c r="AK133" s="3" t="n"/>
    </row>
    <row r="134">
      <c r="O134" s="3" t="n"/>
      <c r="P134" s="3" t="n"/>
      <c r="Q134" s="3" t="n"/>
      <c r="R134" s="3" t="n"/>
      <c r="S134" s="3" t="n"/>
      <c r="T134" s="3" t="n"/>
      <c r="U134" s="3" t="n"/>
      <c r="V134" s="3" t="n"/>
      <c r="W134" s="3" t="n"/>
      <c r="X134" s="3" t="n"/>
      <c r="Y134" s="3" t="n"/>
      <c r="Z134" s="3" t="n"/>
      <c r="AA134" s="3" t="n"/>
      <c r="AB134" s="3" t="n"/>
      <c r="AC134" s="3" t="n"/>
      <c r="AD134" s="3" t="n"/>
      <c r="AE134" s="3" t="n"/>
      <c r="AF134" s="3" t="n"/>
      <c r="AG134" s="3" t="n"/>
      <c r="AH134" s="3" t="n"/>
      <c r="AI134" s="3" t="n"/>
      <c r="AJ134" s="3" t="n"/>
      <c r="AK134" s="3" t="n"/>
    </row>
    <row r="135">
      <c r="O135" s="3" t="n"/>
      <c r="P135" s="3" t="n"/>
      <c r="Q135" s="3" t="n"/>
      <c r="R135" s="3" t="n"/>
      <c r="S135" s="3" t="n"/>
      <c r="T135" s="3" t="n"/>
      <c r="U135" s="3" t="n"/>
      <c r="V135" s="3" t="n"/>
      <c r="W135" s="3" t="n"/>
      <c r="X135" s="3" t="n"/>
      <c r="Y135" s="3" t="n"/>
      <c r="Z135" s="3" t="n"/>
      <c r="AA135" s="3" t="n"/>
      <c r="AB135" s="3" t="n"/>
      <c r="AC135" s="3" t="n"/>
      <c r="AD135" s="3" t="n"/>
      <c r="AE135" s="3" t="n"/>
      <c r="AF135" s="3" t="n"/>
      <c r="AG135" s="3" t="n"/>
      <c r="AH135" s="3" t="n"/>
      <c r="AI135" s="3" t="n"/>
      <c r="AJ135" s="3" t="n"/>
      <c r="AK135" s="3" t="n"/>
    </row>
    <row r="136">
      <c r="O136" s="3" t="n"/>
      <c r="P136" s="3" t="n"/>
      <c r="Q136" s="3" t="n"/>
      <c r="R136" s="3" t="n"/>
      <c r="S136" s="3" t="n"/>
      <c r="T136" s="3" t="n"/>
      <c r="U136" s="3" t="n"/>
      <c r="V136" s="3" t="n"/>
      <c r="W136" s="3" t="n"/>
      <c r="X136" s="3" t="n"/>
      <c r="Y136" s="3" t="n"/>
      <c r="Z136" s="3" t="n"/>
      <c r="AA136" s="3" t="n"/>
      <c r="AB136" s="3" t="n"/>
      <c r="AC136" s="3" t="n"/>
      <c r="AD136" s="3" t="n"/>
      <c r="AE136" s="3" t="n"/>
      <c r="AF136" s="3" t="n"/>
      <c r="AG136" s="3" t="n"/>
      <c r="AH136" s="3" t="n"/>
      <c r="AI136" s="3" t="n"/>
      <c r="AJ136" s="3" t="n"/>
      <c r="AK136" s="3" t="n"/>
    </row>
    <row r="137">
      <c r="O137" s="3" t="n"/>
      <c r="P137" s="3" t="n"/>
      <c r="Q137" s="3" t="n"/>
      <c r="R137" s="3" t="n"/>
      <c r="S137" s="3" t="n"/>
      <c r="T137" s="3" t="n"/>
      <c r="U137" s="3" t="n"/>
      <c r="V137" s="3" t="n"/>
      <c r="W137" s="3" t="n"/>
      <c r="X137" s="3" t="n"/>
      <c r="Y137" s="3" t="n"/>
      <c r="Z137" s="3" t="n"/>
      <c r="AA137" s="3" t="n"/>
      <c r="AB137" s="3" t="n"/>
      <c r="AC137" s="3" t="n"/>
      <c r="AD137" s="3" t="n"/>
      <c r="AE137" s="3" t="n"/>
      <c r="AF137" s="3" t="n"/>
      <c r="AG137" s="3" t="n"/>
      <c r="AH137" s="3" t="n"/>
      <c r="AI137" s="3" t="n"/>
      <c r="AJ137" s="3" t="n"/>
      <c r="AK137" s="3" t="n"/>
    </row>
    <row r="138">
      <c r="O138" s="3" t="n"/>
      <c r="P138" s="3" t="n"/>
      <c r="Q138" s="3" t="n"/>
      <c r="R138" s="3" t="n"/>
      <c r="S138" s="3" t="n"/>
      <c r="T138" s="3" t="n"/>
      <c r="U138" s="3" t="n"/>
      <c r="V138" s="3" t="n"/>
      <c r="W138" s="3" t="n"/>
      <c r="X138" s="3" t="n"/>
      <c r="Y138" s="3" t="n"/>
      <c r="Z138" s="3" t="n"/>
      <c r="AA138" s="3" t="n"/>
      <c r="AB138" s="3" t="n"/>
      <c r="AC138" s="3" t="n"/>
      <c r="AD138" s="3" t="n"/>
      <c r="AE138" s="3" t="n"/>
      <c r="AF138" s="3" t="n"/>
      <c r="AG138" s="3" t="n"/>
      <c r="AH138" s="3" t="n"/>
      <c r="AI138" s="3" t="n"/>
      <c r="AJ138" s="3" t="n"/>
      <c r="AK138" s="3" t="n"/>
    </row>
    <row r="139">
      <c r="O139" s="3" t="n"/>
      <c r="P139" s="3" t="n"/>
      <c r="Q139" s="3" t="n"/>
      <c r="R139" s="3" t="n"/>
      <c r="S139" s="3" t="n"/>
      <c r="T139" s="3" t="n"/>
      <c r="U139" s="3" t="n"/>
      <c r="V139" s="3" t="n"/>
      <c r="W139" s="3" t="n"/>
      <c r="X139" s="3" t="n"/>
      <c r="Y139" s="3" t="n"/>
      <c r="Z139" s="3" t="n"/>
      <c r="AA139" s="3" t="n"/>
      <c r="AB139" s="3" t="n"/>
      <c r="AC139" s="3" t="n"/>
      <c r="AD139" s="3" t="n"/>
      <c r="AE139" s="3" t="n"/>
      <c r="AF139" s="3" t="n"/>
      <c r="AG139" s="3" t="n"/>
      <c r="AH139" s="3" t="n"/>
      <c r="AI139" s="3" t="n"/>
      <c r="AJ139" s="3" t="n"/>
      <c r="AK139" s="3" t="n"/>
    </row>
    <row r="140">
      <c r="O140" s="3" t="n"/>
      <c r="P140" s="3" t="n"/>
      <c r="Q140" s="3" t="n"/>
      <c r="R140" s="3" t="n"/>
      <c r="S140" s="3" t="n"/>
      <c r="T140" s="3" t="n"/>
      <c r="U140" s="3" t="n"/>
      <c r="V140" s="3" t="n"/>
      <c r="W140" s="3" t="n"/>
      <c r="X140" s="3" t="n"/>
      <c r="Y140" s="3" t="n"/>
      <c r="Z140" s="3" t="n"/>
      <c r="AA140" s="3" t="n"/>
      <c r="AB140" s="3" t="n"/>
      <c r="AC140" s="3" t="n"/>
      <c r="AD140" s="3" t="n"/>
      <c r="AE140" s="3" t="n"/>
      <c r="AF140" s="3" t="n"/>
      <c r="AG140" s="3" t="n"/>
      <c r="AH140" s="3" t="n"/>
      <c r="AI140" s="3" t="n"/>
      <c r="AJ140" s="3" t="n"/>
      <c r="AK140" s="3" t="n"/>
    </row>
    <row r="141">
      <c r="O141" s="3" t="n"/>
      <c r="P141" s="3" t="n"/>
      <c r="Q141" s="3" t="n"/>
      <c r="R141" s="3" t="n"/>
      <c r="S141" s="3" t="n"/>
      <c r="T141" s="3" t="n"/>
      <c r="U141" s="3" t="n"/>
      <c r="V141" s="3" t="n"/>
      <c r="W141" s="3" t="n"/>
      <c r="X141" s="3" t="n"/>
      <c r="Y141" s="3" t="n"/>
      <c r="Z141" s="3" t="n"/>
      <c r="AA141" s="3" t="n"/>
      <c r="AB141" s="3" t="n"/>
      <c r="AC141" s="3" t="n"/>
      <c r="AD141" s="3" t="n"/>
      <c r="AE141" s="3" t="n"/>
      <c r="AF141" s="3" t="n"/>
      <c r="AG141" s="3" t="n"/>
      <c r="AH141" s="3" t="n"/>
      <c r="AI141" s="3" t="n"/>
      <c r="AJ141" s="3" t="n"/>
      <c r="AK141" s="3" t="n"/>
    </row>
    <row r="142">
      <c r="O142" s="3" t="n"/>
      <c r="P142" s="3" t="n"/>
      <c r="Q142" s="3" t="n"/>
      <c r="R142" s="3" t="n"/>
      <c r="S142" s="3" t="n"/>
      <c r="T142" s="3" t="n"/>
      <c r="U142" s="3" t="n"/>
      <c r="V142" s="3" t="n"/>
      <c r="W142" s="3" t="n"/>
      <c r="X142" s="3" t="n"/>
      <c r="Y142" s="3" t="n"/>
      <c r="Z142" s="3" t="n"/>
      <c r="AA142" s="3" t="n"/>
      <c r="AB142" s="3" t="n"/>
      <c r="AC142" s="3" t="n"/>
      <c r="AD142" s="3" t="n"/>
      <c r="AE142" s="3" t="n"/>
      <c r="AF142" s="3" t="n"/>
      <c r="AG142" s="3" t="n"/>
      <c r="AH142" s="3" t="n"/>
      <c r="AI142" s="3" t="n"/>
      <c r="AJ142" s="3" t="n"/>
      <c r="AK142" s="3" t="n"/>
    </row>
    <row r="143">
      <c r="O143" s="3" t="n"/>
      <c r="P143" s="3" t="n"/>
      <c r="Q143" s="3" t="n"/>
      <c r="R143" s="3" t="n"/>
      <c r="S143" s="3" t="n"/>
      <c r="T143" s="3" t="n"/>
      <c r="U143" s="3" t="n"/>
      <c r="V143" s="3" t="n"/>
      <c r="W143" s="3" t="n"/>
      <c r="X143" s="3" t="n"/>
      <c r="Y143" s="3" t="n"/>
      <c r="Z143" s="3" t="n"/>
      <c r="AA143" s="3" t="n"/>
      <c r="AB143" s="3" t="n"/>
      <c r="AC143" s="3" t="n"/>
      <c r="AD143" s="3" t="n"/>
      <c r="AE143" s="3" t="n"/>
      <c r="AF143" s="3" t="n"/>
      <c r="AG143" s="3" t="n"/>
      <c r="AH143" s="3" t="n"/>
      <c r="AI143" s="3" t="n"/>
      <c r="AJ143" s="3" t="n"/>
      <c r="AK143" s="3" t="n"/>
    </row>
    <row r="144">
      <c r="O144" s="3" t="n"/>
      <c r="P144" s="3" t="n"/>
      <c r="Q144" s="3" t="n"/>
      <c r="R144" s="3" t="n"/>
      <c r="S144" s="3" t="n"/>
      <c r="T144" s="3" t="n"/>
      <c r="U144" s="3" t="n"/>
      <c r="V144" s="3" t="n"/>
      <c r="W144" s="3" t="n"/>
      <c r="X144" s="3" t="n"/>
      <c r="Y144" s="3" t="n"/>
      <c r="Z144" s="3" t="n"/>
      <c r="AA144" s="3" t="n"/>
      <c r="AB144" s="3" t="n"/>
      <c r="AC144" s="3" t="n"/>
      <c r="AD144" s="3" t="n"/>
      <c r="AE144" s="3" t="n"/>
      <c r="AF144" s="3" t="n"/>
      <c r="AG144" s="3" t="n"/>
      <c r="AH144" s="3" t="n"/>
      <c r="AI144" s="3" t="n"/>
      <c r="AJ144" s="3" t="n"/>
      <c r="AK144" s="3" t="n"/>
    </row>
    <row r="145">
      <c r="O145" s="3" t="n"/>
      <c r="P145" s="3" t="n"/>
      <c r="Q145" s="3" t="n"/>
      <c r="R145" s="3" t="n"/>
      <c r="S145" s="3" t="n"/>
      <c r="T145" s="3" t="n"/>
      <c r="U145" s="3" t="n"/>
      <c r="V145" s="3" t="n"/>
      <c r="W145" s="3" t="n"/>
      <c r="X145" s="3" t="n"/>
      <c r="Y145" s="3" t="n"/>
      <c r="Z145" s="3" t="n"/>
      <c r="AA145" s="3" t="n"/>
      <c r="AB145" s="3" t="n"/>
      <c r="AC145" s="3" t="n"/>
      <c r="AD145" s="3" t="n"/>
      <c r="AE145" s="3" t="n"/>
      <c r="AF145" s="3" t="n"/>
      <c r="AG145" s="3" t="n"/>
      <c r="AH145" s="3" t="n"/>
      <c r="AI145" s="3" t="n"/>
      <c r="AJ145" s="3" t="n"/>
      <c r="AK145" s="3" t="n"/>
    </row>
    <row r="146">
      <c r="O146" s="3" t="n"/>
      <c r="P146" s="3" t="n"/>
      <c r="Q146" s="3" t="n"/>
      <c r="R146" s="3" t="n"/>
      <c r="S146" s="3" t="n"/>
      <c r="T146" s="3" t="n"/>
      <c r="U146" s="3" t="n"/>
      <c r="V146" s="3" t="n"/>
      <c r="W146" s="3" t="n"/>
      <c r="X146" s="3" t="n"/>
      <c r="Y146" s="3" t="n"/>
      <c r="Z146" s="3" t="n"/>
      <c r="AA146" s="3" t="n"/>
      <c r="AB146" s="3" t="n"/>
      <c r="AC146" s="3" t="n"/>
      <c r="AD146" s="3" t="n"/>
      <c r="AE146" s="3" t="n"/>
      <c r="AF146" s="3" t="n"/>
      <c r="AG146" s="3" t="n"/>
      <c r="AH146" s="3" t="n"/>
      <c r="AI146" s="3" t="n"/>
      <c r="AJ146" s="3" t="n"/>
      <c r="AK146" s="3" t="n"/>
    </row>
    <row r="147">
      <c r="O147" s="3" t="n"/>
      <c r="P147" s="3" t="n"/>
      <c r="Q147" s="3" t="n"/>
      <c r="R147" s="3" t="n"/>
      <c r="S147" s="3" t="n"/>
      <c r="T147" s="3" t="n"/>
      <c r="U147" s="3" t="n"/>
      <c r="V147" s="3" t="n"/>
      <c r="W147" s="3" t="n"/>
      <c r="X147" s="3" t="n"/>
      <c r="Y147" s="3" t="n"/>
      <c r="Z147" s="3" t="n"/>
      <c r="AA147" s="3" t="n"/>
      <c r="AB147" s="3" t="n"/>
      <c r="AC147" s="3" t="n"/>
      <c r="AD147" s="3" t="n"/>
      <c r="AE147" s="3" t="n"/>
      <c r="AF147" s="3" t="n"/>
      <c r="AG147" s="3" t="n"/>
      <c r="AH147" s="3" t="n"/>
      <c r="AI147" s="3" t="n"/>
      <c r="AJ147" s="3" t="n"/>
      <c r="AK147" s="3" t="n"/>
    </row>
    <row r="148">
      <c r="O148" s="3" t="n"/>
      <c r="P148" s="3" t="n"/>
      <c r="Q148" s="3" t="n"/>
      <c r="R148" s="3" t="n"/>
      <c r="S148" s="3" t="n"/>
      <c r="T148" s="3" t="n"/>
      <c r="U148" s="3" t="n"/>
      <c r="V148" s="3" t="n"/>
      <c r="W148" s="3" t="n"/>
      <c r="X148" s="3" t="n"/>
      <c r="Y148" s="3" t="n"/>
      <c r="Z148" s="3" t="n"/>
      <c r="AA148" s="3" t="n"/>
      <c r="AB148" s="3" t="n"/>
      <c r="AC148" s="3" t="n"/>
      <c r="AD148" s="3" t="n"/>
      <c r="AE148" s="3" t="n"/>
      <c r="AF148" s="3" t="n"/>
      <c r="AG148" s="3" t="n"/>
      <c r="AH148" s="3" t="n"/>
      <c r="AI148" s="3" t="n"/>
      <c r="AJ148" s="3" t="n"/>
      <c r="AK148" s="3" t="n"/>
    </row>
    <row r="149">
      <c r="O149" s="3" t="n"/>
      <c r="P149" s="3" t="n"/>
      <c r="Q149" s="3" t="n"/>
      <c r="R149" s="3" t="n"/>
      <c r="S149" s="3" t="n"/>
      <c r="T149" s="3" t="n"/>
      <c r="U149" s="3" t="n"/>
      <c r="V149" s="3" t="n"/>
      <c r="W149" s="3" t="n"/>
      <c r="X149" s="3" t="n"/>
      <c r="Y149" s="3" t="n"/>
      <c r="Z149" s="3" t="n"/>
      <c r="AA149" s="3" t="n"/>
      <c r="AB149" s="3" t="n"/>
      <c r="AC149" s="3" t="n"/>
      <c r="AD149" s="3" t="n"/>
      <c r="AE149" s="3" t="n"/>
      <c r="AF149" s="3" t="n"/>
      <c r="AG149" s="3" t="n"/>
      <c r="AH149" s="3" t="n"/>
      <c r="AI149" s="3" t="n"/>
      <c r="AJ149" s="3" t="n"/>
      <c r="AK149" s="3" t="n"/>
    </row>
    <row r="150">
      <c r="O150" s="3" t="n"/>
      <c r="P150" s="3" t="n"/>
      <c r="Q150" s="3" t="n"/>
      <c r="R150" s="3" t="n"/>
      <c r="S150" s="3" t="n"/>
      <c r="T150" s="3" t="n"/>
      <c r="U150" s="3" t="n"/>
      <c r="V150" s="3" t="n"/>
      <c r="W150" s="3" t="n"/>
      <c r="X150" s="3" t="n"/>
      <c r="Y150" s="3" t="n"/>
      <c r="Z150" s="3" t="n"/>
      <c r="AA150" s="3" t="n"/>
      <c r="AB150" s="3" t="n"/>
      <c r="AC150" s="3" t="n"/>
      <c r="AD150" s="3" t="n"/>
      <c r="AE150" s="3" t="n"/>
      <c r="AF150" s="3" t="n"/>
      <c r="AG150" s="3" t="n"/>
      <c r="AH150" s="3" t="n"/>
      <c r="AI150" s="3" t="n"/>
      <c r="AJ150" s="3" t="n"/>
      <c r="AK150" s="3" t="n"/>
    </row>
    <row r="151">
      <c r="O151" s="3" t="n"/>
      <c r="P151" s="3" t="n"/>
      <c r="Q151" s="3" t="n"/>
      <c r="R151" s="3" t="n"/>
      <c r="S151" s="3" t="n"/>
      <c r="T151" s="3" t="n"/>
      <c r="U151" s="3" t="n"/>
      <c r="V151" s="3" t="n"/>
      <c r="W151" s="3" t="n"/>
      <c r="X151" s="3" t="n"/>
      <c r="Y151" s="3" t="n"/>
      <c r="Z151" s="3" t="n"/>
      <c r="AA151" s="3" t="n"/>
      <c r="AB151" s="3" t="n"/>
      <c r="AC151" s="3" t="n"/>
      <c r="AD151" s="3" t="n"/>
      <c r="AE151" s="3" t="n"/>
      <c r="AF151" s="3" t="n"/>
      <c r="AG151" s="3" t="n"/>
      <c r="AH151" s="3" t="n"/>
      <c r="AI151" s="3" t="n"/>
      <c r="AJ151" s="3" t="n"/>
      <c r="AK151" s="3" t="n"/>
    </row>
    <row r="152">
      <c r="O152" s="3" t="n"/>
      <c r="P152" s="3" t="n"/>
      <c r="Q152" s="3" t="n"/>
      <c r="R152" s="3" t="n"/>
      <c r="S152" s="3" t="n"/>
      <c r="T152" s="3" t="n"/>
      <c r="U152" s="3" t="n"/>
      <c r="V152" s="3" t="n"/>
      <c r="W152" s="3" t="n"/>
      <c r="X152" s="3" t="n"/>
      <c r="Y152" s="3" t="n"/>
      <c r="Z152" s="3" t="n"/>
      <c r="AA152" s="3" t="n"/>
      <c r="AB152" s="3" t="n"/>
      <c r="AC152" s="3" t="n"/>
      <c r="AD152" s="3" t="n"/>
      <c r="AE152" s="3" t="n"/>
      <c r="AF152" s="3" t="n"/>
      <c r="AG152" s="3" t="n"/>
      <c r="AH152" s="3" t="n"/>
      <c r="AI152" s="3" t="n"/>
      <c r="AJ152" s="3" t="n"/>
      <c r="AK152" s="3" t="n"/>
    </row>
    <row r="153">
      <c r="O153" s="3" t="n"/>
      <c r="P153" s="3" t="n"/>
      <c r="Q153" s="3" t="n"/>
      <c r="R153" s="3" t="n"/>
      <c r="S153" s="3" t="n"/>
      <c r="T153" s="3" t="n"/>
      <c r="U153" s="3" t="n"/>
      <c r="V153" s="3" t="n"/>
      <c r="W153" s="3" t="n"/>
      <c r="X153" s="3" t="n"/>
      <c r="Y153" s="3" t="n"/>
      <c r="Z153" s="3" t="n"/>
      <c r="AA153" s="3" t="n"/>
      <c r="AB153" s="3" t="n"/>
      <c r="AC153" s="3" t="n"/>
      <c r="AD153" s="3" t="n"/>
      <c r="AE153" s="3" t="n"/>
      <c r="AF153" s="3" t="n"/>
      <c r="AG153" s="3" t="n"/>
      <c r="AH153" s="3" t="n"/>
      <c r="AI153" s="3" t="n"/>
      <c r="AJ153" s="3" t="n"/>
      <c r="AK153" s="3" t="n"/>
    </row>
    <row r="154">
      <c r="O154" s="3" t="n"/>
      <c r="P154" s="3" t="n"/>
      <c r="Q154" s="3" t="n"/>
      <c r="R154" s="3" t="n"/>
      <c r="S154" s="3" t="n"/>
      <c r="T154" s="3" t="n"/>
      <c r="U154" s="3" t="n"/>
      <c r="V154" s="3" t="n"/>
      <c r="W154" s="3" t="n"/>
      <c r="X154" s="3" t="n"/>
      <c r="Y154" s="3" t="n"/>
      <c r="Z154" s="3" t="n"/>
      <c r="AA154" s="3" t="n"/>
      <c r="AB154" s="3" t="n"/>
      <c r="AC154" s="3" t="n"/>
      <c r="AD154" s="3" t="n"/>
      <c r="AE154" s="3" t="n"/>
      <c r="AF154" s="3" t="n"/>
      <c r="AG154" s="3" t="n"/>
      <c r="AH154" s="3" t="n"/>
      <c r="AI154" s="3" t="n"/>
      <c r="AJ154" s="3" t="n"/>
      <c r="AK154" s="3" t="n"/>
    </row>
    <row r="155">
      <c r="O155" s="3" t="n"/>
      <c r="P155" s="3" t="n"/>
      <c r="Q155" s="3" t="n"/>
      <c r="R155" s="3" t="n"/>
      <c r="S155" s="3" t="n"/>
      <c r="T155" s="3" t="n"/>
      <c r="U155" s="3" t="n"/>
      <c r="V155" s="3" t="n"/>
      <c r="W155" s="3" t="n"/>
      <c r="X155" s="3" t="n"/>
      <c r="Y155" s="3" t="n"/>
      <c r="Z155" s="3" t="n"/>
      <c r="AA155" s="3" t="n"/>
      <c r="AB155" s="3" t="n"/>
      <c r="AC155" s="3" t="n"/>
      <c r="AD155" s="3" t="n"/>
      <c r="AE155" s="3" t="n"/>
      <c r="AF155" s="3" t="n"/>
      <c r="AG155" s="3" t="n"/>
      <c r="AH155" s="3" t="n"/>
      <c r="AI155" s="3" t="n"/>
      <c r="AJ155" s="3" t="n"/>
      <c r="AK155" s="3" t="n"/>
    </row>
    <row r="156">
      <c r="O156" s="3" t="n"/>
      <c r="P156" s="3" t="n"/>
      <c r="Q156" s="3" t="n"/>
      <c r="R156" s="3" t="n"/>
      <c r="S156" s="3" t="n"/>
      <c r="T156" s="3" t="n"/>
      <c r="U156" s="3" t="n"/>
      <c r="V156" s="3" t="n"/>
      <c r="W156" s="3" t="n"/>
      <c r="X156" s="3" t="n"/>
      <c r="Y156" s="3" t="n"/>
      <c r="Z156" s="3" t="n"/>
      <c r="AA156" s="3" t="n"/>
      <c r="AB156" s="3" t="n"/>
      <c r="AC156" s="3" t="n"/>
      <c r="AD156" s="3" t="n"/>
      <c r="AE156" s="3" t="n"/>
      <c r="AF156" s="3" t="n"/>
      <c r="AG156" s="3" t="n"/>
      <c r="AH156" s="3" t="n"/>
      <c r="AI156" s="3" t="n"/>
      <c r="AJ156" s="3" t="n"/>
      <c r="AK156" s="3" t="n"/>
    </row>
    <row r="157">
      <c r="O157" s="3" t="n"/>
      <c r="P157" s="3" t="n"/>
      <c r="Q157" s="3" t="n"/>
      <c r="R157" s="3" t="n"/>
      <c r="S157" s="3" t="n"/>
      <c r="T157" s="3" t="n"/>
      <c r="U157" s="3" t="n"/>
      <c r="V157" s="3" t="n"/>
      <c r="W157" s="3" t="n"/>
      <c r="X157" s="3" t="n"/>
      <c r="Y157" s="3" t="n"/>
      <c r="Z157" s="3" t="n"/>
      <c r="AA157" s="3" t="n"/>
      <c r="AB157" s="3" t="n"/>
      <c r="AC157" s="3" t="n"/>
      <c r="AD157" s="3" t="n"/>
      <c r="AE157" s="3" t="n"/>
      <c r="AF157" s="3" t="n"/>
      <c r="AG157" s="3" t="n"/>
      <c r="AH157" s="3" t="n"/>
      <c r="AI157" s="3" t="n"/>
      <c r="AJ157" s="3" t="n"/>
      <c r="AK157" s="3" t="n"/>
    </row>
    <row r="158">
      <c r="O158" s="3" t="n"/>
      <c r="P158" s="3" t="n"/>
      <c r="Q158" s="3" t="n"/>
      <c r="R158" s="3" t="n"/>
      <c r="S158" s="3" t="n"/>
      <c r="T158" s="3" t="n"/>
      <c r="U158" s="3" t="n"/>
      <c r="V158" s="3" t="n"/>
      <c r="W158" s="3" t="n"/>
      <c r="X158" s="3" t="n"/>
      <c r="Y158" s="3" t="n"/>
      <c r="Z158" s="3" t="n"/>
      <c r="AA158" s="3" t="n"/>
      <c r="AB158" s="3" t="n"/>
      <c r="AC158" s="3" t="n"/>
      <c r="AD158" s="3" t="n"/>
      <c r="AE158" s="3" t="n"/>
      <c r="AF158" s="3" t="n"/>
      <c r="AG158" s="3" t="n"/>
      <c r="AH158" s="3" t="n"/>
      <c r="AI158" s="3" t="n"/>
      <c r="AJ158" s="3" t="n"/>
      <c r="AK158" s="3" t="n"/>
    </row>
    <row r="159">
      <c r="O159" s="3" t="n"/>
      <c r="P159" s="3" t="n"/>
      <c r="Q159" s="3" t="n"/>
      <c r="R159" s="3" t="n"/>
      <c r="S159" s="3" t="n"/>
      <c r="T159" s="3" t="n"/>
      <c r="U159" s="3" t="n"/>
      <c r="V159" s="3" t="n"/>
      <c r="W159" s="3" t="n"/>
      <c r="X159" s="3" t="n"/>
      <c r="Y159" s="3" t="n"/>
      <c r="Z159" s="3" t="n"/>
      <c r="AA159" s="3" t="n"/>
      <c r="AB159" s="3" t="n"/>
      <c r="AC159" s="3" t="n"/>
      <c r="AD159" s="3" t="n"/>
      <c r="AE159" s="3" t="n"/>
      <c r="AF159" s="3" t="n"/>
      <c r="AG159" s="3" t="n"/>
      <c r="AH159" s="3" t="n"/>
      <c r="AI159" s="3" t="n"/>
      <c r="AJ159" s="3" t="n"/>
      <c r="AK159" s="3" t="n"/>
    </row>
    <row r="160">
      <c r="O160" s="3" t="n"/>
      <c r="P160" s="3" t="n"/>
      <c r="Q160" s="3" t="n"/>
      <c r="R160" s="3" t="n"/>
      <c r="S160" s="3" t="n"/>
      <c r="T160" s="3" t="n"/>
      <c r="U160" s="3" t="n"/>
      <c r="V160" s="3" t="n"/>
      <c r="W160" s="3" t="n"/>
      <c r="X160" s="3" t="n"/>
      <c r="Y160" s="3" t="n"/>
      <c r="Z160" s="3" t="n"/>
      <c r="AA160" s="3" t="n"/>
      <c r="AB160" s="3" t="n"/>
      <c r="AC160" s="3" t="n"/>
      <c r="AD160" s="3" t="n"/>
      <c r="AE160" s="3" t="n"/>
      <c r="AF160" s="3" t="n"/>
      <c r="AG160" s="3" t="n"/>
      <c r="AH160" s="3" t="n"/>
      <c r="AI160" s="3" t="n"/>
      <c r="AJ160" s="3" t="n"/>
      <c r="AK160" s="3" t="n"/>
    </row>
    <row r="161">
      <c r="O161" s="3" t="n"/>
      <c r="P161" s="3" t="n"/>
      <c r="Q161" s="3" t="n"/>
      <c r="R161" s="3" t="n"/>
      <c r="S161" s="3" t="n"/>
      <c r="T161" s="3" t="n"/>
      <c r="U161" s="3" t="n"/>
      <c r="V161" s="3" t="n"/>
      <c r="W161" s="3" t="n"/>
      <c r="X161" s="3" t="n"/>
      <c r="Y161" s="3" t="n"/>
      <c r="Z161" s="3" t="n"/>
      <c r="AA161" s="3" t="n"/>
      <c r="AB161" s="3" t="n"/>
      <c r="AC161" s="3" t="n"/>
      <c r="AD161" s="3" t="n"/>
      <c r="AE161" s="3" t="n"/>
      <c r="AF161" s="3" t="n"/>
      <c r="AG161" s="3" t="n"/>
      <c r="AH161" s="3" t="n"/>
      <c r="AI161" s="3" t="n"/>
      <c r="AJ161" s="3" t="n"/>
      <c r="AK161" s="3" t="n"/>
    </row>
    <row r="162">
      <c r="O162" s="3" t="n"/>
      <c r="P162" s="3" t="n"/>
      <c r="Q162" s="3" t="n"/>
      <c r="R162" s="3" t="n"/>
      <c r="S162" s="3" t="n"/>
      <c r="T162" s="3" t="n"/>
      <c r="U162" s="3" t="n"/>
      <c r="V162" s="3" t="n"/>
      <c r="W162" s="3" t="n"/>
      <c r="X162" s="3" t="n"/>
      <c r="Y162" s="3" t="n"/>
      <c r="Z162" s="3" t="n"/>
      <c r="AA162" s="3" t="n"/>
      <c r="AB162" s="3" t="n"/>
      <c r="AC162" s="3" t="n"/>
      <c r="AD162" s="3" t="n"/>
      <c r="AE162" s="3" t="n"/>
      <c r="AF162" s="3" t="n"/>
      <c r="AG162" s="3" t="n"/>
      <c r="AH162" s="3" t="n"/>
      <c r="AI162" s="3" t="n"/>
      <c r="AJ162" s="3" t="n"/>
      <c r="AK162" s="3" t="n"/>
    </row>
    <row r="163">
      <c r="O163" s="3" t="n"/>
      <c r="P163" s="3" t="n"/>
      <c r="Q163" s="3" t="n"/>
      <c r="R163" s="3" t="n"/>
      <c r="S163" s="3" t="n"/>
      <c r="T163" s="3" t="n"/>
      <c r="U163" s="3" t="n"/>
      <c r="V163" s="3" t="n"/>
      <c r="W163" s="3" t="n"/>
      <c r="X163" s="3" t="n"/>
      <c r="Y163" s="3" t="n"/>
      <c r="Z163" s="3" t="n"/>
      <c r="AA163" s="3" t="n"/>
      <c r="AB163" s="3" t="n"/>
      <c r="AC163" s="3" t="n"/>
      <c r="AD163" s="3" t="n"/>
      <c r="AE163" s="3" t="n"/>
      <c r="AF163" s="3" t="n"/>
      <c r="AG163" s="3" t="n"/>
      <c r="AH163" s="3" t="n"/>
      <c r="AI163" s="3" t="n"/>
      <c r="AJ163" s="3" t="n"/>
      <c r="AK163" s="3" t="n"/>
    </row>
    <row r="164">
      <c r="O164" s="3" t="n"/>
      <c r="P164" s="3" t="n"/>
      <c r="Q164" s="3" t="n"/>
      <c r="R164" s="3" t="n"/>
      <c r="S164" s="3" t="n"/>
      <c r="T164" s="3" t="n"/>
      <c r="U164" s="3" t="n"/>
      <c r="V164" s="3" t="n"/>
      <c r="W164" s="3" t="n"/>
      <c r="X164" s="3" t="n"/>
      <c r="Y164" s="3" t="n"/>
      <c r="Z164" s="3" t="n"/>
      <c r="AA164" s="3" t="n"/>
      <c r="AB164" s="3" t="n"/>
      <c r="AC164" s="3" t="n"/>
      <c r="AD164" s="3" t="n"/>
      <c r="AE164" s="3" t="n"/>
      <c r="AF164" s="3" t="n"/>
      <c r="AG164" s="3" t="n"/>
      <c r="AH164" s="3" t="n"/>
      <c r="AI164" s="3" t="n"/>
      <c r="AJ164" s="3" t="n"/>
      <c r="AK164" s="3" t="n"/>
    </row>
    <row r="165">
      <c r="O165" s="3" t="n"/>
      <c r="P165" s="3" t="n"/>
      <c r="Q165" s="3" t="n"/>
      <c r="R165" s="3" t="n"/>
      <c r="S165" s="3" t="n"/>
      <c r="T165" s="3" t="n"/>
      <c r="U165" s="3" t="n"/>
      <c r="V165" s="3" t="n"/>
      <c r="W165" s="3" t="n"/>
      <c r="X165" s="3" t="n"/>
      <c r="Y165" s="3" t="n"/>
      <c r="Z165" s="3" t="n"/>
      <c r="AA165" s="3" t="n"/>
      <c r="AB165" s="3" t="n"/>
      <c r="AC165" s="3" t="n"/>
      <c r="AD165" s="3" t="n"/>
      <c r="AE165" s="3" t="n"/>
      <c r="AF165" s="3" t="n"/>
      <c r="AG165" s="3" t="n"/>
      <c r="AH165" s="3" t="n"/>
      <c r="AI165" s="3" t="n"/>
      <c r="AJ165" s="3" t="n"/>
      <c r="AK165" s="3" t="n"/>
    </row>
    <row r="166">
      <c r="O166" s="3" t="n"/>
      <c r="P166" s="3" t="n"/>
      <c r="Q166" s="3" t="n"/>
      <c r="R166" s="3" t="n"/>
      <c r="S166" s="3" t="n"/>
      <c r="T166" s="3" t="n"/>
      <c r="U166" s="3" t="n"/>
      <c r="V166" s="3" t="n"/>
      <c r="W166" s="3" t="n"/>
      <c r="X166" s="3" t="n"/>
      <c r="Y166" s="3" t="n"/>
      <c r="Z166" s="3" t="n"/>
      <c r="AA166" s="3" t="n"/>
      <c r="AB166" s="3" t="n"/>
      <c r="AC166" s="3" t="n"/>
      <c r="AD166" s="3" t="n"/>
      <c r="AE166" s="3" t="n"/>
      <c r="AF166" s="3" t="n"/>
      <c r="AG166" s="3" t="n"/>
      <c r="AH166" s="3" t="n"/>
      <c r="AI166" s="3" t="n"/>
      <c r="AJ166" s="3" t="n"/>
      <c r="AK166" s="3" t="n"/>
    </row>
    <row r="167">
      <c r="O167" s="3" t="n"/>
      <c r="P167" s="3" t="n"/>
      <c r="Q167" s="3" t="n"/>
      <c r="R167" s="3" t="n"/>
      <c r="S167" s="3" t="n"/>
      <c r="T167" s="3" t="n"/>
      <c r="U167" s="3" t="n"/>
      <c r="V167" s="3" t="n"/>
      <c r="W167" s="3" t="n"/>
      <c r="X167" s="3" t="n"/>
      <c r="Y167" s="3" t="n"/>
      <c r="Z167" s="3" t="n"/>
      <c r="AA167" s="3" t="n"/>
      <c r="AB167" s="3" t="n"/>
      <c r="AC167" s="3" t="n"/>
      <c r="AD167" s="3" t="n"/>
      <c r="AE167" s="3" t="n"/>
      <c r="AF167" s="3" t="n"/>
      <c r="AG167" s="3" t="n"/>
      <c r="AH167" s="3" t="n"/>
      <c r="AI167" s="3" t="n"/>
      <c r="AJ167" s="3" t="n"/>
      <c r="AK167" s="3" t="n"/>
    </row>
    <row r="168">
      <c r="O168" s="3" t="n"/>
      <c r="P168" s="3" t="n"/>
      <c r="Q168" s="3" t="n"/>
      <c r="R168" s="3" t="n"/>
      <c r="S168" s="3" t="n"/>
      <c r="T168" s="3" t="n"/>
      <c r="U168" s="3" t="n"/>
      <c r="V168" s="3" t="n"/>
      <c r="W168" s="3" t="n"/>
      <c r="X168" s="3" t="n"/>
      <c r="Y168" s="3" t="n"/>
      <c r="Z168" s="3" t="n"/>
      <c r="AA168" s="3" t="n"/>
      <c r="AB168" s="3" t="n"/>
      <c r="AC168" s="3" t="n"/>
      <c r="AD168" s="3" t="n"/>
      <c r="AE168" s="3" t="n"/>
      <c r="AF168" s="3" t="n"/>
      <c r="AG168" s="3" t="n"/>
      <c r="AH168" s="3" t="n"/>
      <c r="AI168" s="3" t="n"/>
      <c r="AJ168" s="3" t="n"/>
      <c r="AK168" s="3" t="n"/>
    </row>
    <row r="169">
      <c r="O169" s="3" t="n"/>
      <c r="P169" s="3" t="n"/>
      <c r="Q169" s="3" t="n"/>
      <c r="R169" s="3" t="n"/>
      <c r="S169" s="3" t="n"/>
      <c r="T169" s="3" t="n"/>
      <c r="U169" s="3" t="n"/>
      <c r="V169" s="3" t="n"/>
      <c r="W169" s="3" t="n"/>
      <c r="X169" s="3" t="n"/>
      <c r="Y169" s="3" t="n"/>
      <c r="Z169" s="3" t="n"/>
      <c r="AA169" s="3" t="n"/>
      <c r="AB169" s="3" t="n"/>
      <c r="AC169" s="3" t="n"/>
      <c r="AD169" s="3" t="n"/>
      <c r="AE169" s="3" t="n"/>
      <c r="AF169" s="3" t="n"/>
      <c r="AG169" s="3" t="n"/>
      <c r="AH169" s="3" t="n"/>
      <c r="AI169" s="3" t="n"/>
      <c r="AJ169" s="3" t="n"/>
      <c r="AK169" s="3" t="n"/>
    </row>
    <row r="170">
      <c r="O170" s="3" t="n"/>
      <c r="P170" s="3" t="n"/>
      <c r="Q170" s="3" t="n"/>
      <c r="R170" s="3" t="n"/>
      <c r="S170" s="3" t="n"/>
      <c r="T170" s="3" t="n"/>
      <c r="U170" s="3" t="n"/>
      <c r="V170" s="3" t="n"/>
      <c r="W170" s="3" t="n"/>
      <c r="X170" s="3" t="n"/>
      <c r="Y170" s="3" t="n"/>
      <c r="Z170" s="3" t="n"/>
      <c r="AA170" s="3" t="n"/>
      <c r="AB170" s="3" t="n"/>
      <c r="AC170" s="3" t="n"/>
      <c r="AD170" s="3" t="n"/>
      <c r="AE170" s="3" t="n"/>
      <c r="AF170" s="3" t="n"/>
      <c r="AG170" s="3" t="n"/>
      <c r="AH170" s="3" t="n"/>
      <c r="AI170" s="3" t="n"/>
      <c r="AJ170" s="3" t="n"/>
      <c r="AK170" s="3" t="n"/>
    </row>
    <row r="171">
      <c r="O171" s="3" t="n"/>
      <c r="P171" s="3" t="n"/>
      <c r="Q171" s="3" t="n"/>
      <c r="R171" s="3" t="n"/>
      <c r="S171" s="3" t="n"/>
      <c r="T171" s="3" t="n"/>
      <c r="U171" s="3" t="n"/>
      <c r="V171" s="3" t="n"/>
      <c r="W171" s="3" t="n"/>
      <c r="X171" s="3" t="n"/>
      <c r="Y171" s="3" t="n"/>
      <c r="Z171" s="3" t="n"/>
      <c r="AA171" s="3" t="n"/>
      <c r="AB171" s="3" t="n"/>
      <c r="AC171" s="3" t="n"/>
      <c r="AD171" s="3" t="n"/>
      <c r="AE171" s="3" t="n"/>
      <c r="AF171" s="3" t="n"/>
      <c r="AG171" s="3" t="n"/>
      <c r="AH171" s="3" t="n"/>
      <c r="AI171" s="3" t="n"/>
      <c r="AJ171" s="3" t="n"/>
      <c r="AK171" s="3" t="n"/>
    </row>
    <row r="172">
      <c r="O172" s="3" t="n"/>
      <c r="P172" s="3" t="n"/>
      <c r="Q172" s="3" t="n"/>
      <c r="R172" s="3" t="n"/>
      <c r="S172" s="3" t="n"/>
      <c r="T172" s="3" t="n"/>
      <c r="U172" s="3" t="n"/>
      <c r="V172" s="3" t="n"/>
      <c r="W172" s="3" t="n"/>
      <c r="X172" s="3" t="n"/>
      <c r="Y172" s="3" t="n"/>
      <c r="Z172" s="3" t="n"/>
      <c r="AA172" s="3" t="n"/>
      <c r="AB172" s="3" t="n"/>
      <c r="AC172" s="3" t="n"/>
      <c r="AD172" s="3" t="n"/>
      <c r="AE172" s="3" t="n"/>
      <c r="AF172" s="3" t="n"/>
      <c r="AG172" s="3" t="n"/>
      <c r="AH172" s="3" t="n"/>
      <c r="AI172" s="3" t="n"/>
      <c r="AJ172" s="3" t="n"/>
      <c r="AK172" s="3" t="n"/>
    </row>
    <row r="173">
      <c r="O173" s="3" t="n"/>
      <c r="P173" s="3" t="n"/>
      <c r="Q173" s="3" t="n"/>
      <c r="R173" s="3" t="n"/>
      <c r="S173" s="3" t="n"/>
      <c r="T173" s="3" t="n"/>
      <c r="U173" s="3" t="n"/>
      <c r="V173" s="3" t="n"/>
      <c r="W173" s="3" t="n"/>
      <c r="X173" s="3" t="n"/>
      <c r="Y173" s="3" t="n"/>
      <c r="Z173" s="3" t="n"/>
      <c r="AA173" s="3" t="n"/>
      <c r="AB173" s="3" t="n"/>
      <c r="AC173" s="3" t="n"/>
      <c r="AD173" s="3" t="n"/>
      <c r="AE173" s="3" t="n"/>
      <c r="AF173" s="3" t="n"/>
      <c r="AG173" s="3" t="n"/>
      <c r="AH173" s="3" t="n"/>
      <c r="AI173" s="3" t="n"/>
      <c r="AJ173" s="3" t="n"/>
      <c r="AK173" s="3" t="n"/>
    </row>
    <row r="174">
      <c r="O174" s="3" t="n"/>
      <c r="P174" s="3" t="n"/>
      <c r="Q174" s="3" t="n"/>
      <c r="R174" s="3" t="n"/>
      <c r="S174" s="3" t="n"/>
      <c r="T174" s="3" t="n"/>
      <c r="U174" s="3" t="n"/>
      <c r="V174" s="3" t="n"/>
      <c r="W174" s="3" t="n"/>
      <c r="X174" s="3" t="n"/>
      <c r="Y174" s="3" t="n"/>
      <c r="Z174" s="3" t="n"/>
      <c r="AA174" s="3" t="n"/>
      <c r="AB174" s="3" t="n"/>
      <c r="AC174" s="3" t="n"/>
      <c r="AD174" s="3" t="n"/>
      <c r="AE174" s="3" t="n"/>
      <c r="AF174" s="3" t="n"/>
      <c r="AG174" s="3" t="n"/>
      <c r="AH174" s="3" t="n"/>
      <c r="AI174" s="3" t="n"/>
      <c r="AJ174" s="3" t="n"/>
      <c r="AK174" s="3" t="n"/>
    </row>
    <row r="175">
      <c r="O175" s="3" t="n"/>
      <c r="P175" s="3" t="n"/>
      <c r="Q175" s="3" t="n"/>
      <c r="R175" s="3" t="n"/>
      <c r="S175" s="3" t="n"/>
      <c r="T175" s="3" t="n"/>
      <c r="U175" s="3" t="n"/>
      <c r="V175" s="3" t="n"/>
      <c r="W175" s="3" t="n"/>
      <c r="X175" s="3" t="n"/>
      <c r="Y175" s="3" t="n"/>
      <c r="Z175" s="3" t="n"/>
      <c r="AA175" s="3" t="n"/>
      <c r="AB175" s="3" t="n"/>
      <c r="AC175" s="3" t="n"/>
      <c r="AD175" s="3" t="n"/>
      <c r="AE175" s="3" t="n"/>
      <c r="AF175" s="3" t="n"/>
      <c r="AG175" s="3" t="n"/>
      <c r="AH175" s="3" t="n"/>
      <c r="AI175" s="3" t="n"/>
      <c r="AJ175" s="3" t="n"/>
      <c r="AK175" s="3" t="n"/>
    </row>
    <row r="176">
      <c r="O176" s="3" t="n"/>
      <c r="P176" s="3" t="n"/>
      <c r="Q176" s="3" t="n"/>
      <c r="R176" s="3" t="n"/>
      <c r="S176" s="3" t="n"/>
      <c r="T176" s="3" t="n"/>
      <c r="U176" s="3" t="n"/>
      <c r="V176" s="3" t="n"/>
      <c r="W176" s="3" t="n"/>
      <c r="X176" s="3" t="n"/>
      <c r="Y176" s="3" t="n"/>
      <c r="Z176" s="3" t="n"/>
      <c r="AA176" s="3" t="n"/>
      <c r="AB176" s="3" t="n"/>
      <c r="AC176" s="3" t="n"/>
      <c r="AD176" s="3" t="n"/>
      <c r="AE176" s="3" t="n"/>
      <c r="AF176" s="3" t="n"/>
      <c r="AG176" s="3" t="n"/>
      <c r="AH176" s="3" t="n"/>
      <c r="AI176" s="3" t="n"/>
      <c r="AJ176" s="3" t="n"/>
      <c r="AK176" s="3" t="n"/>
    </row>
    <row r="10001"/>
  </sheetData>
  <mergeCells count="64">
    <mergeCell ref="G38:I38"/>
    <mergeCell ref="G45:I46"/>
    <mergeCell ref="H67:I67"/>
    <mergeCell ref="G12:H12"/>
    <mergeCell ref="C6:D6"/>
    <mergeCell ref="G28:I28"/>
    <mergeCell ref="G6:I6"/>
    <mergeCell ref="G19:I19"/>
    <mergeCell ref="G57:I57"/>
    <mergeCell ref="H78:I78"/>
    <mergeCell ref="G62:I62"/>
    <mergeCell ref="G34:I34"/>
    <mergeCell ref="C23:D24"/>
    <mergeCell ref="C26:D26"/>
    <mergeCell ref="H74:I74"/>
    <mergeCell ref="C20:D20"/>
    <mergeCell ref="H68:I68"/>
    <mergeCell ref="G58:I58"/>
    <mergeCell ref="H73:I73"/>
    <mergeCell ref="C14:D16"/>
    <mergeCell ref="H64:I64"/>
    <mergeCell ref="G52:I53"/>
    <mergeCell ref="G23:I24"/>
    <mergeCell ref="G55:I55"/>
    <mergeCell ref="G8:I9"/>
    <mergeCell ref="C22:D22"/>
    <mergeCell ref="G13:H13"/>
    <mergeCell ref="G29:I29"/>
    <mergeCell ref="H70:I70"/>
    <mergeCell ref="H79:I79"/>
    <mergeCell ref="G25:I25"/>
    <mergeCell ref="A10001:W10001"/>
    <mergeCell ref="A1:A3"/>
    <mergeCell ref="G32:I32"/>
    <mergeCell ref="G50:I50"/>
    <mergeCell ref="B3:W3"/>
    <mergeCell ref="G41:I41"/>
    <mergeCell ref="G60:I60"/>
    <mergeCell ref="G15:H15"/>
    <mergeCell ref="C27:D27"/>
    <mergeCell ref="G31:I31"/>
    <mergeCell ref="H72:I72"/>
    <mergeCell ref="G40:I40"/>
    <mergeCell ref="G14:H14"/>
    <mergeCell ref="G56:I56"/>
    <mergeCell ref="H66:I66"/>
    <mergeCell ref="G21:I21"/>
    <mergeCell ref="H80:I80"/>
    <mergeCell ref="G43:I43"/>
    <mergeCell ref="C8:D8"/>
    <mergeCell ref="H65:I65"/>
    <mergeCell ref="B2:W2"/>
    <mergeCell ref="G36:I36"/>
    <mergeCell ref="H77:I77"/>
    <mergeCell ref="G27:I27"/>
    <mergeCell ref="B1:W1"/>
    <mergeCell ref="C19:D19"/>
    <mergeCell ref="G39:I39"/>
    <mergeCell ref="H71:I71"/>
    <mergeCell ref="H76:I76"/>
    <mergeCell ref="G48:I48"/>
    <mergeCell ref="C13:D13"/>
    <mergeCell ref="C18:D18"/>
    <mergeCell ref="C9:D10"/>
  </mergeCells>
  <hyperlinks>
    <hyperlink xmlns:r="http://schemas.openxmlformats.org/officeDocument/2006/relationships" ref="C20" r:id="rId1"/>
    <hyperlink xmlns:r="http://schemas.openxmlformats.org/officeDocument/2006/relationships" ref="C27" r:id="rId2"/>
    <hyperlink xmlns:r="http://schemas.openxmlformats.org/officeDocument/2006/relationships" ref="G27" r:id="rId3"/>
    <hyperlink xmlns:r="http://schemas.openxmlformats.org/officeDocument/2006/relationships" ref="G43" r:id="rId4"/>
    <hyperlink xmlns:r="http://schemas.openxmlformats.org/officeDocument/2006/relationships" ref="G48" r:id="rId5"/>
    <hyperlink xmlns:r="http://schemas.openxmlformats.org/officeDocument/2006/relationships" ref="G60" r:id="rId6"/>
    <hyperlink xmlns:r="http://schemas.openxmlformats.org/officeDocument/2006/relationships" ref="H68" r:id="rId7"/>
    <hyperlink xmlns:r="http://schemas.openxmlformats.org/officeDocument/2006/relationships" ref="H74" r:id="rId8"/>
    <hyperlink xmlns:r="http://schemas.openxmlformats.org/officeDocument/2006/relationships" ref="H80" r:id="rId9"/>
  </hyperlinks>
  <pageMargins left="0.75" right="0.75" top="1" bottom="1" header="0.5" footer="0.5"/>
  <drawing xmlns:r="http://schemas.openxmlformats.org/officeDocument/2006/relationships" r:id="rId10"/>
</worksheet>
</file>

<file path=xl/worksheets/sheet2.xml><?xml version="1.0" encoding="utf-8"?>
<worksheet xmlns="http://schemas.openxmlformats.org/spreadsheetml/2006/main">
  <sheetPr>
    <outlinePr summaryBelow="1" summaryRight="1"/>
    <pageSetUpPr/>
  </sheetPr>
  <dimension ref="A1:AB12"/>
  <sheetViews>
    <sheetView workbookViewId="0">
      <selection activeCell="A1" sqref="A1"/>
    </sheetView>
  </sheetViews>
  <sheetFormatPr baseColWidth="8" defaultRowHeight="15"/>
  <sheetData>
    <row r="1">
      <c r="A1" s="0" t="inlineStr">
        <is>
          <t>695936114-bulk-sell-e0e88d029aab</t>
        </is>
      </c>
      <c r="B1" s="0" t="inlineStr">
        <is>
          <t>2026-10-06</t>
        </is>
      </c>
      <c r="C1" s="0" t="inlineStr">
        <is>
          <t>07622828-4c2b-4a57-aa34-569964bb3521</t>
        </is>
      </c>
    </row>
    <row r="2">
      <c r="A2" s="0" t="inlineStr">
        <is>
          <t>Usado</t>
        </is>
      </c>
      <c r="B2" s="0" t="inlineStr">
        <is>
          <t>Nuevo</t>
        </is>
      </c>
    </row>
    <row r="3">
      <c r="A3" s="0" t="inlineStr">
        <is>
          <t>Agregar cuotas</t>
        </is>
      </c>
      <c r="B3" s="0" t="inlineStr">
        <is>
          <t>No agregar cuotas</t>
        </is>
      </c>
    </row>
    <row r="4">
      <c r="A4" s="0" t="inlineStr">
        <is>
          <t>Mercado Envíos</t>
        </is>
      </c>
    </row>
    <row r="5">
      <c r="A5" s="0" t="inlineStr">
        <is>
          <t>Seleccionar</t>
        </is>
      </c>
      <c r="B5" s="0" t="inlineStr">
        <is>
          <t>A cargo del comprador</t>
        </is>
      </c>
      <c r="C5" s="0" t="inlineStr">
        <is>
          <t>Ofrecés envío gratis</t>
        </is>
      </c>
    </row>
    <row r="6">
      <c r="A6" s="0" t="inlineStr">
        <is>
          <t>Seleccionar</t>
        </is>
      </c>
      <c r="B6" s="0" t="inlineStr">
        <is>
          <t>Acepto</t>
        </is>
      </c>
      <c r="C6" s="0" t="inlineStr">
        <is>
          <t>No acepto</t>
        </is>
      </c>
    </row>
    <row r="7">
      <c r="A7" s="0" t="inlineStr">
        <is>
          <t>Seleccionar</t>
        </is>
      </c>
      <c r="B7" s="0" t="inlineStr">
        <is>
          <t>Garantía del vendedor</t>
        </is>
      </c>
      <c r="C7" s="0" t="inlineStr">
        <is>
          <t>Garantía de fábrica</t>
        </is>
      </c>
      <c r="D7" s="0" t="inlineStr">
        <is>
          <t>Sin garantía</t>
        </is>
      </c>
    </row>
    <row r="8">
      <c r="A8" s="0" t="inlineStr">
        <is>
          <t>Seleccionar</t>
        </is>
      </c>
      <c r="B8" s="0" t="inlineStr">
        <is>
          <t>días</t>
        </is>
      </c>
      <c r="C8" s="0" t="inlineStr">
        <is>
          <t>meses</t>
        </is>
      </c>
      <c r="D8" s="0" t="inlineStr">
        <is>
          <t>años</t>
        </is>
      </c>
    </row>
    <row r="9">
      <c r="A9" s="0" t="inlineStr">
        <is>
          <t>Seleccionar</t>
        </is>
      </c>
      <c r="B9" s="0" t="inlineStr">
        <is>
          <t>Ofrezco</t>
        </is>
      </c>
      <c r="C9" s="0" t="inlineStr">
        <is>
          <t>No ofrezco</t>
        </is>
      </c>
    </row>
    <row r="10">
      <c r="A10" s="0" t="inlineStr">
        <is>
          <t>Escribí o elegí un valor</t>
        </is>
      </c>
      <c r="B10" s="0" t="inlineStr">
        <is>
          <t>Alemania</t>
        </is>
      </c>
      <c r="C10" s="0" t="inlineStr">
        <is>
          <t>Argentina</t>
        </is>
      </c>
      <c r="D10" s="0" t="inlineStr">
        <is>
          <t>Austria</t>
        </is>
      </c>
      <c r="E10" s="0" t="inlineStr">
        <is>
          <t>Bolivia</t>
        </is>
      </c>
      <c r="F10" s="0" t="inlineStr">
        <is>
          <t>Brasil</t>
        </is>
      </c>
      <c r="G10" s="0" t="inlineStr">
        <is>
          <t>Bélgica</t>
        </is>
      </c>
      <c r="H10" s="0" t="inlineStr">
        <is>
          <t>Canadá</t>
        </is>
      </c>
      <c r="I10" s="0" t="inlineStr">
        <is>
          <t>Chile</t>
        </is>
      </c>
      <c r="J10" s="0" t="inlineStr">
        <is>
          <t>China</t>
        </is>
      </c>
      <c r="K10" s="0" t="inlineStr">
        <is>
          <t>Cuba</t>
        </is>
      </c>
      <c r="L10" s="0" t="inlineStr">
        <is>
          <t>Dinamarca</t>
        </is>
      </c>
      <c r="M10" s="0" t="inlineStr">
        <is>
          <t>España</t>
        </is>
      </c>
      <c r="N10" s="0" t="inlineStr">
        <is>
          <t>Estados Unidos</t>
        </is>
      </c>
      <c r="O10" s="0" t="inlineStr">
        <is>
          <t>Francia</t>
        </is>
      </c>
      <c r="P10" s="0" t="inlineStr">
        <is>
          <t>Grecia</t>
        </is>
      </c>
      <c r="Q10" s="0" t="inlineStr">
        <is>
          <t>Holanda</t>
        </is>
      </c>
      <c r="R10" s="0" t="inlineStr">
        <is>
          <t>Inglaterra</t>
        </is>
      </c>
      <c r="S10" s="0" t="inlineStr">
        <is>
          <t>Israel</t>
        </is>
      </c>
      <c r="T10" s="0" t="inlineStr">
        <is>
          <t>Italia</t>
        </is>
      </c>
      <c r="U10" s="0" t="inlineStr">
        <is>
          <t>Japón</t>
        </is>
      </c>
      <c r="V10" s="0" t="inlineStr">
        <is>
          <t>México</t>
        </is>
      </c>
      <c r="W10" s="0" t="inlineStr">
        <is>
          <t>Perú</t>
        </is>
      </c>
      <c r="X10" s="0" t="inlineStr">
        <is>
          <t>Polonia</t>
        </is>
      </c>
      <c r="Y10" s="0" t="inlineStr">
        <is>
          <t>Portugal</t>
        </is>
      </c>
      <c r="Z10" s="0" t="inlineStr">
        <is>
          <t>Rusia</t>
        </is>
      </c>
      <c r="AA10" s="0" t="inlineStr">
        <is>
          <t>Ucrania</t>
        </is>
      </c>
      <c r="AB10" s="0" t="inlineStr">
        <is>
          <t>Uruguay</t>
        </is>
      </c>
    </row>
    <row r="11">
      <c r="A11" s="0" t="inlineStr">
        <is>
          <t>Escribí o elegí un valor</t>
        </is>
      </c>
      <c r="B11" s="0" t="inlineStr">
        <is>
          <t>Oro</t>
        </is>
      </c>
      <c r="C11" s="0" t="inlineStr">
        <is>
          <t>Cobre</t>
        </is>
      </c>
      <c r="D11" s="0" t="inlineStr">
        <is>
          <t>Níquel</t>
        </is>
      </c>
      <c r="E11" s="0" t="inlineStr">
        <is>
          <t>Plata</t>
        </is>
      </c>
      <c r="F11" s="0" t="inlineStr">
        <is>
          <t>Bronce</t>
        </is>
      </c>
    </row>
    <row r="12">
      <c r="A12" s="0" t="inlineStr">
        <is>
          <t>Escribí o elegí un valor</t>
        </is>
      </c>
      <c r="B12" s="0" t="inlineStr">
        <is>
          <t>Real</t>
        </is>
      </c>
      <c r="C12" s="0" t="inlineStr">
        <is>
          <t>Rublo</t>
        </is>
      </c>
      <c r="D12" s="0" t="inlineStr">
        <is>
          <t>Zloty</t>
        </is>
      </c>
      <c r="E12" s="0" t="inlineStr">
        <is>
          <t>Yuan</t>
        </is>
      </c>
      <c r="F12" s="0" t="inlineStr">
        <is>
          <t>Euro</t>
        </is>
      </c>
      <c r="G12" s="0" t="inlineStr">
        <is>
          <t>Sheqel</t>
        </is>
      </c>
      <c r="H12" s="0" t="inlineStr">
        <is>
          <t>Grivna</t>
        </is>
      </c>
      <c r="I12" s="0" t="inlineStr">
        <is>
          <t>Dólar</t>
        </is>
      </c>
      <c r="J12" s="0" t="inlineStr">
        <is>
          <t>Yen</t>
        </is>
      </c>
      <c r="K12" s="0" t="inlineStr">
        <is>
          <t>Peso</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D1001"/>
  <sheetViews>
    <sheetView workbookViewId="0">
      <selection activeCell="A1" sqref="A1"/>
    </sheetView>
  </sheetViews>
  <sheetFormatPr baseColWidth="8" defaultRowHeight="15"/>
  <cols>
    <col width="19.265625" customWidth="1" min="1" max="1"/>
    <col width="62.5" customWidth="1" style="34" min="2" max="2"/>
    <col width="8.65625" customWidth="1" min="3" max="3"/>
    <col width="31.640625" customWidth="1" min="4" max="4"/>
    <col width="57.06640625" customWidth="1" style="38" min="5" max="5"/>
    <col width="26.171875" customWidth="1" min="6" max="6"/>
    <col width="16.40625" customWidth="1" style="40" min="7" max="7"/>
    <col width="23.4375" customWidth="1" style="42" min="8" max="8"/>
    <col width="42.96875" customWidth="1" style="44" min="9" max="9"/>
    <col width="19.53125" customWidth="1" style="31" min="10" max="10"/>
    <col width="39.453125" customWidth="1" min="11" max="11"/>
    <col width="19.53125" customWidth="1" style="31" min="12" max="12"/>
    <col width="27.34375" customWidth="1" min="13" max="13"/>
    <col width="27.34375" customWidth="1" min="14" max="14"/>
    <col width="27.34375" customWidth="1" min="15" max="15"/>
    <col width="26.171875" customWidth="1" style="47" min="16" max="16"/>
    <col width="26.171875" customWidth="1" style="50" min="17" max="17"/>
    <col width="26.171875" customWidth="1" min="18" max="18"/>
    <col width="26.171875" customWidth="1" min="19" max="19"/>
    <col width="26.171875" customWidth="1" style="50" min="20" max="20"/>
    <col width="26.171875" customWidth="1" min="21" max="21"/>
    <col width="26.171875" customWidth="1" min="22" max="22"/>
    <col width="26.171875" customWidth="1" min="23" max="23"/>
    <col width="26.171875" customWidth="1" min="24" max="24"/>
    <col width="26.171875" customWidth="1" min="25" max="25"/>
    <col width="26.171875" customWidth="1" min="26" max="26"/>
    <col width="26.171875" customWidth="1" min="27" max="27"/>
    <col width="31.25" customWidth="1" min="28" max="28"/>
    <col hidden="1" width="15.625" customWidth="1" style="53" min="29" max="29"/>
    <col hidden="1" width="15.625" customWidth="1" style="53" min="30" max="30"/>
  </cols>
  <sheetData>
    <row r="1" ht="15" customHeight="1" s="62">
      <c r="A1" s="36" t="inlineStr">
        <is>
          <t>Antigüedades y Colecciones &gt; Monedas y Billetes &gt; Monedas</t>
        </is>
      </c>
      <c r="B1" s="63" t="n"/>
      <c r="C1" s="63" t="n"/>
      <c r="D1" s="63" t="n"/>
      <c r="E1" s="41" t="inlineStr">
        <is>
          <t>Características principales</t>
        </is>
      </c>
      <c r="F1" s="65" t="n"/>
      <c r="G1" s="66" t="n"/>
      <c r="H1" s="45" t="inlineStr">
        <is>
          <t>Información del producto</t>
        </is>
      </c>
      <c r="I1" s="66" t="n"/>
      <c r="J1" s="49" t="inlineStr">
        <is>
          <t>Condiciones de la publicación</t>
        </is>
      </c>
      <c r="K1" s="63" t="n"/>
      <c r="L1" s="63" t="n"/>
      <c r="M1" s="63" t="n"/>
      <c r="N1" s="63" t="n"/>
      <c r="O1" s="63" t="n"/>
      <c r="P1" s="63" t="n"/>
      <c r="Q1" s="63" t="n"/>
      <c r="R1" s="63" t="n"/>
      <c r="S1" s="63" t="n"/>
      <c r="T1" s="52" t="inlineStr">
        <is>
          <t>Características del producto 
Si creás variantes, tenés que mantener esta información igual en todas</t>
        </is>
      </c>
      <c r="U1" s="65" t="n"/>
      <c r="V1" s="65" t="n"/>
      <c r="W1" s="65" t="n"/>
      <c r="X1" s="65" t="n"/>
      <c r="Y1" s="65" t="n"/>
      <c r="Z1" s="65" t="n"/>
      <c r="AA1" s="66" t="n"/>
      <c r="AB1" s="55" t="inlineStr"/>
      <c r="AC1" s="57" t="inlineStr"/>
      <c r="AD1" s="63" t="n"/>
    </row>
    <row r="2" ht="27" customHeight="1" s="62">
      <c r="A2" s="37" t="inlineStr">
        <is>
          <t>Monedas</t>
        </is>
      </c>
      <c r="B2" s="63" t="n"/>
      <c r="C2" s="63" t="n"/>
      <c r="D2" s="63" t="n"/>
      <c r="E2" s="67" t="n"/>
      <c r="F2" s="68" t="n"/>
      <c r="G2" s="69" t="n"/>
      <c r="H2" s="67" t="n"/>
      <c r="I2" s="69" t="n"/>
      <c r="J2" s="63" t="n"/>
      <c r="K2" s="63" t="n"/>
      <c r="L2" s="63" t="n"/>
      <c r="M2" s="63" t="n"/>
      <c r="N2" s="63" t="n"/>
      <c r="O2" s="63" t="n"/>
      <c r="P2" s="63" t="n"/>
      <c r="Q2" s="63" t="n"/>
      <c r="R2" s="63" t="n"/>
      <c r="S2" s="63" t="n"/>
      <c r="T2" s="67" t="n"/>
      <c r="U2" s="68" t="n"/>
      <c r="V2" s="68" t="n"/>
      <c r="W2" s="68" t="n"/>
      <c r="X2" s="68" t="n"/>
      <c r="Y2" s="68" t="n"/>
      <c r="Z2" s="68" t="n"/>
      <c r="AA2" s="69" t="n"/>
      <c r="AB2" s="70" t="n"/>
      <c r="AC2" s="63" t="n"/>
      <c r="AD2" s="63" t="n"/>
    </row>
    <row r="3" ht="37.5" customHeight="1" s="62">
      <c r="A3" s="29" t="inlineStr">
        <is>
          <t>Código de catálogo ML</t>
        </is>
      </c>
      <c r="B3" s="29" t="inlineStr">
        <is>
          <t>Título: incluí producto, marca, modelo y destaca sus características principales 
Si creás variantes, tenés que crear un título general para todas</t>
        </is>
      </c>
      <c r="C3" s="29" t="inlineStr">
        <is>
          <t>Cantidad de caracteres</t>
        </is>
      </c>
      <c r="D3" s="29" t="inlineStr">
        <is>
          <t>Condición</t>
        </is>
      </c>
      <c r="E3" s="39" t="inlineStr">
        <is>
          <t>Fotos</t>
        </is>
      </c>
      <c r="F3" s="39" t="inlineStr">
        <is>
          <t>SKU</t>
        </is>
      </c>
      <c r="G3" s="39" t="inlineStr">
        <is>
          <t>Stock</t>
        </is>
      </c>
      <c r="H3" s="43" t="inlineStr">
        <is>
          <t>Precio [$]</t>
        </is>
      </c>
      <c r="I3" s="43" t="inlineStr">
        <is>
          <t>Descripción</t>
        </is>
      </c>
      <c r="J3" s="46" t="inlineStr">
        <is>
          <t xml:space="preserve">Cargo por vender </t>
        </is>
      </c>
      <c r="K3" s="46" t="inlineStr">
        <is>
          <t>Cuotas</t>
        </is>
      </c>
      <c r="L3" s="46" t="inlineStr">
        <is>
          <t>Costo por ofrecer cuotas</t>
        </is>
      </c>
      <c r="M3" s="46" t="inlineStr">
        <is>
          <t>Forma de envío</t>
        </is>
      </c>
      <c r="N3" s="46" t="inlineStr">
        <is>
          <t>Costo de envío</t>
        </is>
      </c>
      <c r="O3" s="46" t="inlineStr">
        <is>
          <t>Retiro en persona</t>
        </is>
      </c>
      <c r="P3" s="46" t="inlineStr">
        <is>
          <t>Tipo de garantía</t>
        </is>
      </c>
      <c r="Q3" s="46" t="inlineStr">
        <is>
          <t>Tiempo de garantía</t>
        </is>
      </c>
      <c r="R3" s="46" t="inlineStr">
        <is>
          <t>Unidad de Tiempo de garantía</t>
        </is>
      </c>
      <c r="S3" s="46" t="inlineStr">
        <is>
          <t>Factura A</t>
        </is>
      </c>
      <c r="T3" s="51" t="inlineStr">
        <is>
          <t>Año de emisión</t>
        </is>
      </c>
      <c r="U3" s="51" t="inlineStr">
        <is>
          <t>Origen</t>
        </is>
      </c>
      <c r="V3" s="51" t="inlineStr">
        <is>
          <t>Marca</t>
        </is>
      </c>
      <c r="W3" s="51" t="inlineStr">
        <is>
          <t>Modelo</t>
        </is>
      </c>
      <c r="X3" s="51" t="inlineStr">
        <is>
          <t>Tipo de metal</t>
        </is>
      </c>
      <c r="Y3" s="51" t="inlineStr">
        <is>
          <t>Moneda conmemorativa</t>
        </is>
      </c>
      <c r="Z3" s="51" t="inlineStr">
        <is>
          <t>Valor de la moneda</t>
        </is>
      </c>
      <c r="AA3" s="51" t="inlineStr">
        <is>
          <t>Tipo de moneda</t>
        </is>
      </c>
      <c r="AB3" s="54" t="inlineStr">
        <is>
          <t>Resumen de errores</t>
        </is>
      </c>
      <c r="AC3" s="56" t="inlineStr">
        <is>
          <t>BUYBOX_FORMULA</t>
        </is>
      </c>
      <c r="AD3" s="56" t="inlineStr">
        <is>
          <t>HIDDEN_PICTURES</t>
        </is>
      </c>
    </row>
    <row r="4" ht="17.25" customHeight="1" s="62">
      <c r="A4" s="30" t="inlineStr"/>
      <c r="B4" s="30" t="inlineStr">
        <is>
          <t>Obligatorio</t>
        </is>
      </c>
      <c r="C4" s="30" t="inlineStr"/>
      <c r="D4" s="30" t="inlineStr">
        <is>
          <t>Obligatorio</t>
        </is>
      </c>
      <c r="E4" s="30" t="inlineStr">
        <is>
          <t>Obligatorio</t>
        </is>
      </c>
      <c r="F4" s="30" t="inlineStr"/>
      <c r="G4" s="30" t="inlineStr">
        <is>
          <t>Obligatorio</t>
        </is>
      </c>
      <c r="H4" s="30" t="inlineStr">
        <is>
          <t>Obligatorio</t>
        </is>
      </c>
      <c r="I4" s="30" t="inlineStr"/>
      <c r="J4" s="30" t="inlineStr"/>
      <c r="K4" s="30" t="inlineStr">
        <is>
          <t>Obligatorio</t>
        </is>
      </c>
      <c r="L4" s="30" t="inlineStr"/>
      <c r="M4" s="30" t="inlineStr">
        <is>
          <t>Obligatorio</t>
        </is>
      </c>
      <c r="N4" s="30" t="inlineStr">
        <is>
          <t>Obligatorio</t>
        </is>
      </c>
      <c r="O4" s="30" t="inlineStr">
        <is>
          <t>Obligatorio</t>
        </is>
      </c>
      <c r="P4" s="30" t="inlineStr"/>
      <c r="Q4" s="30" t="inlineStr"/>
      <c r="R4" s="30" t="inlineStr"/>
      <c r="S4" s="30" t="inlineStr"/>
      <c r="T4" s="30" t="inlineStr">
        <is>
          <t>Obligatorio</t>
        </is>
      </c>
      <c r="U4" s="30" t="inlineStr"/>
      <c r="V4" s="30" t="inlineStr"/>
      <c r="W4" s="30" t="inlineStr"/>
      <c r="X4" s="30" t="inlineStr"/>
      <c r="Y4" s="30" t="inlineStr"/>
      <c r="Z4" s="30" t="inlineStr"/>
      <c r="AA4" s="30" t="inlineStr"/>
      <c r="AB4" s="30" t="inlineStr"/>
      <c r="AC4" s="30" t="inlineStr"/>
      <c r="AD4" s="30" t="inlineStr"/>
    </row>
    <row r="5" ht="117" customHeight="1" s="62">
      <c r="A5" s="31" t="inlineStr">
        <is>
          <t>Este dato es obligatorio para usar la información del producto de catálogo.
Si no tenés el código, buscalo en nuestro catálogo.</t>
        </is>
      </c>
      <c r="B5" s="31" t="inlineStr">
        <is>
          <t>Máximo 60 caracteres.Una vez que vendas no podrás editarlo. Si tu producto es genérico, indica su marca real y/o aclara que es "compatible con" otras marcas.</t>
        </is>
      </c>
      <c r="C5" s="71" t="n"/>
      <c r="D5" s="31" t="inlineStr">
        <is>
          <t>Indicá la condición del producto y evitá reclamos de tus compradores.</t>
        </is>
      </c>
      <c r="E5" s="31" t="inlineStr">
        <is>
          <t>Ingresá al Gestor de fotos para obtener las URLs. Después, regresá a esta planilla y pegalas en la celda correspondiente.</t>
        </is>
      </c>
      <c r="F5" s="31" t="n"/>
      <c r="G5" s="31" t="n"/>
      <c r="H5" s="31" t="inlineStr">
        <is>
          <t xml:space="preserve">
Máximo 2 decimales, sin el signo $.</t>
        </is>
      </c>
      <c r="I5" s="31" t="inlineStr">
        <is>
          <t>Si la celda es gris, no la modifiques. Usaremos la información del producto de catálogo.</t>
        </is>
      </c>
      <c r="J5" s="31" t="inlineStr">
        <is>
          <t>Es el cargo que pagarás por cada venta concretada.</t>
        </is>
      </c>
      <c r="K5" s="31" t="inlineStr">
        <is>
          <t>Algunas opciones no están disponibles en este editor.</t>
        </is>
      </c>
      <c r="L5" s="31" t="inlineStr">
        <is>
          <t>Este costo varía dependiendo de las opciones de cuotas que agregues en tu publicación.</t>
        </is>
      </c>
      <c r="M5" s="31" t="n"/>
      <c r="N5" s="31" t="inlineStr">
        <is>
          <t>Seleccioná la forma de envío de tu producto. Tené en cuenta que ofrecer envío gratis dependerá de la categoría y el precio.</t>
        </is>
      </c>
      <c r="O5" s="31" t="n"/>
      <c r="P5" s="31" t="n"/>
      <c r="Q5" s="31" t="inlineStr">
        <is>
          <t>Escribí solo números.</t>
        </is>
      </c>
      <c r="R5" s="31" t="inlineStr">
        <is>
          <t>Seleccioná la unidad de medida.</t>
        </is>
      </c>
      <c r="S5" s="31" t="inlineStr">
        <is>
          <t>Seleccioná una opción si estás usando códigos del catálogo.</t>
        </is>
      </c>
      <c r="T5" s="31" t="inlineStr">
        <is>
          <t>Escribí solo números.</t>
        </is>
      </c>
      <c r="U5" s="31" t="n"/>
      <c r="V5" s="31" t="n"/>
      <c r="W5" s="31" t="n"/>
      <c r="X5" s="31" t="n"/>
      <c r="Y5" s="31" t="n"/>
      <c r="Z5" s="31" t="n"/>
      <c r="AA5" s="31" t="n"/>
      <c r="AB5" s="31" t="inlineStr">
        <is>
          <t>Revisá los campos obligatorios que están en rojo y completalos para subir tu planilla</t>
        </is>
      </c>
      <c r="AC5" s="31" t="n"/>
      <c r="AD5" s="31" t="n"/>
    </row>
    <row r="6" ht="27.5" customHeight="1" s="62">
      <c r="A6" s="72" t="n"/>
      <c r="B6" s="31" t="inlineStr">
        <is>
          <t>Máximo 60 caracteres. Una vez que vendas no podrás editarlo. Si tu producto es genérico, indica su marca real y/o aclara que es "compatible con" otras marcas.</t>
        </is>
      </c>
      <c r="C6" s="71" t="n"/>
      <c r="D6" s="33" t="inlineStr">
        <is>
          <t>Identificar la condición del producto</t>
        </is>
      </c>
      <c r="E6" s="33" t="inlineStr">
        <is>
          <t>Obtener las URLs en el gestor de fotos</t>
        </is>
      </c>
      <c r="F6" s="31" t="inlineStr"/>
      <c r="G6" s="31" t="inlineStr"/>
      <c r="H6" s="72" t="n"/>
      <c r="I6" s="73" t="n"/>
      <c r="J6" s="31" t="inlineStr"/>
      <c r="K6" s="31" t="inlineStr"/>
      <c r="L6" s="31" t="inlineStr"/>
      <c r="M6" s="31" t="inlineStr"/>
      <c r="N6" s="33" t="inlineStr">
        <is>
          <t xml:space="preserve"> Conocé más sobre envíos</t>
        </is>
      </c>
      <c r="O6" s="31" t="inlineStr"/>
      <c r="P6" s="31" t="inlineStr"/>
      <c r="Q6" s="31" t="inlineStr"/>
      <c r="R6" s="31" t="inlineStr"/>
      <c r="S6" s="73" t="n"/>
      <c r="T6" s="31" t="inlineStr"/>
      <c r="U6" s="31" t="inlineStr"/>
      <c r="V6" s="31" t="inlineStr"/>
      <c r="W6" s="31" t="inlineStr"/>
      <c r="X6" s="31" t="inlineStr"/>
      <c r="Y6" s="31" t="inlineStr"/>
      <c r="Z6" s="31" t="inlineStr"/>
      <c r="AA6" s="31" t="inlineStr"/>
      <c r="AB6" s="72" t="n"/>
      <c r="AC6" s="31" t="inlineStr"/>
      <c r="AD6" s="31" t="inlineStr"/>
    </row>
    <row r="7" ht="27.5" customHeight="1" s="62">
      <c r="A7" s="33" t="inlineStr">
        <is>
          <t>Buscar el código</t>
        </is>
      </c>
      <c r="B7" s="35" t="inlineStr">
        <is>
          <t>Si la celda es gris, no la modifiques. Usaremos la información del producto de catálogo.</t>
        </is>
      </c>
      <c r="C7" s="63" t="n"/>
      <c r="D7" s="70" t="n"/>
      <c r="E7" s="35" t="inlineStr">
        <is>
          <t>Si la celda es gris, no la modifiques. Usaremos la información del producto de catálogo.</t>
        </is>
      </c>
      <c r="F7" s="32" t="inlineStr"/>
      <c r="G7" s="32" t="inlineStr"/>
      <c r="H7" s="35" t="inlineStr">
        <is>
          <t>Precio mínimo: 1000,00 en moneda local</t>
        </is>
      </c>
      <c r="I7" s="72" t="n"/>
      <c r="J7" s="32" t="inlineStr"/>
      <c r="K7" s="32" t="inlineStr"/>
      <c r="L7" s="32" t="inlineStr"/>
      <c r="M7" s="32" t="inlineStr"/>
      <c r="N7" s="32" t="inlineStr"/>
      <c r="O7" s="32" t="inlineStr"/>
      <c r="P7" s="32" t="inlineStr"/>
      <c r="Q7" s="32" t="inlineStr"/>
      <c r="R7" s="32" t="inlineStr"/>
      <c r="S7" s="72" t="n"/>
      <c r="T7" s="35" t="inlineStr">
        <is>
          <t>Si la celda es gris, no la modifiques. Usaremos la información del producto de catálogo.</t>
        </is>
      </c>
      <c r="U7" s="63" t="n"/>
      <c r="V7" s="63" t="n"/>
      <c r="W7" s="63" t="n"/>
      <c r="X7" s="63" t="n"/>
      <c r="Y7" s="63" t="n"/>
      <c r="Z7" s="63" t="n"/>
      <c r="AA7" s="63" t="n"/>
      <c r="AB7" s="33" t="inlineStr">
        <is>
          <t>Cómo completar la planilla</t>
        </is>
      </c>
      <c r="AC7" s="32" t="inlineStr"/>
      <c r="AD7" s="32" t="inlineStr"/>
    </row>
    <row r="8" ht="27.5" customHeight="1" s="62">
      <c r="B8" t="inlineStr">
        <is>
          <t>Moneda Argentina 1/2 Real 1815</t>
        </is>
      </c>
      <c r="C8" s="0">
        <f>LEN(INDIRECT(ADDRESS(ROW() + (0),COLUMN() + (-1))))</f>
        <v/>
      </c>
      <c r="D8" s="0" t="inlineStr">
        <is>
          <t>Usado</t>
        </is>
      </c>
      <c r="E8" s="38" t="inlineStr">
        <is>
          <t>https://numismaticapopper.com/images/1A.jpeg,https://numismaticapopper.com/images/1B.jpeg</t>
        </is>
      </c>
      <c r="F8" t="inlineStr">
        <is>
          <t>1</t>
        </is>
      </c>
      <c r="G8" s="40" t="n">
        <v>1</v>
      </c>
      <c r="H8" t="n">
        <v>264000</v>
      </c>
      <c r="I8" t="inlineStr">
        <is>
          <t>Estado de conservacion: Muy Buena **
Referencia de catalogo: CJ# 17
Material: Plata .900
Peso: 1.692 g
Diametro: 15.8 mm</t>
        </is>
      </c>
      <c r="J8" s="31">
        <f>IF(INDIRECT(ADDRESS(ROW() + (0),COLUMN() + (1)))="Agregar cuotas", IF(("16%")="", "-", "16%"), IF(INDIRECT(ADDRESS(ROW() + (0),COLUMN() + (1)))="No agregar cuotas", IF(("16%")="", "-", "16%"), "-"))</f>
        <v/>
      </c>
      <c r="K8" s="0" t="inlineStr">
        <is>
          <t>No agregar cuotas</t>
        </is>
      </c>
      <c r="L8" s="31">
        <f>IF(INDIRECT(ADDRESS(ROW() + (0),COLUMN() + (-1)))="Agregar cuotas", IF(("13.4%")="", "Sin costo", "13.4%"), IF(INDIRECT(ADDRESS(ROW() + (0),COLUMN() + (-1)))="No agregar cuotas", IF(("")="", "Sin costo", ""), "-"))</f>
        <v/>
      </c>
      <c r="M8" s="0" t="inlineStr">
        <is>
          <t>Mercado Envíos</t>
        </is>
      </c>
      <c r="N8" s="0" t="inlineStr">
        <is>
          <t>Ofrecés envío gratis</t>
        </is>
      </c>
      <c r="O8" s="0" t="inlineStr">
        <is>
          <t>Acepto</t>
        </is>
      </c>
      <c r="P8" s="47" t="inlineStr">
        <is>
          <t>Sin garantía</t>
        </is>
      </c>
      <c r="R8" s="0" t="inlineStr">
        <is>
          <t>Seleccionar</t>
        </is>
      </c>
      <c r="S8" s="0" t="inlineStr">
        <is>
          <t>No ofrezco</t>
        </is>
      </c>
      <c r="T8" t="n">
        <v>1815</v>
      </c>
      <c r="U8" s="0" t="inlineStr">
        <is>
          <t>Argentina</t>
        </is>
      </c>
      <c r="X8" s="0" t="inlineStr">
        <is>
          <t>Plata</t>
        </is>
      </c>
      <c r="Z8" t="inlineStr">
        <is>
          <t>1/2 Real</t>
        </is>
      </c>
      <c r="AA8" s="0" t="inlineStr">
        <is>
          <t>Real</t>
        </is>
      </c>
      <c r="AB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 s="53">
        <f>IF(OR(TRIM(INDIRECT("B"&amp;ROW())) &lt;&gt; "",TRIM(INDIRECT("A"&amp;ROW())) &lt;&gt; ""),AND(TRIM(INDIRECT("A"&amp;ROW())) &lt;&gt; "",TRIM(INDIRECT("D"&amp;ROW())) = "nuevo"),"")</f>
        <v/>
      </c>
    </row>
    <row r="9" ht="27.5" customHeight="1" s="62">
      <c r="B9" t="inlineStr">
        <is>
          <t>Moneda Argentina 2 Reales 1860</t>
        </is>
      </c>
      <c r="C9" s="0">
        <f>LEN(INDIRECT(ADDRESS(ROW() + (0),COLUMN() + (-1))))</f>
        <v/>
      </c>
      <c r="D9" s="0" t="inlineStr">
        <is>
          <t>Usado</t>
        </is>
      </c>
      <c r="E9" s="38" t="inlineStr">
        <is>
          <t>https://numismaticapopper.com/images/7A.jpeg,https://numismaticapopper.com/images/7B.jpeg</t>
        </is>
      </c>
      <c r="F9" t="inlineStr">
        <is>
          <t>7</t>
        </is>
      </c>
      <c r="G9" s="40" t="n">
        <v>1</v>
      </c>
      <c r="H9" t="n">
        <v>20000</v>
      </c>
      <c r="I9" t="inlineStr">
        <is>
          <t>Estado de conservacion: Regular +
Referencia de catalogo: CJ# 23
Material: Bronce
Peso: 7.6 g
Diametro: 32.0 mm</t>
        </is>
      </c>
      <c r="J9" s="31">
        <f>IF(INDIRECT(ADDRESS(ROW() + (0),COLUMN() + (1)))="Agregar cuotas", IF(("16%")="", "-", "16%"), IF(INDIRECT(ADDRESS(ROW() + (0),COLUMN() + (1)))="No agregar cuotas", IF(("16%")="", "-", "16%"), "-"))</f>
        <v/>
      </c>
      <c r="K9" s="0" t="inlineStr">
        <is>
          <t>No agregar cuotas</t>
        </is>
      </c>
      <c r="L9" s="31">
        <f>IF(INDIRECT(ADDRESS(ROW() + (0),COLUMN() + (-1)))="Agregar cuotas", IF(("13.4%")="", "Sin costo", "13.4%"), IF(INDIRECT(ADDRESS(ROW() + (0),COLUMN() + (-1)))="No agregar cuotas", IF(("")="", "Sin costo", ""), "-"))</f>
        <v/>
      </c>
      <c r="M9" s="0" t="inlineStr">
        <is>
          <t>Mercado Envíos</t>
        </is>
      </c>
      <c r="N9" s="0" t="inlineStr">
        <is>
          <t>A cargo del comprador</t>
        </is>
      </c>
      <c r="O9" s="0" t="inlineStr">
        <is>
          <t>Acepto</t>
        </is>
      </c>
      <c r="P9" s="47" t="inlineStr">
        <is>
          <t>Sin garantía</t>
        </is>
      </c>
      <c r="R9" s="0" t="inlineStr">
        <is>
          <t>Seleccionar</t>
        </is>
      </c>
      <c r="S9" s="0" t="inlineStr">
        <is>
          <t>No ofrezco</t>
        </is>
      </c>
      <c r="T9" t="n">
        <v>1860</v>
      </c>
      <c r="U9" s="0" t="inlineStr">
        <is>
          <t>Argentina</t>
        </is>
      </c>
      <c r="X9" s="0" t="inlineStr">
        <is>
          <t>Bronce</t>
        </is>
      </c>
      <c r="Z9" t="inlineStr">
        <is>
          <t>2 Reales</t>
        </is>
      </c>
      <c r="AA9" s="0" t="inlineStr">
        <is>
          <t>Real</t>
        </is>
      </c>
      <c r="AB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 s="53">
        <f>IF(OR(TRIM(INDIRECT("B"&amp;ROW())) &lt;&gt; "",TRIM(INDIRECT("A"&amp;ROW())) &lt;&gt; ""),AND(TRIM(INDIRECT("A"&amp;ROW())) &lt;&gt; "",TRIM(INDIRECT("D"&amp;ROW())) = "nuevo"),"")</f>
        <v/>
      </c>
    </row>
    <row r="10" ht="27.5" customHeight="1" s="62">
      <c r="B10" t="inlineStr">
        <is>
          <t>Moneda Argentina 2 Reales 1854</t>
        </is>
      </c>
      <c r="C10" s="0">
        <f>LEN(INDIRECT(ADDRESS(ROW() + (0),COLUMN() + (-1))))</f>
        <v/>
      </c>
      <c r="D10" s="0" t="inlineStr">
        <is>
          <t>Usado</t>
        </is>
      </c>
      <c r="E10" s="38" t="inlineStr">
        <is>
          <t>https://numismaticapopper.com/images/8A.jpeg,https://numismaticapopper.com/images/8B.jpeg</t>
        </is>
      </c>
      <c r="F10" t="inlineStr">
        <is>
          <t>8</t>
        </is>
      </c>
      <c r="G10" s="40" t="n">
        <v>1</v>
      </c>
      <c r="H10" t="n">
        <v>28000</v>
      </c>
      <c r="I10" t="inlineStr">
        <is>
          <t>Estado de conservacion: Regular
Referencia de catalogo: CJ# 19
Material: Cobre
Peso: 7.4 g
Diametro: 31.9 mm</t>
        </is>
      </c>
      <c r="J10" s="31">
        <f>IF(INDIRECT(ADDRESS(ROW() + (0),COLUMN() + (1)))="Agregar cuotas", IF(("16%")="", "-", "16%"), IF(INDIRECT(ADDRESS(ROW() + (0),COLUMN() + (1)))="No agregar cuotas", IF(("16%")="", "-", "16%"), "-"))</f>
        <v/>
      </c>
      <c r="K10" s="0" t="inlineStr">
        <is>
          <t>No agregar cuotas</t>
        </is>
      </c>
      <c r="L10" s="31">
        <f>IF(INDIRECT(ADDRESS(ROW() + (0),COLUMN() + (-1)))="Agregar cuotas", IF(("13.4%")="", "Sin costo", "13.4%"), IF(INDIRECT(ADDRESS(ROW() + (0),COLUMN() + (-1)))="No agregar cuotas", IF(("")="", "Sin costo", ""), "-"))</f>
        <v/>
      </c>
      <c r="M10" s="0" t="inlineStr">
        <is>
          <t>Mercado Envíos</t>
        </is>
      </c>
      <c r="N10" s="0" t="inlineStr">
        <is>
          <t>A cargo del comprador</t>
        </is>
      </c>
      <c r="O10" s="0" t="inlineStr">
        <is>
          <t>Acepto</t>
        </is>
      </c>
      <c r="P10" s="47" t="inlineStr">
        <is>
          <t>Sin garantía</t>
        </is>
      </c>
      <c r="R10" s="0" t="inlineStr">
        <is>
          <t>Seleccionar</t>
        </is>
      </c>
      <c r="S10" s="0" t="inlineStr">
        <is>
          <t>No ofrezco</t>
        </is>
      </c>
      <c r="T10" t="n">
        <v>1854</v>
      </c>
      <c r="U10" s="0" t="inlineStr">
        <is>
          <t>Argentina</t>
        </is>
      </c>
      <c r="X10" s="0" t="inlineStr">
        <is>
          <t>Cobre</t>
        </is>
      </c>
      <c r="Z10" t="inlineStr">
        <is>
          <t>2 Reales</t>
        </is>
      </c>
      <c r="AA10" s="0" t="inlineStr">
        <is>
          <t>Real</t>
        </is>
      </c>
      <c r="AB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 s="53">
        <f>IF(OR(TRIM(INDIRECT("B"&amp;ROW())) &lt;&gt; "",TRIM(INDIRECT("A"&amp;ROW())) &lt;&gt; ""),AND(TRIM(INDIRECT("A"&amp;ROW())) &lt;&gt; "",TRIM(INDIRECT("D"&amp;ROW())) = "nuevo"),"")</f>
        <v/>
      </c>
    </row>
    <row r="11" ht="27.5" customHeight="1" s="62">
      <c r="B11" t="inlineStr">
        <is>
          <t>Moneda Francia 10 Francos 1965</t>
        </is>
      </c>
      <c r="C11" s="0">
        <f>LEN(INDIRECT(ADDRESS(ROW() + (0),COLUMN() + (-1))))</f>
        <v/>
      </c>
      <c r="D11" s="0" t="inlineStr">
        <is>
          <t>Usado</t>
        </is>
      </c>
      <c r="E11" s="38" t="inlineStr">
        <is>
          <t>https://numismaticapopper.com/images/9A.jpeg,https://numismaticapopper.com/images/9B.jpeg</t>
        </is>
      </c>
      <c r="F11" t="inlineStr">
        <is>
          <t>9</t>
        </is>
      </c>
      <c r="G11" s="40" t="n">
        <v>1</v>
      </c>
      <c r="H11" t="n">
        <v>133000</v>
      </c>
      <c r="I11" t="inlineStr">
        <is>
          <t>Estado de conservacion: Sin Circular
Referencia de catalogo: KM# 932
Material: Plata .900
Peso: 25.0 g
Diametro: 37.0 mm
Corona de plata - Ideal inversión</t>
        </is>
      </c>
      <c r="J11" s="31">
        <f>IF(INDIRECT(ADDRESS(ROW() + (0),COLUMN() + (1)))="Agregar cuotas", IF(("16%")="", "-", "16%"), IF(INDIRECT(ADDRESS(ROW() + (0),COLUMN() + (1)))="No agregar cuotas", IF(("16%")="", "-", "16%"), "-"))</f>
        <v/>
      </c>
      <c r="K11" s="0" t="inlineStr">
        <is>
          <t>No agregar cuotas</t>
        </is>
      </c>
      <c r="L11" s="31">
        <f>IF(INDIRECT(ADDRESS(ROW() + (0),COLUMN() + (-1)))="Agregar cuotas", IF(("13.4%")="", "Sin costo", "13.4%"), IF(INDIRECT(ADDRESS(ROW() + (0),COLUMN() + (-1)))="No agregar cuotas", IF(("")="", "Sin costo", ""), "-"))</f>
        <v/>
      </c>
      <c r="M11" s="0" t="inlineStr">
        <is>
          <t>Mercado Envíos</t>
        </is>
      </c>
      <c r="N11" s="0" t="inlineStr">
        <is>
          <t>A cargo del comprador</t>
        </is>
      </c>
      <c r="O11" s="0" t="inlineStr">
        <is>
          <t>Acepto</t>
        </is>
      </c>
      <c r="P11" s="47" t="inlineStr">
        <is>
          <t>Sin garantía</t>
        </is>
      </c>
      <c r="R11" s="0" t="inlineStr">
        <is>
          <t>Seleccionar</t>
        </is>
      </c>
      <c r="S11" s="0" t="inlineStr">
        <is>
          <t>No ofrezco</t>
        </is>
      </c>
      <c r="T11" t="n">
        <v>1965</v>
      </c>
      <c r="U11" s="0" t="inlineStr">
        <is>
          <t>Francia</t>
        </is>
      </c>
      <c r="X11" s="0" t="inlineStr">
        <is>
          <t>Plata</t>
        </is>
      </c>
      <c r="Z11" t="inlineStr">
        <is>
          <t>10 Francos</t>
        </is>
      </c>
      <c r="AA11" s="0" t="inlineStr">
        <is>
          <t>Euro</t>
        </is>
      </c>
      <c r="AB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 s="53">
        <f>IF(OR(TRIM(INDIRECT("B"&amp;ROW())) &lt;&gt; "",TRIM(INDIRECT("A"&amp;ROW())) &lt;&gt; ""),AND(TRIM(INDIRECT("A"&amp;ROW())) &lt;&gt; "",TRIM(INDIRECT("D"&amp;ROW())) = "nuevo"),"")</f>
        <v/>
      </c>
    </row>
    <row r="12" ht="27.5" customHeight="1" s="62">
      <c r="B12" t="inlineStr">
        <is>
          <t>Moneda Argentina 2 Centavos 1884</t>
        </is>
      </c>
      <c r="C12" s="0">
        <f>LEN(INDIRECT(ADDRESS(ROW() + (0),COLUMN() + (-1))))</f>
        <v/>
      </c>
      <c r="D12" s="0" t="inlineStr">
        <is>
          <t>Usado</t>
        </is>
      </c>
      <c r="E12" s="38" t="inlineStr">
        <is>
          <t>https://numismaticapopper.com/images/14A.jpeg,https://numismaticapopper.com/images/14B.jpeg</t>
        </is>
      </c>
      <c r="F12" t="inlineStr">
        <is>
          <t>14</t>
        </is>
      </c>
      <c r="G12" s="40" t="n">
        <v>1</v>
      </c>
      <c r="H12" t="n">
        <v>9000</v>
      </c>
      <c r="I12" t="inlineStr">
        <is>
          <t>Estado de conservacion: Buena +
Referencia de catalogo: CJ# 26
Material: Bronce
Peso: 10.0 g
Diametro: 30.0 mm</t>
        </is>
      </c>
      <c r="J12" s="31">
        <f>IF(INDIRECT(ADDRESS(ROW() + (0),COLUMN() + (1)))="Agregar cuotas", IF(("16%")="", "-", "16%"), IF(INDIRECT(ADDRESS(ROW() + (0),COLUMN() + (1)))="No agregar cuotas", IF(("16%")="", "-", "16%"), "-"))</f>
        <v/>
      </c>
      <c r="K12" s="0" t="inlineStr">
        <is>
          <t>No agregar cuotas</t>
        </is>
      </c>
      <c r="L12" s="31">
        <f>IF(INDIRECT(ADDRESS(ROW() + (0),COLUMN() + (-1)))="Agregar cuotas", IF(("13.4%")="", "Sin costo", "13.4%"), IF(INDIRECT(ADDRESS(ROW() + (0),COLUMN() + (-1)))="No agregar cuotas", IF(("")="", "Sin costo", ""), "-"))</f>
        <v/>
      </c>
      <c r="M12" s="0" t="inlineStr">
        <is>
          <t>Mercado Envíos</t>
        </is>
      </c>
      <c r="N12" s="0" t="inlineStr">
        <is>
          <t>A cargo del comprador</t>
        </is>
      </c>
      <c r="O12" s="0" t="inlineStr">
        <is>
          <t>Acepto</t>
        </is>
      </c>
      <c r="P12" s="47" t="inlineStr">
        <is>
          <t>Sin garantía</t>
        </is>
      </c>
      <c r="R12" s="0" t="inlineStr">
        <is>
          <t>Seleccionar</t>
        </is>
      </c>
      <c r="S12" s="0" t="inlineStr">
        <is>
          <t>No ofrezco</t>
        </is>
      </c>
      <c r="T12" t="n">
        <v>1884</v>
      </c>
      <c r="U12" s="0" t="inlineStr">
        <is>
          <t>Argentina</t>
        </is>
      </c>
      <c r="X12" s="0" t="inlineStr">
        <is>
          <t>Bronce</t>
        </is>
      </c>
      <c r="Z12" t="inlineStr">
        <is>
          <t>2 Centavos</t>
        </is>
      </c>
      <c r="AA12" s="0" t="inlineStr">
        <is>
          <t>Peso</t>
        </is>
      </c>
      <c r="AB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 s="53">
        <f>IF(OR(TRIM(INDIRECT("B"&amp;ROW())) &lt;&gt; "",TRIM(INDIRECT("A"&amp;ROW())) &lt;&gt; ""),AND(TRIM(INDIRECT("A"&amp;ROW())) &lt;&gt; "",TRIM(INDIRECT("D"&amp;ROW())) = "nuevo"),"")</f>
        <v/>
      </c>
    </row>
    <row r="13" ht="27.5" customHeight="1" s="62">
      <c r="B13" t="inlineStr">
        <is>
          <t>Moneda Argentina 2 Centavos 1885</t>
        </is>
      </c>
      <c r="C13" s="0">
        <f>LEN(INDIRECT(ADDRESS(ROW() + (0),COLUMN() + (-1))))</f>
        <v/>
      </c>
      <c r="D13" s="0" t="inlineStr">
        <is>
          <t>Usado</t>
        </is>
      </c>
      <c r="E13" s="38" t="inlineStr">
        <is>
          <t>https://numismaticapopper.com/images/17A.jpeg,https://numismaticapopper.com/images/17B.jpeg</t>
        </is>
      </c>
      <c r="F13" t="inlineStr">
        <is>
          <t>17</t>
        </is>
      </c>
      <c r="G13" s="40" t="n">
        <v>1</v>
      </c>
      <c r="H13" t="n">
        <v>33000</v>
      </c>
      <c r="I13" t="inlineStr">
        <is>
          <t>Estado de conservacion: Excelente
Referencia de catalogo: CJ# 27
Material: Bronce
Peso: 10.0 g
Diametro: 30.0 mm</t>
        </is>
      </c>
      <c r="J13" s="31">
        <f>IF(INDIRECT(ADDRESS(ROW() + (0),COLUMN() + (1)))="Agregar cuotas", IF(("16%")="", "-", "16%"), IF(INDIRECT(ADDRESS(ROW() + (0),COLUMN() + (1)))="No agregar cuotas", IF(("16%")="", "-", "16%"), "-"))</f>
        <v/>
      </c>
      <c r="K13" s="0" t="inlineStr">
        <is>
          <t>No agregar cuotas</t>
        </is>
      </c>
      <c r="L13" s="31">
        <f>IF(INDIRECT(ADDRESS(ROW() + (0),COLUMN() + (-1)))="Agregar cuotas", IF(("13.4%")="", "Sin costo", "13.4%"), IF(INDIRECT(ADDRESS(ROW() + (0),COLUMN() + (-1)))="No agregar cuotas", IF(("")="", "Sin costo", ""), "-"))</f>
        <v/>
      </c>
      <c r="M13" s="0" t="inlineStr">
        <is>
          <t>Mercado Envíos</t>
        </is>
      </c>
      <c r="N13" s="0" t="inlineStr">
        <is>
          <t>A cargo del comprador</t>
        </is>
      </c>
      <c r="O13" s="0" t="inlineStr">
        <is>
          <t>Acepto</t>
        </is>
      </c>
      <c r="P13" s="47" t="inlineStr">
        <is>
          <t>Sin garantía</t>
        </is>
      </c>
      <c r="R13" s="0" t="inlineStr">
        <is>
          <t>Seleccionar</t>
        </is>
      </c>
      <c r="S13" s="0" t="inlineStr">
        <is>
          <t>No ofrezco</t>
        </is>
      </c>
      <c r="T13" t="n">
        <v>1885</v>
      </c>
      <c r="U13" s="0" t="inlineStr">
        <is>
          <t>Argentina</t>
        </is>
      </c>
      <c r="X13" s="0" t="inlineStr">
        <is>
          <t>Bronce</t>
        </is>
      </c>
      <c r="Z13" t="inlineStr">
        <is>
          <t>2 Centavos</t>
        </is>
      </c>
      <c r="AA13" s="0" t="inlineStr">
        <is>
          <t>Peso</t>
        </is>
      </c>
      <c r="AB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 s="53">
        <f>IF(OR(TRIM(INDIRECT("B"&amp;ROW())) &lt;&gt; "",TRIM(INDIRECT("A"&amp;ROW())) &lt;&gt; ""),AND(TRIM(INDIRECT("A"&amp;ROW())) &lt;&gt; "",TRIM(INDIRECT("D"&amp;ROW())) = "nuevo"),"")</f>
        <v/>
      </c>
    </row>
    <row r="14" ht="27.5" customHeight="1" s="62">
      <c r="B14" t="inlineStr">
        <is>
          <t>Moneda Argentina 2 Centavos 1890</t>
        </is>
      </c>
      <c r="C14" s="0">
        <f>LEN(INDIRECT(ADDRESS(ROW() + (0),COLUMN() + (-1))))</f>
        <v/>
      </c>
      <c r="D14" s="0" t="inlineStr">
        <is>
          <t>Usado</t>
        </is>
      </c>
      <c r="E14" s="38" t="inlineStr">
        <is>
          <t>https://numismaticapopper.com/images/18A.jpeg,https://numismaticapopper.com/images/18B.jpeg</t>
        </is>
      </c>
      <c r="F14" t="inlineStr">
        <is>
          <t>18</t>
        </is>
      </c>
      <c r="G14" s="40" t="n">
        <v>1</v>
      </c>
      <c r="H14" t="n">
        <v>8000</v>
      </c>
      <c r="I14" t="inlineStr">
        <is>
          <t>Estado de conservacion: Buena
Referencia de catalogo: CJ# 31
Material: Bronce
Peso: 10.0 g
Diametro: 30.0 mm</t>
        </is>
      </c>
      <c r="J14" s="31">
        <f>IF(INDIRECT(ADDRESS(ROW() + (0),COLUMN() + (1)))="Agregar cuotas", IF(("16%")="", "-", "16%"), IF(INDIRECT(ADDRESS(ROW() + (0),COLUMN() + (1)))="No agregar cuotas", IF(("16%")="", "-", "16%"), "-"))</f>
        <v/>
      </c>
      <c r="K14" s="0" t="inlineStr">
        <is>
          <t>No agregar cuotas</t>
        </is>
      </c>
      <c r="L14" s="31">
        <f>IF(INDIRECT(ADDRESS(ROW() + (0),COLUMN() + (-1)))="Agregar cuotas", IF(("13.4%")="", "Sin costo", "13.4%"), IF(INDIRECT(ADDRESS(ROW() + (0),COLUMN() + (-1)))="No agregar cuotas", IF(("")="", "Sin costo", ""), "-"))</f>
        <v/>
      </c>
      <c r="M14" s="0" t="inlineStr">
        <is>
          <t>Mercado Envíos</t>
        </is>
      </c>
      <c r="N14" s="0" t="inlineStr">
        <is>
          <t>A cargo del comprador</t>
        </is>
      </c>
      <c r="O14" s="0" t="inlineStr">
        <is>
          <t>Acepto</t>
        </is>
      </c>
      <c r="P14" s="47" t="inlineStr">
        <is>
          <t>Sin garantía</t>
        </is>
      </c>
      <c r="R14" s="0" t="inlineStr">
        <is>
          <t>Seleccionar</t>
        </is>
      </c>
      <c r="S14" s="0" t="inlineStr">
        <is>
          <t>No ofrezco</t>
        </is>
      </c>
      <c r="T14" t="n">
        <v>1890</v>
      </c>
      <c r="U14" s="0" t="inlineStr">
        <is>
          <t>Argentina</t>
        </is>
      </c>
      <c r="X14" s="0" t="inlineStr">
        <is>
          <t>Bronce</t>
        </is>
      </c>
      <c r="Z14" t="inlineStr">
        <is>
          <t>2 Centavos</t>
        </is>
      </c>
      <c r="AA14" s="0" t="inlineStr">
        <is>
          <t>Peso</t>
        </is>
      </c>
      <c r="AB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 s="53">
        <f>IF(OR(TRIM(INDIRECT("B"&amp;ROW())) &lt;&gt; "",TRIM(INDIRECT("A"&amp;ROW())) &lt;&gt; ""),AND(TRIM(INDIRECT("A"&amp;ROW())) &lt;&gt; "",TRIM(INDIRECT("D"&amp;ROW())) = "nuevo"),"")</f>
        <v/>
      </c>
    </row>
    <row r="15" ht="27.5" customHeight="1" s="62">
      <c r="B15" t="inlineStr">
        <is>
          <t>Moneda Argentina 2 Centavos 1891</t>
        </is>
      </c>
      <c r="C15" s="0">
        <f>LEN(INDIRECT(ADDRESS(ROW() + (0),COLUMN() + (-1))))</f>
        <v/>
      </c>
      <c r="D15" s="0" t="inlineStr">
        <is>
          <t>Usado</t>
        </is>
      </c>
      <c r="E15" s="38" t="inlineStr">
        <is>
          <t>https://numismaticapopper.com/images/19A.jpeg,https://numismaticapopper.com/images/19B.jpeg</t>
        </is>
      </c>
      <c r="F15" t="inlineStr">
        <is>
          <t>19</t>
        </is>
      </c>
      <c r="G15" s="40" t="n">
        <v>1</v>
      </c>
      <c r="H15" t="n">
        <v>9000</v>
      </c>
      <c r="I15" t="inlineStr">
        <is>
          <t>Estado de conservacion: Buena
Referencia de catalogo: CJ# 32
Material: Bronce
Peso: 10.0 g
Diametro: 30.0 mm</t>
        </is>
      </c>
      <c r="J15" s="31">
        <f>IF(INDIRECT(ADDRESS(ROW() + (0),COLUMN() + (1)))="Agregar cuotas", IF(("16%")="", "-", "16%"), IF(INDIRECT(ADDRESS(ROW() + (0),COLUMN() + (1)))="No agregar cuotas", IF(("16%")="", "-", "16%"), "-"))</f>
        <v/>
      </c>
      <c r="K15" s="0" t="inlineStr">
        <is>
          <t>No agregar cuotas</t>
        </is>
      </c>
      <c r="L15" s="31">
        <f>IF(INDIRECT(ADDRESS(ROW() + (0),COLUMN() + (-1)))="Agregar cuotas", IF(("13.4%")="", "Sin costo", "13.4%"), IF(INDIRECT(ADDRESS(ROW() + (0),COLUMN() + (-1)))="No agregar cuotas", IF(("")="", "Sin costo", ""), "-"))</f>
        <v/>
      </c>
      <c r="M15" s="0" t="inlineStr">
        <is>
          <t>Mercado Envíos</t>
        </is>
      </c>
      <c r="N15" s="0" t="inlineStr">
        <is>
          <t>A cargo del comprador</t>
        </is>
      </c>
      <c r="O15" s="0" t="inlineStr">
        <is>
          <t>Acepto</t>
        </is>
      </c>
      <c r="P15" s="47" t="inlineStr">
        <is>
          <t>Sin garantía</t>
        </is>
      </c>
      <c r="R15" s="0" t="inlineStr">
        <is>
          <t>Seleccionar</t>
        </is>
      </c>
      <c r="S15" s="0" t="inlineStr">
        <is>
          <t>No ofrezco</t>
        </is>
      </c>
      <c r="T15" t="n">
        <v>1891</v>
      </c>
      <c r="U15" s="0" t="inlineStr">
        <is>
          <t>Argentina</t>
        </is>
      </c>
      <c r="X15" s="0" t="inlineStr">
        <is>
          <t>Bronce</t>
        </is>
      </c>
      <c r="Z15" t="inlineStr">
        <is>
          <t>2 Centavos</t>
        </is>
      </c>
      <c r="AA15" s="0" t="inlineStr">
        <is>
          <t>Peso</t>
        </is>
      </c>
      <c r="AB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 s="53">
        <f>IF(OR(TRIM(INDIRECT("B"&amp;ROW())) &lt;&gt; "",TRIM(INDIRECT("A"&amp;ROW())) &lt;&gt; ""),AND(TRIM(INDIRECT("A"&amp;ROW())) &lt;&gt; "",TRIM(INDIRECT("D"&amp;ROW())) = "nuevo"),"")</f>
        <v/>
      </c>
    </row>
    <row r="16" ht="27.5" customHeight="1" s="62">
      <c r="B16" t="inlineStr">
        <is>
          <t>Moneda México Troy Ounce 2021</t>
        </is>
      </c>
      <c r="C16" s="0">
        <f>LEN(INDIRECT(ADDRESS(ROW() + (0),COLUMN() + (-1))))</f>
        <v/>
      </c>
      <c r="D16" s="0" t="inlineStr">
        <is>
          <t>Usado</t>
        </is>
      </c>
      <c r="E16" s="38" t="inlineStr">
        <is>
          <t>https://numismaticapopper.com/images/26A.jpeg,https://numismaticapopper.com/images/26B.jpeg</t>
        </is>
      </c>
      <c r="F16" t="inlineStr">
        <is>
          <t>26</t>
        </is>
      </c>
      <c r="G16" s="40" t="n">
        <v>1</v>
      </c>
      <c r="H16" t="n">
        <v>208000</v>
      </c>
      <c r="I16" t="inlineStr">
        <is>
          <t>Estado de conservacion: Sin Circular
Referencia de catalogo: KM# M49b
Material: Plata .999
Ideal inversión</t>
        </is>
      </c>
      <c r="J16" s="31">
        <f>IF(INDIRECT(ADDRESS(ROW() + (0),COLUMN() + (1)))="Agregar cuotas", IF(("16%")="", "-", "16%"), IF(INDIRECT(ADDRESS(ROW() + (0),COLUMN() + (1)))="No agregar cuotas", IF(("16%")="", "-", "16%"), "-"))</f>
        <v/>
      </c>
      <c r="K16" s="0" t="inlineStr">
        <is>
          <t>No agregar cuotas</t>
        </is>
      </c>
      <c r="L16" s="31">
        <f>IF(INDIRECT(ADDRESS(ROW() + (0),COLUMN() + (-1)))="Agregar cuotas", IF(("13.4%")="", "Sin costo", "13.4%"), IF(INDIRECT(ADDRESS(ROW() + (0),COLUMN() + (-1)))="No agregar cuotas", IF(("")="", "Sin costo", ""), "-"))</f>
        <v/>
      </c>
      <c r="M16" s="0" t="inlineStr">
        <is>
          <t>Mercado Envíos</t>
        </is>
      </c>
      <c r="N16" s="0" t="inlineStr">
        <is>
          <t>Ofrecés envío gratis</t>
        </is>
      </c>
      <c r="O16" s="0" t="inlineStr">
        <is>
          <t>Acepto</t>
        </is>
      </c>
      <c r="P16" s="47" t="inlineStr">
        <is>
          <t>Sin garantía</t>
        </is>
      </c>
      <c r="R16" s="0" t="inlineStr">
        <is>
          <t>Seleccionar</t>
        </is>
      </c>
      <c r="S16" s="0" t="inlineStr">
        <is>
          <t>No ofrezco</t>
        </is>
      </c>
      <c r="T16" t="n">
        <v>2021</v>
      </c>
      <c r="U16" s="0" t="inlineStr">
        <is>
          <t>México</t>
        </is>
      </c>
      <c r="X16" s="0" t="inlineStr">
        <is>
          <t>Plata</t>
        </is>
      </c>
      <c r="Z16" t="inlineStr">
        <is>
          <t>Troy Ounce</t>
        </is>
      </c>
      <c r="AA16" s="0" t="inlineStr">
        <is>
          <t>Peso</t>
        </is>
      </c>
      <c r="AB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 s="53">
        <f>IF(OR(TRIM(INDIRECT("B"&amp;ROW())) &lt;&gt; "",TRIM(INDIRECT("A"&amp;ROW())) &lt;&gt; ""),AND(TRIM(INDIRECT("A"&amp;ROW())) &lt;&gt; "",TRIM(INDIRECT("D"&amp;ROW())) = "nuevo"),"")</f>
        <v/>
      </c>
    </row>
    <row r="17" ht="27.5" customHeight="1" s="62">
      <c r="B17" t="inlineStr">
        <is>
          <t>Moneda Estados Unidos Cent 1863</t>
        </is>
      </c>
      <c r="C17" s="0">
        <f>LEN(INDIRECT(ADDRESS(ROW() + (0),COLUMN() + (-1))))</f>
        <v/>
      </c>
      <c r="D17" s="0" t="inlineStr">
        <is>
          <t>Usado</t>
        </is>
      </c>
      <c r="E17" s="38" t="inlineStr">
        <is>
          <t>https://numismaticapopper.com/images/28A.jpeg,https://numismaticapopper.com/images/28B.jpeg</t>
        </is>
      </c>
      <c r="F17" t="inlineStr">
        <is>
          <t>28</t>
        </is>
      </c>
      <c r="G17" s="40" t="n">
        <v>1</v>
      </c>
      <c r="H17" t="n">
        <v>50000</v>
      </c>
      <c r="I17" t="inlineStr">
        <is>
          <t>Referencia de catalogo: KM# 90
Material: Cuproníquel
Peso: 4.67 g
Diametro: 19.0 mm
Indian Head.</t>
        </is>
      </c>
      <c r="J17" s="31">
        <f>IF(INDIRECT(ADDRESS(ROW() + (0),COLUMN() + (1)))="Agregar cuotas", IF(("16%")="", "-", "16%"), IF(INDIRECT(ADDRESS(ROW() + (0),COLUMN() + (1)))="No agregar cuotas", IF(("16%")="", "-", "16%"), "-"))</f>
        <v/>
      </c>
      <c r="K17" s="0" t="inlineStr">
        <is>
          <t>No agregar cuotas</t>
        </is>
      </c>
      <c r="L17" s="31">
        <f>IF(INDIRECT(ADDRESS(ROW() + (0),COLUMN() + (-1)))="Agregar cuotas", IF(("13.4%")="", "Sin costo", "13.4%"), IF(INDIRECT(ADDRESS(ROW() + (0),COLUMN() + (-1)))="No agregar cuotas", IF(("")="", "Sin costo", ""), "-"))</f>
        <v/>
      </c>
      <c r="M17" s="0" t="inlineStr">
        <is>
          <t>Mercado Envíos</t>
        </is>
      </c>
      <c r="N17" s="0" t="inlineStr">
        <is>
          <t>A cargo del comprador</t>
        </is>
      </c>
      <c r="O17" s="0" t="inlineStr">
        <is>
          <t>Acepto</t>
        </is>
      </c>
      <c r="P17" s="47" t="inlineStr">
        <is>
          <t>Sin garantía</t>
        </is>
      </c>
      <c r="R17" s="0" t="inlineStr">
        <is>
          <t>Seleccionar</t>
        </is>
      </c>
      <c r="S17" s="0" t="inlineStr">
        <is>
          <t>No ofrezco</t>
        </is>
      </c>
      <c r="T17" t="n">
        <v>1863</v>
      </c>
      <c r="U17" s="0" t="inlineStr">
        <is>
          <t>Estados Unidos</t>
        </is>
      </c>
      <c r="X17" s="0" t="inlineStr">
        <is>
          <t>Níquel</t>
        </is>
      </c>
      <c r="Z17" t="inlineStr">
        <is>
          <t>Cent</t>
        </is>
      </c>
      <c r="AA17" s="0" t="inlineStr">
        <is>
          <t>Dólar</t>
        </is>
      </c>
      <c r="AB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 s="53">
        <f>IF(OR(TRIM(INDIRECT("B"&amp;ROW())) &lt;&gt; "",TRIM(INDIRECT("A"&amp;ROW())) &lt;&gt; ""),AND(TRIM(INDIRECT("A"&amp;ROW())) &lt;&gt; "",TRIM(INDIRECT("D"&amp;ROW())) = "nuevo"),"")</f>
        <v/>
      </c>
    </row>
    <row r="18" ht="27.5" customHeight="1" s="62">
      <c r="B18" t="inlineStr">
        <is>
          <t>Moneda Estados Unidos Cent 1861</t>
        </is>
      </c>
      <c r="C18" s="0">
        <f>LEN(INDIRECT(ADDRESS(ROW() + (0),COLUMN() + (-1))))</f>
        <v/>
      </c>
      <c r="D18" s="0" t="inlineStr">
        <is>
          <t>Usado</t>
        </is>
      </c>
      <c r="E18" s="38" t="inlineStr">
        <is>
          <t>https://numismaticapopper.com/images/29A.jpeg,https://numismaticapopper.com/images/29B.jpeg</t>
        </is>
      </c>
      <c r="F18" t="inlineStr">
        <is>
          <t>29</t>
        </is>
      </c>
      <c r="G18" s="40" t="n">
        <v>1</v>
      </c>
      <c r="H18" t="n">
        <v>87000</v>
      </c>
      <c r="I18" t="inlineStr">
        <is>
          <t>Referencia de catalogo: KM# 90
Material: Cuproníquel
Peso: 4.67 g
Diametro: 19.0 mm
Indian Head.</t>
        </is>
      </c>
      <c r="J18" s="31">
        <f>IF(INDIRECT(ADDRESS(ROW() + (0),COLUMN() + (1)))="Agregar cuotas", IF(("16%")="", "-", "16%"), IF(INDIRECT(ADDRESS(ROW() + (0),COLUMN() + (1)))="No agregar cuotas", IF(("16%")="", "-", "16%"), "-"))</f>
        <v/>
      </c>
      <c r="K18" s="0" t="inlineStr">
        <is>
          <t>No agregar cuotas</t>
        </is>
      </c>
      <c r="L18" s="31">
        <f>IF(INDIRECT(ADDRESS(ROW() + (0),COLUMN() + (-1)))="Agregar cuotas", IF(("13.4%")="", "Sin costo", "13.4%"), IF(INDIRECT(ADDRESS(ROW() + (0),COLUMN() + (-1)))="No agregar cuotas", IF(("")="", "Sin costo", ""), "-"))</f>
        <v/>
      </c>
      <c r="M18" s="0" t="inlineStr">
        <is>
          <t>Mercado Envíos</t>
        </is>
      </c>
      <c r="N18" s="0" t="inlineStr">
        <is>
          <t>A cargo del comprador</t>
        </is>
      </c>
      <c r="O18" s="0" t="inlineStr">
        <is>
          <t>Acepto</t>
        </is>
      </c>
      <c r="P18" s="47" t="inlineStr">
        <is>
          <t>Sin garantía</t>
        </is>
      </c>
      <c r="R18" s="0" t="inlineStr">
        <is>
          <t>Seleccionar</t>
        </is>
      </c>
      <c r="S18" s="0" t="inlineStr">
        <is>
          <t>No ofrezco</t>
        </is>
      </c>
      <c r="T18" t="n">
        <v>1861</v>
      </c>
      <c r="U18" s="0" t="inlineStr">
        <is>
          <t>Estados Unidos</t>
        </is>
      </c>
      <c r="X18" s="0" t="inlineStr">
        <is>
          <t>Níquel</t>
        </is>
      </c>
      <c r="Z18" t="inlineStr">
        <is>
          <t>Cent</t>
        </is>
      </c>
      <c r="AA18" s="0" t="inlineStr">
        <is>
          <t>Dólar</t>
        </is>
      </c>
      <c r="AB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 s="53">
        <f>IF(OR(TRIM(INDIRECT("B"&amp;ROW())) &lt;&gt; "",TRIM(INDIRECT("A"&amp;ROW())) &lt;&gt; ""),AND(TRIM(INDIRECT("A"&amp;ROW())) &lt;&gt; "",TRIM(INDIRECT("D"&amp;ROW())) = "nuevo"),"")</f>
        <v/>
      </c>
    </row>
    <row r="19" ht="27.5" customHeight="1" s="62">
      <c r="B19" t="inlineStr">
        <is>
          <t>Moneda Estados Unidos Cent 1864</t>
        </is>
      </c>
      <c r="C19" s="0">
        <f>LEN(INDIRECT(ADDRESS(ROW() + (0),COLUMN() + (-1))))</f>
        <v/>
      </c>
      <c r="D19" s="0" t="inlineStr">
        <is>
          <t>Usado</t>
        </is>
      </c>
      <c r="E19" s="38" t="inlineStr">
        <is>
          <t>https://numismaticapopper.com/images/30A.jpeg,https://numismaticapopper.com/images/30B.jpeg</t>
        </is>
      </c>
      <c r="F19" t="inlineStr">
        <is>
          <t>30</t>
        </is>
      </c>
      <c r="G19" s="40" t="n">
        <v>1</v>
      </c>
      <c r="H19" t="n">
        <v>40000</v>
      </c>
      <c r="I19" t="inlineStr">
        <is>
          <t>Referencia de catalogo: KM# 90
Material: Cuproníquel
Peso: 4.67 g
Diametro: 19.0 mm
Indian Head.</t>
        </is>
      </c>
      <c r="J19" s="31">
        <f>IF(INDIRECT(ADDRESS(ROW() + (0),COLUMN() + (1)))="Agregar cuotas", IF(("16%")="", "-", "16%"), IF(INDIRECT(ADDRESS(ROW() + (0),COLUMN() + (1)))="No agregar cuotas", IF(("16%")="", "-", "16%"), "-"))</f>
        <v/>
      </c>
      <c r="K19" s="0" t="inlineStr">
        <is>
          <t>No agregar cuotas</t>
        </is>
      </c>
      <c r="L19" s="31">
        <f>IF(INDIRECT(ADDRESS(ROW() + (0),COLUMN() + (-1)))="Agregar cuotas", IF(("13.4%")="", "Sin costo", "13.4%"), IF(INDIRECT(ADDRESS(ROW() + (0),COLUMN() + (-1)))="No agregar cuotas", IF(("")="", "Sin costo", ""), "-"))</f>
        <v/>
      </c>
      <c r="M19" s="0" t="inlineStr">
        <is>
          <t>Mercado Envíos</t>
        </is>
      </c>
      <c r="N19" s="0" t="inlineStr">
        <is>
          <t>A cargo del comprador</t>
        </is>
      </c>
      <c r="O19" s="0" t="inlineStr">
        <is>
          <t>Acepto</t>
        </is>
      </c>
      <c r="P19" s="47" t="inlineStr">
        <is>
          <t>Sin garantía</t>
        </is>
      </c>
      <c r="R19" s="0" t="inlineStr">
        <is>
          <t>Seleccionar</t>
        </is>
      </c>
      <c r="S19" s="0" t="inlineStr">
        <is>
          <t>No ofrezco</t>
        </is>
      </c>
      <c r="T19" t="n">
        <v>1864</v>
      </c>
      <c r="U19" s="0" t="inlineStr">
        <is>
          <t>Estados Unidos</t>
        </is>
      </c>
      <c r="X19" s="0" t="inlineStr">
        <is>
          <t>Níquel</t>
        </is>
      </c>
      <c r="Z19" t="inlineStr">
        <is>
          <t>Cent</t>
        </is>
      </c>
      <c r="AA19" s="0" t="inlineStr">
        <is>
          <t>Dólar</t>
        </is>
      </c>
      <c r="AB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 s="53">
        <f>IF(OR(TRIM(INDIRECT("B"&amp;ROW())) &lt;&gt; "",TRIM(INDIRECT("A"&amp;ROW())) &lt;&gt; ""),AND(TRIM(INDIRECT("A"&amp;ROW())) &lt;&gt; "",TRIM(INDIRECT("D"&amp;ROW())) = "nuevo"),"")</f>
        <v/>
      </c>
    </row>
    <row r="20" ht="27.5" customHeight="1" s="62">
      <c r="B20" t="inlineStr">
        <is>
          <t>Moneda Estados Unidos Cent 1860</t>
        </is>
      </c>
      <c r="C20" s="0">
        <f>LEN(INDIRECT(ADDRESS(ROW() + (0),COLUMN() + (-1))))</f>
        <v/>
      </c>
      <c r="D20" s="0" t="inlineStr">
        <is>
          <t>Usado</t>
        </is>
      </c>
      <c r="E20" s="38" t="inlineStr">
        <is>
          <t>https://numismaticapopper.com/images/32A.jpeg,https://numismaticapopper.com/images/32B.jpeg</t>
        </is>
      </c>
      <c r="F20" t="inlineStr">
        <is>
          <t>32</t>
        </is>
      </c>
      <c r="G20" s="40" t="n">
        <v>1</v>
      </c>
      <c r="H20" t="n">
        <v>40000</v>
      </c>
      <c r="I20" t="inlineStr">
        <is>
          <t>Referencia de catalogo: KM# 90
Material: Cuproníquel
Peso: 4.67 g
Diametro: 19.0 mm
Indian Head.</t>
        </is>
      </c>
      <c r="J20" s="31">
        <f>IF(INDIRECT(ADDRESS(ROW() + (0),COLUMN() + (1)))="Agregar cuotas", IF(("16%")="", "-", "16%"), IF(INDIRECT(ADDRESS(ROW() + (0),COLUMN() + (1)))="No agregar cuotas", IF(("16%")="", "-", "16%"), "-"))</f>
        <v/>
      </c>
      <c r="K20" s="0" t="inlineStr">
        <is>
          <t>No agregar cuotas</t>
        </is>
      </c>
      <c r="L20" s="31">
        <f>IF(INDIRECT(ADDRESS(ROW() + (0),COLUMN() + (-1)))="Agregar cuotas", IF(("13.4%")="", "Sin costo", "13.4%"), IF(INDIRECT(ADDRESS(ROW() + (0),COLUMN() + (-1)))="No agregar cuotas", IF(("")="", "Sin costo", ""), "-"))</f>
        <v/>
      </c>
      <c r="M20" s="0" t="inlineStr">
        <is>
          <t>Mercado Envíos</t>
        </is>
      </c>
      <c r="N20" s="0" t="inlineStr">
        <is>
          <t>A cargo del comprador</t>
        </is>
      </c>
      <c r="O20" s="0" t="inlineStr">
        <is>
          <t>Acepto</t>
        </is>
      </c>
      <c r="P20" s="47" t="inlineStr">
        <is>
          <t>Sin garantía</t>
        </is>
      </c>
      <c r="R20" s="0" t="inlineStr">
        <is>
          <t>Seleccionar</t>
        </is>
      </c>
      <c r="S20" s="0" t="inlineStr">
        <is>
          <t>No ofrezco</t>
        </is>
      </c>
      <c r="T20" t="n">
        <v>1860</v>
      </c>
      <c r="U20" s="0" t="inlineStr">
        <is>
          <t>Estados Unidos</t>
        </is>
      </c>
      <c r="X20" s="0" t="inlineStr">
        <is>
          <t>Níquel</t>
        </is>
      </c>
      <c r="Z20" t="inlineStr">
        <is>
          <t>Cent</t>
        </is>
      </c>
      <c r="AA20" s="0" t="inlineStr">
        <is>
          <t>Dólar</t>
        </is>
      </c>
      <c r="AB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 s="53">
        <f>IF(OR(TRIM(INDIRECT("B"&amp;ROW())) &lt;&gt; "",TRIM(INDIRECT("A"&amp;ROW())) &lt;&gt; ""),AND(TRIM(INDIRECT("A"&amp;ROW())) &lt;&gt; "",TRIM(INDIRECT("D"&amp;ROW())) = "nuevo"),"")</f>
        <v/>
      </c>
    </row>
    <row r="21" ht="27.5" customHeight="1" s="62">
      <c r="B21" t="inlineStr">
        <is>
          <t>Moneda Argentina 20 Centavos 1931</t>
        </is>
      </c>
      <c r="C21" s="0">
        <f>LEN(INDIRECT(ADDRESS(ROW() + (0),COLUMN() + (-1))))</f>
        <v/>
      </c>
      <c r="D21" s="0" t="inlineStr">
        <is>
          <t>Usado</t>
        </is>
      </c>
      <c r="E21" s="38" t="inlineStr">
        <is>
          <t>https://numismaticapopper.com/images/34A.jpeg,https://numismaticapopper.com/images/34B.jpeg</t>
        </is>
      </c>
      <c r="F21" t="inlineStr">
        <is>
          <t>34</t>
        </is>
      </c>
      <c r="G21" s="40" t="n">
        <v>1</v>
      </c>
      <c r="H21" t="n">
        <v>31000</v>
      </c>
      <c r="I21" t="inlineStr">
        <is>
          <t>Estado de conservacion: Muy Buena +
Referencia de catalogo: CJ# 81
Material: Cuproníquel
Peso: 4.0 g
Diametro: 21.0 mm
Tirada: 341.873</t>
        </is>
      </c>
      <c r="J21" s="31">
        <f>IF(INDIRECT(ADDRESS(ROW() + (0),COLUMN() + (1)))="Agregar cuotas", IF(("16%")="", "-", "16%"), IF(INDIRECT(ADDRESS(ROW() + (0),COLUMN() + (1)))="No agregar cuotas", IF(("16%")="", "-", "16%"), "-"))</f>
        <v/>
      </c>
      <c r="K21" s="0" t="inlineStr">
        <is>
          <t>No agregar cuotas</t>
        </is>
      </c>
      <c r="L21" s="31">
        <f>IF(INDIRECT(ADDRESS(ROW() + (0),COLUMN() + (-1)))="Agregar cuotas", IF(("13.4%")="", "Sin costo", "13.4%"), IF(INDIRECT(ADDRESS(ROW() + (0),COLUMN() + (-1)))="No agregar cuotas", IF(("")="", "Sin costo", ""), "-"))</f>
        <v/>
      </c>
      <c r="M21" s="0" t="inlineStr">
        <is>
          <t>Mercado Envíos</t>
        </is>
      </c>
      <c r="N21" s="0" t="inlineStr">
        <is>
          <t>A cargo del comprador</t>
        </is>
      </c>
      <c r="O21" s="0" t="inlineStr">
        <is>
          <t>Acepto</t>
        </is>
      </c>
      <c r="P21" s="47" t="inlineStr">
        <is>
          <t>Sin garantía</t>
        </is>
      </c>
      <c r="R21" s="0" t="inlineStr">
        <is>
          <t>Seleccionar</t>
        </is>
      </c>
      <c r="S21" s="0" t="inlineStr">
        <is>
          <t>No ofrezco</t>
        </is>
      </c>
      <c r="T21" t="n">
        <v>1931</v>
      </c>
      <c r="U21" s="0" t="inlineStr">
        <is>
          <t>Argentina</t>
        </is>
      </c>
      <c r="X21" s="0" t="inlineStr">
        <is>
          <t>Níquel</t>
        </is>
      </c>
      <c r="Z21" t="inlineStr">
        <is>
          <t>20 Centavos</t>
        </is>
      </c>
      <c r="AA21" s="0" t="inlineStr">
        <is>
          <t>Peso</t>
        </is>
      </c>
      <c r="AB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 s="53">
        <f>IF(OR(TRIM(INDIRECT("B"&amp;ROW())) &lt;&gt; "",TRIM(INDIRECT("A"&amp;ROW())) &lt;&gt; ""),AND(TRIM(INDIRECT("A"&amp;ROW())) &lt;&gt; "",TRIM(INDIRECT("D"&amp;ROW())) = "nuevo"),"")</f>
        <v/>
      </c>
    </row>
    <row r="22" ht="27.5" customHeight="1" s="62">
      <c r="B22" t="inlineStr">
        <is>
          <t>Moneda Argentina Centavo 1885</t>
        </is>
      </c>
      <c r="C22" s="0">
        <f>LEN(INDIRECT(ADDRESS(ROW() + (0),COLUMN() + (-1))))</f>
        <v/>
      </c>
      <c r="D22" s="0" t="inlineStr">
        <is>
          <t>Usado</t>
        </is>
      </c>
      <c r="E22" s="38" t="inlineStr">
        <is>
          <t>https://numismaticapopper.com/images/38A.jpeg,https://numismaticapopper.com/images/38B.jpeg</t>
        </is>
      </c>
      <c r="F22" t="inlineStr">
        <is>
          <t>38</t>
        </is>
      </c>
      <c r="G22" s="40" t="n">
        <v>1</v>
      </c>
      <c r="H22" t="n">
        <v>15000</v>
      </c>
      <c r="I22" t="inlineStr">
        <is>
          <t>Estado de conservacion: Regular
Referencia de catalogo: CJ# 41
Material: Bronce
Peso: 5.0 g
Diametro: 25.0 mm
Tirada: 1.300.000</t>
        </is>
      </c>
      <c r="J22" s="31">
        <f>IF(INDIRECT(ADDRESS(ROW() + (0),COLUMN() + (1)))="Agregar cuotas", IF(("16%")="", "-", "16%"), IF(INDIRECT(ADDRESS(ROW() + (0),COLUMN() + (1)))="No agregar cuotas", IF(("16%")="", "-", "16%"), "-"))</f>
        <v/>
      </c>
      <c r="K22" s="0" t="inlineStr">
        <is>
          <t>No agregar cuotas</t>
        </is>
      </c>
      <c r="L22" s="31">
        <f>IF(INDIRECT(ADDRESS(ROW() + (0),COLUMN() + (-1)))="Agregar cuotas", IF(("13.4%")="", "Sin costo", "13.4%"), IF(INDIRECT(ADDRESS(ROW() + (0),COLUMN() + (-1)))="No agregar cuotas", IF(("")="", "Sin costo", ""), "-"))</f>
        <v/>
      </c>
      <c r="M22" s="0" t="inlineStr">
        <is>
          <t>Mercado Envíos</t>
        </is>
      </c>
      <c r="N22" s="0" t="inlineStr">
        <is>
          <t>A cargo del comprador</t>
        </is>
      </c>
      <c r="O22" s="0" t="inlineStr">
        <is>
          <t>Acepto</t>
        </is>
      </c>
      <c r="P22" s="47" t="inlineStr">
        <is>
          <t>Sin garantía</t>
        </is>
      </c>
      <c r="R22" s="0" t="inlineStr">
        <is>
          <t>Seleccionar</t>
        </is>
      </c>
      <c r="S22" s="0" t="inlineStr">
        <is>
          <t>No ofrezco</t>
        </is>
      </c>
      <c r="T22" t="n">
        <v>1885</v>
      </c>
      <c r="U22" s="0" t="inlineStr">
        <is>
          <t>Argentina</t>
        </is>
      </c>
      <c r="X22" s="0" t="inlineStr">
        <is>
          <t>Bronce</t>
        </is>
      </c>
      <c r="Z22" t="inlineStr">
        <is>
          <t>Centavo</t>
        </is>
      </c>
      <c r="AA22" s="0" t="inlineStr">
        <is>
          <t>Peso</t>
        </is>
      </c>
      <c r="AB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 s="53">
        <f>IF(OR(TRIM(INDIRECT("B"&amp;ROW())) &lt;&gt; "",TRIM(INDIRECT("A"&amp;ROW())) &lt;&gt; ""),AND(TRIM(INDIRECT("A"&amp;ROW())) &lt;&gt; "",TRIM(INDIRECT("D"&amp;ROW())) = "nuevo"),"")</f>
        <v/>
      </c>
    </row>
    <row r="23" ht="27.5" customHeight="1" s="62">
      <c r="B23" t="inlineStr">
        <is>
          <t>Moneda Argentina 5 Centavos 1914</t>
        </is>
      </c>
      <c r="C23" s="0">
        <f>LEN(INDIRECT(ADDRESS(ROW() + (0),COLUMN() + (-1))))</f>
        <v/>
      </c>
      <c r="D23" s="0" t="inlineStr">
        <is>
          <t>Usado</t>
        </is>
      </c>
      <c r="E23" s="38" t="inlineStr">
        <is>
          <t>https://numismaticapopper.com/images/39A.jpeg,https://numismaticapopper.com/images/39B.jpeg</t>
        </is>
      </c>
      <c r="F23" t="inlineStr">
        <is>
          <t>39</t>
        </is>
      </c>
      <c r="G23" s="40" t="n">
        <v>1</v>
      </c>
      <c r="H23" t="n">
        <v>18000</v>
      </c>
      <c r="I23" t="inlineStr">
        <is>
          <t>Estado de conservacion: Muy Buena
Referencia de catalogo: CJ# 145.2
Material: Cuproníquel
Peso: 2.0 g
Diametro: 17.0 mm
Tirada: 1.477.000
La cuarta más difícil</t>
        </is>
      </c>
      <c r="J23" s="31">
        <f>IF(INDIRECT(ADDRESS(ROW() + (0),COLUMN() + (1)))="Agregar cuotas", IF(("16%")="", "-", "16%"), IF(INDIRECT(ADDRESS(ROW() + (0),COLUMN() + (1)))="No agregar cuotas", IF(("16%")="", "-", "16%"), "-"))</f>
        <v/>
      </c>
      <c r="K23" s="0" t="inlineStr">
        <is>
          <t>No agregar cuotas</t>
        </is>
      </c>
      <c r="L23" s="31">
        <f>IF(INDIRECT(ADDRESS(ROW() + (0),COLUMN() + (-1)))="Agregar cuotas", IF(("13.4%")="", "Sin costo", "13.4%"), IF(INDIRECT(ADDRESS(ROW() + (0),COLUMN() + (-1)))="No agregar cuotas", IF(("")="", "Sin costo", ""), "-"))</f>
        <v/>
      </c>
      <c r="M23" s="0" t="inlineStr">
        <is>
          <t>Mercado Envíos</t>
        </is>
      </c>
      <c r="N23" s="0" t="inlineStr">
        <is>
          <t>A cargo del comprador</t>
        </is>
      </c>
      <c r="O23" s="0" t="inlineStr">
        <is>
          <t>Acepto</t>
        </is>
      </c>
      <c r="P23" s="47" t="inlineStr">
        <is>
          <t>Sin garantía</t>
        </is>
      </c>
      <c r="R23" s="0" t="inlineStr">
        <is>
          <t>Seleccionar</t>
        </is>
      </c>
      <c r="S23" s="0" t="inlineStr">
        <is>
          <t>No ofrezco</t>
        </is>
      </c>
      <c r="T23" t="n">
        <v>1914</v>
      </c>
      <c r="U23" s="0" t="inlineStr">
        <is>
          <t>Argentina</t>
        </is>
      </c>
      <c r="X23" s="0" t="inlineStr">
        <is>
          <t>Níquel</t>
        </is>
      </c>
      <c r="Z23" t="inlineStr">
        <is>
          <t>5 Centavos</t>
        </is>
      </c>
      <c r="AA23" s="0" t="inlineStr">
        <is>
          <t>Peso</t>
        </is>
      </c>
      <c r="AB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 s="53">
        <f>IF(OR(TRIM(INDIRECT("B"&amp;ROW())) &lt;&gt; "",TRIM(INDIRECT("A"&amp;ROW())) &lt;&gt; ""),AND(TRIM(INDIRECT("A"&amp;ROW())) &lt;&gt; "",TRIM(INDIRECT("D"&amp;ROW())) = "nuevo"),"")</f>
        <v/>
      </c>
    </row>
    <row r="24" ht="27.5" customHeight="1" s="62">
      <c r="B24" t="inlineStr">
        <is>
          <t>Moneda Argentina 10 Centavos 1931</t>
        </is>
      </c>
      <c r="C24" s="0">
        <f>LEN(INDIRECT(ADDRESS(ROW() + (0),COLUMN() + (-1))))</f>
        <v/>
      </c>
      <c r="D24" s="0" t="inlineStr">
        <is>
          <t>Usado</t>
        </is>
      </c>
      <c r="E24" s="38" t="inlineStr">
        <is>
          <t>https://numismaticapopper.com/images/40A.jpeg,https://numismaticapopper.com/images/40B.jpeg</t>
        </is>
      </c>
      <c r="F24" t="inlineStr">
        <is>
          <t>40</t>
        </is>
      </c>
      <c r="G24" s="40" t="n">
        <v>1</v>
      </c>
      <c r="H24" t="n">
        <v>22000</v>
      </c>
      <c r="I24" t="inlineStr">
        <is>
          <t>Estado de conservacion: Muy Buena +
Referencia de catalogo: CJ# 119
Material: Cuproníquel
Peso: 3.0 g
Diametro: 19.0 mm
Tirada: 892.873</t>
        </is>
      </c>
      <c r="J24" s="31">
        <f>IF(INDIRECT(ADDRESS(ROW() + (0),COLUMN() + (1)))="Agregar cuotas", IF(("16%")="", "-", "16%"), IF(INDIRECT(ADDRESS(ROW() + (0),COLUMN() + (1)))="No agregar cuotas", IF(("16%")="", "-", "16%"), "-"))</f>
        <v/>
      </c>
      <c r="K24" s="0" t="inlineStr">
        <is>
          <t>No agregar cuotas</t>
        </is>
      </c>
      <c r="L24" s="31">
        <f>IF(INDIRECT(ADDRESS(ROW() + (0),COLUMN() + (-1)))="Agregar cuotas", IF(("13.4%")="", "Sin costo", "13.4%"), IF(INDIRECT(ADDRESS(ROW() + (0),COLUMN() + (-1)))="No agregar cuotas", IF(("")="", "Sin costo", ""), "-"))</f>
        <v/>
      </c>
      <c r="M24" s="0" t="inlineStr">
        <is>
          <t>Mercado Envíos</t>
        </is>
      </c>
      <c r="N24" s="0" t="inlineStr">
        <is>
          <t>A cargo del comprador</t>
        </is>
      </c>
      <c r="O24" s="0" t="inlineStr">
        <is>
          <t>Acepto</t>
        </is>
      </c>
      <c r="P24" s="47" t="inlineStr">
        <is>
          <t>Sin garantía</t>
        </is>
      </c>
      <c r="R24" s="0" t="inlineStr">
        <is>
          <t>Seleccionar</t>
        </is>
      </c>
      <c r="S24" s="0" t="inlineStr">
        <is>
          <t>No ofrezco</t>
        </is>
      </c>
      <c r="T24" t="n">
        <v>1931</v>
      </c>
      <c r="U24" s="0" t="inlineStr">
        <is>
          <t>Argentina</t>
        </is>
      </c>
      <c r="X24" s="0" t="inlineStr">
        <is>
          <t>Níquel</t>
        </is>
      </c>
      <c r="Z24" t="inlineStr">
        <is>
          <t>10 Centavos</t>
        </is>
      </c>
      <c r="AA24" s="0" t="inlineStr">
        <is>
          <t>Peso</t>
        </is>
      </c>
      <c r="AB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 s="53">
        <f>IF(OR(TRIM(INDIRECT("B"&amp;ROW())) &lt;&gt; "",TRIM(INDIRECT("A"&amp;ROW())) &lt;&gt; ""),AND(TRIM(INDIRECT("A"&amp;ROW())) &lt;&gt; "",TRIM(INDIRECT("D"&amp;ROW())) = "nuevo"),"")</f>
        <v/>
      </c>
    </row>
    <row r="25" ht="27.5" customHeight="1" s="62">
      <c r="B25" t="inlineStr">
        <is>
          <t>Moneda Argentina Centavo 1886</t>
        </is>
      </c>
      <c r="C25" s="0">
        <f>LEN(INDIRECT(ADDRESS(ROW() + (0),COLUMN() + (-1))))</f>
        <v/>
      </c>
      <c r="D25" s="0" t="inlineStr">
        <is>
          <t>Usado</t>
        </is>
      </c>
      <c r="E25" s="38" t="inlineStr">
        <is>
          <t>https://numismaticapopper.com/images/43A.jpeg,https://numismaticapopper.com/images/43B.jpeg</t>
        </is>
      </c>
      <c r="F25" t="inlineStr">
        <is>
          <t>43</t>
        </is>
      </c>
      <c r="G25" s="40" t="n">
        <v>1</v>
      </c>
      <c r="H25" t="n">
        <v>20000</v>
      </c>
      <c r="I25" t="inlineStr">
        <is>
          <t>Estado de conservacion: Buena **
Referencia de catalogo: CJ# 42
Material: Bronce
Peso: 5.0 g
Diametro: 25.0 mm
Tirada: 443.700
Contramarca de la época</t>
        </is>
      </c>
      <c r="J25" s="31">
        <f>IF(INDIRECT(ADDRESS(ROW() + (0),COLUMN() + (1)))="Agregar cuotas", IF(("16%")="", "-", "16%"), IF(INDIRECT(ADDRESS(ROW() + (0),COLUMN() + (1)))="No agregar cuotas", IF(("16%")="", "-", "16%"), "-"))</f>
        <v/>
      </c>
      <c r="K25" s="0" t="inlineStr">
        <is>
          <t>No agregar cuotas</t>
        </is>
      </c>
      <c r="L25" s="31">
        <f>IF(INDIRECT(ADDRESS(ROW() + (0),COLUMN() + (-1)))="Agregar cuotas", IF(("13.4%")="", "Sin costo", "13.4%"), IF(INDIRECT(ADDRESS(ROW() + (0),COLUMN() + (-1)))="No agregar cuotas", IF(("")="", "Sin costo", ""), "-"))</f>
        <v/>
      </c>
      <c r="M25" s="0" t="inlineStr">
        <is>
          <t>Mercado Envíos</t>
        </is>
      </c>
      <c r="N25" s="0" t="inlineStr">
        <is>
          <t>A cargo del comprador</t>
        </is>
      </c>
      <c r="O25" s="0" t="inlineStr">
        <is>
          <t>Acepto</t>
        </is>
      </c>
      <c r="P25" s="47" t="inlineStr">
        <is>
          <t>Sin garantía</t>
        </is>
      </c>
      <c r="R25" s="0" t="inlineStr">
        <is>
          <t>Seleccionar</t>
        </is>
      </c>
      <c r="S25" s="0" t="inlineStr">
        <is>
          <t>No ofrezco</t>
        </is>
      </c>
      <c r="T25" t="n">
        <v>1886</v>
      </c>
      <c r="U25" s="0" t="inlineStr">
        <is>
          <t>Argentina</t>
        </is>
      </c>
      <c r="X25" s="0" t="inlineStr">
        <is>
          <t>Bronce</t>
        </is>
      </c>
      <c r="Z25" t="inlineStr">
        <is>
          <t>Centavo</t>
        </is>
      </c>
      <c r="AA25" s="0" t="inlineStr">
        <is>
          <t>Peso</t>
        </is>
      </c>
      <c r="AB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 s="53">
        <f>IF(OR(TRIM(INDIRECT("B"&amp;ROW())) &lt;&gt; "",TRIM(INDIRECT("A"&amp;ROW())) &lt;&gt; ""),AND(TRIM(INDIRECT("A"&amp;ROW())) &lt;&gt; "",TRIM(INDIRECT("D"&amp;ROW())) = "nuevo"),"")</f>
        <v/>
      </c>
    </row>
    <row r="26" ht="27.5" customHeight="1" s="62">
      <c r="B26" t="inlineStr">
        <is>
          <t>Moneda Argentina 5 Centavos 1916</t>
        </is>
      </c>
      <c r="C26" s="0">
        <f>LEN(INDIRECT(ADDRESS(ROW() + (0),COLUMN() + (-1))))</f>
        <v/>
      </c>
      <c r="D26" s="0" t="inlineStr">
        <is>
          <t>Usado</t>
        </is>
      </c>
      <c r="E26" s="38" t="inlineStr">
        <is>
          <t>https://numismaticapopper.com/images/49A.jpeg,https://numismaticapopper.com/images/49B.jpeg</t>
        </is>
      </c>
      <c r="F26" t="inlineStr">
        <is>
          <t>49</t>
        </is>
      </c>
      <c r="G26" s="40" t="n">
        <v>1</v>
      </c>
      <c r="H26" t="n">
        <v>15000</v>
      </c>
      <c r="I26" t="inlineStr">
        <is>
          <t>Estado de conservacion: Muy Buena -
Referencia de catalogo: CJ# 147
Material: Cuproníquel
Peso: 2.0 g
Diametro: 17.0 mm
Tirada: 1.310.000</t>
        </is>
      </c>
      <c r="J26" s="31">
        <f>IF(INDIRECT(ADDRESS(ROW() + (0),COLUMN() + (1)))="Agregar cuotas", IF(("16%")="", "-", "16%"), IF(INDIRECT(ADDRESS(ROW() + (0),COLUMN() + (1)))="No agregar cuotas", IF(("16%")="", "-", "16%"), "-"))</f>
        <v/>
      </c>
      <c r="K26" s="0" t="inlineStr">
        <is>
          <t>No agregar cuotas</t>
        </is>
      </c>
      <c r="L26" s="31">
        <f>IF(INDIRECT(ADDRESS(ROW() + (0),COLUMN() + (-1)))="Agregar cuotas", IF(("13.4%")="", "Sin costo", "13.4%"), IF(INDIRECT(ADDRESS(ROW() + (0),COLUMN() + (-1)))="No agregar cuotas", IF(("")="", "Sin costo", ""), "-"))</f>
        <v/>
      </c>
      <c r="M26" s="0" t="inlineStr">
        <is>
          <t>Mercado Envíos</t>
        </is>
      </c>
      <c r="N26" s="0" t="inlineStr">
        <is>
          <t>A cargo del comprador</t>
        </is>
      </c>
      <c r="O26" s="0" t="inlineStr">
        <is>
          <t>Acepto</t>
        </is>
      </c>
      <c r="P26" s="47" t="inlineStr">
        <is>
          <t>Sin garantía</t>
        </is>
      </c>
      <c r="R26" s="0" t="inlineStr">
        <is>
          <t>Seleccionar</t>
        </is>
      </c>
      <c r="S26" s="0" t="inlineStr">
        <is>
          <t>No ofrezco</t>
        </is>
      </c>
      <c r="T26" t="n">
        <v>1916</v>
      </c>
      <c r="U26" s="0" t="inlineStr">
        <is>
          <t>Argentina</t>
        </is>
      </c>
      <c r="X26" s="0" t="inlineStr">
        <is>
          <t>Níquel</t>
        </is>
      </c>
      <c r="Z26" t="inlineStr">
        <is>
          <t>5 Centavos</t>
        </is>
      </c>
      <c r="AA26" s="0" t="inlineStr">
        <is>
          <t>Peso</t>
        </is>
      </c>
      <c r="AB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 s="53">
        <f>IF(OR(TRIM(INDIRECT("B"&amp;ROW())) &lt;&gt; "",TRIM(INDIRECT("A"&amp;ROW())) &lt;&gt; ""),AND(TRIM(INDIRECT("A"&amp;ROW())) &lt;&gt; "",TRIM(INDIRECT("D"&amp;ROW())) = "nuevo"),"")</f>
        <v/>
      </c>
    </row>
    <row r="27" ht="27.5" customHeight="1" s="62">
      <c r="B27" t="inlineStr">
        <is>
          <t>Moneda Argentina Centavo 1895</t>
        </is>
      </c>
      <c r="C27" s="0">
        <f>LEN(INDIRECT(ADDRESS(ROW() + (0),COLUMN() + (-1))))</f>
        <v/>
      </c>
      <c r="D27" s="0" t="inlineStr">
        <is>
          <t>Usado</t>
        </is>
      </c>
      <c r="E27" s="38" t="inlineStr">
        <is>
          <t>https://numismaticapopper.com/images/50A.jpeg,https://numismaticapopper.com/images/50B.jpeg</t>
        </is>
      </c>
      <c r="F27" t="inlineStr">
        <is>
          <t>50</t>
        </is>
      </c>
      <c r="G27" s="40" t="n">
        <v>1</v>
      </c>
      <c r="H27" t="n">
        <v>31000</v>
      </c>
      <c r="I27" t="inlineStr">
        <is>
          <t>Estado de conservacion: Regular +
Referencia de catalogo: CJ# 50
Material: Bronce
Peso: 5.0 g
Diametro: 25.0 mm
Tirada: 423.300
Escasa.</t>
        </is>
      </c>
      <c r="J27" s="31">
        <f>IF(INDIRECT(ADDRESS(ROW() + (0),COLUMN() + (1)))="Agregar cuotas", IF(("16%")="", "-", "16%"), IF(INDIRECT(ADDRESS(ROW() + (0),COLUMN() + (1)))="No agregar cuotas", IF(("16%")="", "-", "16%"), "-"))</f>
        <v/>
      </c>
      <c r="K27" s="0" t="inlineStr">
        <is>
          <t>No agregar cuotas</t>
        </is>
      </c>
      <c r="L27" s="31">
        <f>IF(INDIRECT(ADDRESS(ROW() + (0),COLUMN() + (-1)))="Agregar cuotas", IF(("13.4%")="", "Sin costo", "13.4%"), IF(INDIRECT(ADDRESS(ROW() + (0),COLUMN() + (-1)))="No agregar cuotas", IF(("")="", "Sin costo", ""), "-"))</f>
        <v/>
      </c>
      <c r="M27" s="0" t="inlineStr">
        <is>
          <t>Mercado Envíos</t>
        </is>
      </c>
      <c r="N27" s="0" t="inlineStr">
        <is>
          <t>A cargo del comprador</t>
        </is>
      </c>
      <c r="O27" s="0" t="inlineStr">
        <is>
          <t>Acepto</t>
        </is>
      </c>
      <c r="P27" s="47" t="inlineStr">
        <is>
          <t>Sin garantía</t>
        </is>
      </c>
      <c r="R27" s="0" t="inlineStr">
        <is>
          <t>Seleccionar</t>
        </is>
      </c>
      <c r="S27" s="0" t="inlineStr">
        <is>
          <t>No ofrezco</t>
        </is>
      </c>
      <c r="T27" t="n">
        <v>1895</v>
      </c>
      <c r="U27" s="0" t="inlineStr">
        <is>
          <t>Argentina</t>
        </is>
      </c>
      <c r="X27" s="0" t="inlineStr">
        <is>
          <t>Bronce</t>
        </is>
      </c>
      <c r="Z27" t="inlineStr">
        <is>
          <t>Centavo</t>
        </is>
      </c>
      <c r="AA27" s="0" t="inlineStr">
        <is>
          <t>Peso</t>
        </is>
      </c>
      <c r="AB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 s="53">
        <f>IF(OR(TRIM(INDIRECT("B"&amp;ROW())) &lt;&gt; "",TRIM(INDIRECT("A"&amp;ROW())) &lt;&gt; ""),AND(TRIM(INDIRECT("A"&amp;ROW())) &lt;&gt; "",TRIM(INDIRECT("D"&amp;ROW())) = "nuevo"),"")</f>
        <v/>
      </c>
    </row>
    <row r="28" ht="27.5" customHeight="1" s="62">
      <c r="B28" t="inlineStr">
        <is>
          <t>Moneda Argentina Centavo 1895</t>
        </is>
      </c>
      <c r="C28" s="0">
        <f>LEN(INDIRECT(ADDRESS(ROW() + (0),COLUMN() + (-1))))</f>
        <v/>
      </c>
      <c r="D28" s="0" t="inlineStr">
        <is>
          <t>Usado</t>
        </is>
      </c>
      <c r="E28" s="38" t="inlineStr">
        <is>
          <t>https://numismaticapopper.com/images/51A.jpeg,https://numismaticapopper.com/images/51B.jpeg</t>
        </is>
      </c>
      <c r="F28" t="inlineStr">
        <is>
          <t>51</t>
        </is>
      </c>
      <c r="G28" s="40" t="n">
        <v>1</v>
      </c>
      <c r="H28" t="n">
        <v>31000</v>
      </c>
      <c r="I28" t="inlineStr">
        <is>
          <t>Estado de conservacion: Regular +
Referencia de catalogo: CJ# 50
Material: Bronce
Peso: 5.0 g
Diametro: 25.0 mm
Tirada: 423.300
Escasa.</t>
        </is>
      </c>
      <c r="J28" s="31">
        <f>IF(INDIRECT(ADDRESS(ROW() + (0),COLUMN() + (1)))="Agregar cuotas", IF(("16%")="", "-", "16%"), IF(INDIRECT(ADDRESS(ROW() + (0),COLUMN() + (1)))="No agregar cuotas", IF(("16%")="", "-", "16%"), "-"))</f>
        <v/>
      </c>
      <c r="K28" s="0" t="inlineStr">
        <is>
          <t>No agregar cuotas</t>
        </is>
      </c>
      <c r="L28" s="31">
        <f>IF(INDIRECT(ADDRESS(ROW() + (0),COLUMN() + (-1)))="Agregar cuotas", IF(("13.4%")="", "Sin costo", "13.4%"), IF(INDIRECT(ADDRESS(ROW() + (0),COLUMN() + (-1)))="No agregar cuotas", IF(("")="", "Sin costo", ""), "-"))</f>
        <v/>
      </c>
      <c r="M28" s="0" t="inlineStr">
        <is>
          <t>Mercado Envíos</t>
        </is>
      </c>
      <c r="N28" s="0" t="inlineStr">
        <is>
          <t>A cargo del comprador</t>
        </is>
      </c>
      <c r="O28" s="0" t="inlineStr">
        <is>
          <t>Acepto</t>
        </is>
      </c>
      <c r="P28" s="47" t="inlineStr">
        <is>
          <t>Sin garantía</t>
        </is>
      </c>
      <c r="R28" s="0" t="inlineStr">
        <is>
          <t>Seleccionar</t>
        </is>
      </c>
      <c r="S28" s="0" t="inlineStr">
        <is>
          <t>No ofrezco</t>
        </is>
      </c>
      <c r="T28" t="n">
        <v>1895</v>
      </c>
      <c r="U28" s="0" t="inlineStr">
        <is>
          <t>Argentina</t>
        </is>
      </c>
      <c r="X28" s="0" t="inlineStr">
        <is>
          <t>Bronce</t>
        </is>
      </c>
      <c r="Z28" t="inlineStr">
        <is>
          <t>Centavo</t>
        </is>
      </c>
      <c r="AA28" s="0" t="inlineStr">
        <is>
          <t>Peso</t>
        </is>
      </c>
      <c r="AB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 s="53">
        <f>IF(OR(TRIM(INDIRECT("B"&amp;ROW())) &lt;&gt; "",TRIM(INDIRECT("A"&amp;ROW())) &lt;&gt; ""),AND(TRIM(INDIRECT("A"&amp;ROW())) &lt;&gt; "",TRIM(INDIRECT("D"&amp;ROW())) = "nuevo"),"")</f>
        <v/>
      </c>
    </row>
    <row r="29" ht="27.5" customHeight="1" s="62">
      <c r="B29" t="inlineStr">
        <is>
          <t>Moneda Uruguay Peso 1942</t>
        </is>
      </c>
      <c r="C29" s="0">
        <f>LEN(INDIRECT(ADDRESS(ROW() + (0),COLUMN() + (-1))))</f>
        <v/>
      </c>
      <c r="D29" s="0" t="inlineStr">
        <is>
          <t>Usado</t>
        </is>
      </c>
      <c r="E29" s="38" t="inlineStr">
        <is>
          <t>https://numismaticapopper.com/images/55A.jpeg,https://numismaticapopper.com/images/55B.jpeg</t>
        </is>
      </c>
      <c r="F29" t="inlineStr">
        <is>
          <t>55</t>
        </is>
      </c>
      <c r="G29" s="40" t="n">
        <v>1</v>
      </c>
      <c r="H29" t="n">
        <v>33000</v>
      </c>
      <c r="I29" t="inlineStr">
        <is>
          <t>Estado de conservacion: Muy Buena +
Referencia de catalogo: KM# 30
Material: Plata
Peso: 9.0 g
Diametro: 27.0 mm</t>
        </is>
      </c>
      <c r="J29" s="31">
        <f>IF(INDIRECT(ADDRESS(ROW() + (0),COLUMN() + (1)))="Agregar cuotas", IF(("16%")="", "-", "16%"), IF(INDIRECT(ADDRESS(ROW() + (0),COLUMN() + (1)))="No agregar cuotas", IF(("16%")="", "-", "16%"), "-"))</f>
        <v/>
      </c>
      <c r="K29" s="0" t="inlineStr">
        <is>
          <t>No agregar cuotas</t>
        </is>
      </c>
      <c r="L29" s="31">
        <f>IF(INDIRECT(ADDRESS(ROW() + (0),COLUMN() + (-1)))="Agregar cuotas", IF(("13.4%")="", "Sin costo", "13.4%"), IF(INDIRECT(ADDRESS(ROW() + (0),COLUMN() + (-1)))="No agregar cuotas", IF(("")="", "Sin costo", ""), "-"))</f>
        <v/>
      </c>
      <c r="M29" s="0" t="inlineStr">
        <is>
          <t>Mercado Envíos</t>
        </is>
      </c>
      <c r="N29" s="0" t="inlineStr">
        <is>
          <t>A cargo del comprador</t>
        </is>
      </c>
      <c r="O29" s="0" t="inlineStr">
        <is>
          <t>Acepto</t>
        </is>
      </c>
      <c r="P29" s="47" t="inlineStr">
        <is>
          <t>Sin garantía</t>
        </is>
      </c>
      <c r="R29" s="0" t="inlineStr">
        <is>
          <t>Seleccionar</t>
        </is>
      </c>
      <c r="S29" s="0" t="inlineStr">
        <is>
          <t>No ofrezco</t>
        </is>
      </c>
      <c r="T29" t="n">
        <v>1942</v>
      </c>
      <c r="U29" s="0" t="inlineStr">
        <is>
          <t>Uruguay</t>
        </is>
      </c>
      <c r="X29" s="0" t="inlineStr">
        <is>
          <t>Plata</t>
        </is>
      </c>
      <c r="Z29" t="inlineStr">
        <is>
          <t>Peso</t>
        </is>
      </c>
      <c r="AA29" s="0" t="inlineStr">
        <is>
          <t>Peso</t>
        </is>
      </c>
      <c r="AB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 s="53">
        <f>IF(OR(TRIM(INDIRECT("B"&amp;ROW())) &lt;&gt; "",TRIM(INDIRECT("A"&amp;ROW())) &lt;&gt; ""),AND(TRIM(INDIRECT("A"&amp;ROW())) &lt;&gt; "",TRIM(INDIRECT("D"&amp;ROW())) = "nuevo"),"")</f>
        <v/>
      </c>
    </row>
    <row r="30" ht="27.5" customHeight="1" s="62">
      <c r="B30" t="inlineStr">
        <is>
          <t>Moneda Token Porsche 2001</t>
        </is>
      </c>
      <c r="C30" s="0">
        <f>LEN(INDIRECT(ADDRESS(ROW() + (0),COLUMN() + (-1))))</f>
        <v/>
      </c>
      <c r="D30" s="0" t="inlineStr">
        <is>
          <t>Usado</t>
        </is>
      </c>
      <c r="E30" s="38" t="inlineStr">
        <is>
          <t>https://numismaticapopper.com/images/66A.jpeg,https://numismaticapopper.com/images/66B.jpeg</t>
        </is>
      </c>
      <c r="F30" t="inlineStr">
        <is>
          <t>66</t>
        </is>
      </c>
      <c r="G30" s="40" t="n">
        <v>1</v>
      </c>
      <c r="H30" t="n">
        <v>22000</v>
      </c>
      <c r="I30" t="inlineStr">
        <is>
          <t>Estado de conservacion: Muy Buena +
Material: Cobre
Token oficial del calendario Christophorus Porsche 2001 - Acuñado para acompañar los calendarios anuales numerados de la fábrica Porsche</t>
        </is>
      </c>
      <c r="J30" s="31">
        <f>IF(INDIRECT(ADDRESS(ROW() + (0),COLUMN() + (1)))="Agregar cuotas", IF(("16%")="", "-", "16%"), IF(INDIRECT(ADDRESS(ROW() + (0),COLUMN() + (1)))="No agregar cuotas", IF(("16%")="", "-", "16%"), "-"))</f>
        <v/>
      </c>
      <c r="K30" s="0" t="inlineStr">
        <is>
          <t>No agregar cuotas</t>
        </is>
      </c>
      <c r="L30" s="31">
        <f>IF(INDIRECT(ADDRESS(ROW() + (0),COLUMN() + (-1)))="Agregar cuotas", IF(("13.4%")="", "Sin costo", "13.4%"), IF(INDIRECT(ADDRESS(ROW() + (0),COLUMN() + (-1)))="No agregar cuotas", IF(("")="", "Sin costo", ""), "-"))</f>
        <v/>
      </c>
      <c r="M30" s="0" t="inlineStr">
        <is>
          <t>Mercado Envíos</t>
        </is>
      </c>
      <c r="N30" s="0" t="inlineStr">
        <is>
          <t>A cargo del comprador</t>
        </is>
      </c>
      <c r="O30" s="0" t="inlineStr">
        <is>
          <t>Acepto</t>
        </is>
      </c>
      <c r="P30" s="47" t="inlineStr">
        <is>
          <t>Sin garantía</t>
        </is>
      </c>
      <c r="R30" s="0" t="inlineStr">
        <is>
          <t>Seleccionar</t>
        </is>
      </c>
      <c r="S30" s="0" t="inlineStr">
        <is>
          <t>No ofrezco</t>
        </is>
      </c>
      <c r="T30" t="n">
        <v>2001</v>
      </c>
      <c r="U30" s="0" t="inlineStr">
        <is>
          <t>Argentina</t>
        </is>
      </c>
      <c r="X30" s="0" t="inlineStr">
        <is>
          <t>Cobre</t>
        </is>
      </c>
      <c r="Z30" t="inlineStr">
        <is>
          <t>Porsche</t>
        </is>
      </c>
      <c r="AA30" s="0" t="inlineStr">
        <is>
          <t>Peso</t>
        </is>
      </c>
      <c r="AB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 s="53">
        <f>IF(OR(TRIM(INDIRECT("B"&amp;ROW())) &lt;&gt; "",TRIM(INDIRECT("A"&amp;ROW())) &lt;&gt; ""),AND(TRIM(INDIRECT("A"&amp;ROW())) &lt;&gt; "",TRIM(INDIRECT("D"&amp;ROW())) = "nuevo"),"")</f>
        <v/>
      </c>
    </row>
    <row r="31" ht="27.5" customHeight="1" s="62">
      <c r="B31" t="inlineStr">
        <is>
          <t>Moneda Zambia 25 Ngwee 1992</t>
        </is>
      </c>
      <c r="C31" s="0">
        <f>LEN(INDIRECT(ADDRESS(ROW() + (0),COLUMN() + (-1))))</f>
        <v/>
      </c>
      <c r="D31" s="0" t="inlineStr">
        <is>
          <t>Usado</t>
        </is>
      </c>
      <c r="E31" s="38" t="inlineStr">
        <is>
          <t>https://numismaticapopper.com/images/72A.jpeg,https://numismaticapopper.com/images/72B.jpeg</t>
        </is>
      </c>
      <c r="F31" t="inlineStr">
        <is>
          <t>72</t>
        </is>
      </c>
      <c r="G31" s="40" t="n">
        <v>1</v>
      </c>
      <c r="H31" t="n">
        <v>10000</v>
      </c>
      <c r="I31" t="inlineStr">
        <is>
          <t>Estado de conservacion: Sin Circular
Referencia de catalogo: KM# 29
Material: Acero niquelado
Peso: 2.51 g
Diametro: 19.93 mm</t>
        </is>
      </c>
      <c r="J31" s="31">
        <f>IF(INDIRECT(ADDRESS(ROW() + (0),COLUMN() + (1)))="Agregar cuotas", IF(("16%")="", "-", "16%"), IF(INDIRECT(ADDRESS(ROW() + (0),COLUMN() + (1)))="No agregar cuotas", IF(("16%")="", "-", "16%"), "-"))</f>
        <v/>
      </c>
      <c r="K31" s="0" t="inlineStr">
        <is>
          <t>No agregar cuotas</t>
        </is>
      </c>
      <c r="L31" s="31">
        <f>IF(INDIRECT(ADDRESS(ROW() + (0),COLUMN() + (-1)))="Agregar cuotas", IF(("13.4%")="", "Sin costo", "13.4%"), IF(INDIRECT(ADDRESS(ROW() + (0),COLUMN() + (-1)))="No agregar cuotas", IF(("")="", "Sin costo", ""), "-"))</f>
        <v/>
      </c>
      <c r="M31" s="0" t="inlineStr">
        <is>
          <t>Mercado Envíos</t>
        </is>
      </c>
      <c r="N31" s="0" t="inlineStr">
        <is>
          <t>A cargo del comprador</t>
        </is>
      </c>
      <c r="O31" s="0" t="inlineStr">
        <is>
          <t>Acepto</t>
        </is>
      </c>
      <c r="P31" s="47" t="inlineStr">
        <is>
          <t>Sin garantía</t>
        </is>
      </c>
      <c r="R31" s="0" t="inlineStr">
        <is>
          <t>Seleccionar</t>
        </is>
      </c>
      <c r="S31" s="0" t="inlineStr">
        <is>
          <t>No ofrezco</t>
        </is>
      </c>
      <c r="T31" t="n">
        <v>1992</v>
      </c>
      <c r="U31" s="0" t="inlineStr">
        <is>
          <t>Inglaterra</t>
        </is>
      </c>
      <c r="X31" s="0" t="inlineStr">
        <is>
          <t>Níquel</t>
        </is>
      </c>
      <c r="Z31" t="inlineStr">
        <is>
          <t>25 Ngwee</t>
        </is>
      </c>
      <c r="AA31" s="0" t="inlineStr">
        <is>
          <t>Dólar</t>
        </is>
      </c>
      <c r="AB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 s="53">
        <f>IF(OR(TRIM(INDIRECT("B"&amp;ROW())) &lt;&gt; "",TRIM(INDIRECT("A"&amp;ROW())) &lt;&gt; ""),AND(TRIM(INDIRECT("A"&amp;ROW())) &lt;&gt; "",TRIM(INDIRECT("D"&amp;ROW())) = "nuevo"),"")</f>
        <v/>
      </c>
    </row>
    <row r="32" ht="27.5" customHeight="1" s="62">
      <c r="B32" t="inlineStr">
        <is>
          <t>Moneda Brasil 1000 Réis 1910</t>
        </is>
      </c>
      <c r="C32" s="0">
        <f>LEN(INDIRECT(ADDRESS(ROW() + (0),COLUMN() + (-1))))</f>
        <v/>
      </c>
      <c r="D32" s="0" t="inlineStr">
        <is>
          <t>Usado</t>
        </is>
      </c>
      <c r="E32" s="38" t="inlineStr">
        <is>
          <t>https://numismaticapopper.com/images/89A.jpeg,https://numismaticapopper.com/images/89B.jpeg</t>
        </is>
      </c>
      <c r="F32" t="inlineStr">
        <is>
          <t>89</t>
        </is>
      </c>
      <c r="G32" s="40" t="n">
        <v>1</v>
      </c>
      <c r="H32" t="n">
        <v>44000</v>
      </c>
      <c r="I32" t="inlineStr">
        <is>
          <t>Estado de conservacion: Buena +
Referencia de catalogo: KM# 507
Material: Plata .900
Peso: 10.0 g
Diametro: 26.0 mm
Tirada: 2.354.000</t>
        </is>
      </c>
      <c r="J32" s="31">
        <f>IF(INDIRECT(ADDRESS(ROW() + (0),COLUMN() + (1)))="Agregar cuotas", IF(("16%")="", "-", "16%"), IF(INDIRECT(ADDRESS(ROW() + (0),COLUMN() + (1)))="No agregar cuotas", IF(("16%")="", "-", "16%"), "-"))</f>
        <v/>
      </c>
      <c r="K32" s="0" t="inlineStr">
        <is>
          <t>No agregar cuotas</t>
        </is>
      </c>
      <c r="L32" s="31">
        <f>IF(INDIRECT(ADDRESS(ROW() + (0),COLUMN() + (-1)))="Agregar cuotas", IF(("13.4%")="", "Sin costo", "13.4%"), IF(INDIRECT(ADDRESS(ROW() + (0),COLUMN() + (-1)))="No agregar cuotas", IF(("")="", "Sin costo", ""), "-"))</f>
        <v/>
      </c>
      <c r="M32" s="0" t="inlineStr">
        <is>
          <t>Mercado Envíos</t>
        </is>
      </c>
      <c r="N32" s="0" t="inlineStr">
        <is>
          <t>A cargo del comprador</t>
        </is>
      </c>
      <c r="O32" s="0" t="inlineStr">
        <is>
          <t>Acepto</t>
        </is>
      </c>
      <c r="P32" s="47" t="inlineStr">
        <is>
          <t>Sin garantía</t>
        </is>
      </c>
      <c r="R32" s="0" t="inlineStr">
        <is>
          <t>Seleccionar</t>
        </is>
      </c>
      <c r="S32" s="0" t="inlineStr">
        <is>
          <t>No ofrezco</t>
        </is>
      </c>
      <c r="T32" t="n">
        <v>1910</v>
      </c>
      <c r="U32" s="0" t="inlineStr">
        <is>
          <t>Brasil</t>
        </is>
      </c>
      <c r="X32" s="0" t="inlineStr">
        <is>
          <t>Plata</t>
        </is>
      </c>
      <c r="Z32" t="inlineStr">
        <is>
          <t>1000 Réis</t>
        </is>
      </c>
      <c r="AA32" s="0" t="inlineStr">
        <is>
          <t>Real</t>
        </is>
      </c>
      <c r="AB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 s="53">
        <f>IF(OR(TRIM(INDIRECT("B"&amp;ROW())) &lt;&gt; "",TRIM(INDIRECT("A"&amp;ROW())) &lt;&gt; ""),AND(TRIM(INDIRECT("A"&amp;ROW())) &lt;&gt; "",TRIM(INDIRECT("D"&amp;ROW())) = "nuevo"),"")</f>
        <v/>
      </c>
    </row>
    <row r="33" ht="27.5" customHeight="1" s="62">
      <c r="B33" t="inlineStr">
        <is>
          <t>Moneda Rusia 10 Rublos 2014</t>
        </is>
      </c>
      <c r="C33" s="0">
        <f>LEN(INDIRECT(ADDRESS(ROW() + (0),COLUMN() + (-1))))</f>
        <v/>
      </c>
      <c r="D33" s="0" t="inlineStr">
        <is>
          <t>Usado</t>
        </is>
      </c>
      <c r="E33" s="38" t="inlineStr">
        <is>
          <t>https://numismaticapopper.com/images/90A.jpeg,https://numismaticapopper.com/images/90B.jpeg</t>
        </is>
      </c>
      <c r="F33" t="inlineStr">
        <is>
          <t>90</t>
        </is>
      </c>
      <c r="G33" s="40" t="n">
        <v>1</v>
      </c>
      <c r="H33" t="n">
        <v>11000</v>
      </c>
      <c r="I33" t="inlineStr">
        <is>
          <t>Estado de conservacion: Sin Circular
Referencia de catalogo: KM# 156.6
Material: Bimetálica
Tirada: 10.000.000
Penza Oblast</t>
        </is>
      </c>
      <c r="J33" s="31">
        <f>IF(INDIRECT(ADDRESS(ROW() + (0),COLUMN() + (1)))="Agregar cuotas", IF(("16%")="", "-", "16%"), IF(INDIRECT(ADDRESS(ROW() + (0),COLUMN() + (1)))="No agregar cuotas", IF(("16%")="", "-", "16%"), "-"))</f>
        <v/>
      </c>
      <c r="K33" s="0" t="inlineStr">
        <is>
          <t>No agregar cuotas</t>
        </is>
      </c>
      <c r="L33" s="31">
        <f>IF(INDIRECT(ADDRESS(ROW() + (0),COLUMN() + (-1)))="Agregar cuotas", IF(("13.4%")="", "Sin costo", "13.4%"), IF(INDIRECT(ADDRESS(ROW() + (0),COLUMN() + (-1)))="No agregar cuotas", IF(("")="", "Sin costo", ""), "-"))</f>
        <v/>
      </c>
      <c r="M33" s="0" t="inlineStr">
        <is>
          <t>Mercado Envíos</t>
        </is>
      </c>
      <c r="N33" s="0" t="inlineStr">
        <is>
          <t>A cargo del comprador</t>
        </is>
      </c>
      <c r="O33" s="0" t="inlineStr">
        <is>
          <t>Acepto</t>
        </is>
      </c>
      <c r="P33" s="47" t="inlineStr">
        <is>
          <t>Sin garantía</t>
        </is>
      </c>
      <c r="R33" s="0" t="inlineStr">
        <is>
          <t>Seleccionar</t>
        </is>
      </c>
      <c r="S33" s="0" t="inlineStr">
        <is>
          <t>No ofrezco</t>
        </is>
      </c>
      <c r="T33" t="n">
        <v>2014</v>
      </c>
      <c r="U33" s="0" t="inlineStr">
        <is>
          <t>Rusia</t>
        </is>
      </c>
      <c r="X33" s="0" t="inlineStr">
        <is>
          <t>Níquel</t>
        </is>
      </c>
      <c r="Z33" t="inlineStr">
        <is>
          <t>10 Rublos</t>
        </is>
      </c>
      <c r="AA33" s="0" t="inlineStr">
        <is>
          <t>Rublo</t>
        </is>
      </c>
      <c r="AB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 s="53">
        <f>IF(OR(TRIM(INDIRECT("B"&amp;ROW())) &lt;&gt; "",TRIM(INDIRECT("A"&amp;ROW())) &lt;&gt; ""),AND(TRIM(INDIRECT("A"&amp;ROW())) &lt;&gt; "",TRIM(INDIRECT("D"&amp;ROW())) = "nuevo"),"")</f>
        <v/>
      </c>
    </row>
    <row r="34" ht="27.5" customHeight="1" s="62">
      <c r="B34" t="inlineStr">
        <is>
          <t>Moneda Egipto 50 Piastres 2019</t>
        </is>
      </c>
      <c r="C34" s="0">
        <f>LEN(INDIRECT(ADDRESS(ROW() + (0),COLUMN() + (-1))))</f>
        <v/>
      </c>
      <c r="D34" s="0" t="inlineStr">
        <is>
          <t>Usado</t>
        </is>
      </c>
      <c r="E34" s="38" t="inlineStr">
        <is>
          <t>https://numismaticapopper.com/images/91A.jpeg,https://numismaticapopper.com/images/91B.jpeg</t>
        </is>
      </c>
      <c r="F34" t="inlineStr">
        <is>
          <t>91</t>
        </is>
      </c>
      <c r="G34" s="40" t="n">
        <v>1</v>
      </c>
      <c r="H34" t="n">
        <v>11000</v>
      </c>
      <c r="I34" t="inlineStr">
        <is>
          <t>Estado de conservacion: Sin Circular
Referencia de catalogo: KM# 1035
Material: Acero chapado en latón
Peso: 6.5 g
Diametro: 23.0 mm
Estación eléctrica - Año único</t>
        </is>
      </c>
      <c r="J34" s="31">
        <f>IF(INDIRECT(ADDRESS(ROW() + (0),COLUMN() + (1)))="Agregar cuotas", IF(("16%")="", "-", "16%"), IF(INDIRECT(ADDRESS(ROW() + (0),COLUMN() + (1)))="No agregar cuotas", IF(("16%")="", "-", "16%"), "-"))</f>
        <v/>
      </c>
      <c r="K34" s="0" t="inlineStr">
        <is>
          <t>No agregar cuotas</t>
        </is>
      </c>
      <c r="L34" s="31">
        <f>IF(INDIRECT(ADDRESS(ROW() + (0),COLUMN() + (-1)))="Agregar cuotas", IF(("13.4%")="", "Sin costo", "13.4%"), IF(INDIRECT(ADDRESS(ROW() + (0),COLUMN() + (-1)))="No agregar cuotas", IF(("")="", "Sin costo", ""), "-"))</f>
        <v/>
      </c>
      <c r="M34" s="0" t="inlineStr">
        <is>
          <t>Mercado Envíos</t>
        </is>
      </c>
      <c r="N34" s="0" t="inlineStr">
        <is>
          <t>A cargo del comprador</t>
        </is>
      </c>
      <c r="O34" s="0" t="inlineStr">
        <is>
          <t>Acepto</t>
        </is>
      </c>
      <c r="P34" s="47" t="inlineStr">
        <is>
          <t>Sin garantía</t>
        </is>
      </c>
      <c r="R34" s="0" t="inlineStr">
        <is>
          <t>Seleccionar</t>
        </is>
      </c>
      <c r="S34" s="0" t="inlineStr">
        <is>
          <t>No ofrezco</t>
        </is>
      </c>
      <c r="T34" t="n">
        <v>2019</v>
      </c>
      <c r="U34" s="0" t="inlineStr">
        <is>
          <t>Israel</t>
        </is>
      </c>
      <c r="X34" s="0" t="inlineStr">
        <is>
          <t>Bronce</t>
        </is>
      </c>
      <c r="Z34" t="inlineStr">
        <is>
          <t>50 Piastres</t>
        </is>
      </c>
      <c r="AA34" s="0" t="inlineStr">
        <is>
          <t>Euro</t>
        </is>
      </c>
      <c r="AB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 s="53">
        <f>IF(OR(TRIM(INDIRECT("B"&amp;ROW())) &lt;&gt; "",TRIM(INDIRECT("A"&amp;ROW())) &lt;&gt; ""),AND(TRIM(INDIRECT("A"&amp;ROW())) &lt;&gt; "",TRIM(INDIRECT("D"&amp;ROW())) = "nuevo"),"")</f>
        <v/>
      </c>
    </row>
    <row r="35" ht="27.5" customHeight="1" s="62">
      <c r="B35" t="inlineStr">
        <is>
          <t>Moneda Reino Unido Penny 1862</t>
        </is>
      </c>
      <c r="C35" s="0">
        <f>LEN(INDIRECT(ADDRESS(ROW() + (0),COLUMN() + (-1))))</f>
        <v/>
      </c>
      <c r="D35" s="0" t="inlineStr">
        <is>
          <t>Usado</t>
        </is>
      </c>
      <c r="E35" s="38" t="inlineStr">
        <is>
          <t>https://numismaticapopper.com/images/99A.jpeg,https://numismaticapopper.com/images/99B.jpeg</t>
        </is>
      </c>
      <c r="F35" t="inlineStr">
        <is>
          <t>99</t>
        </is>
      </c>
      <c r="G35" s="40" t="n">
        <v>1</v>
      </c>
      <c r="H35" t="n">
        <v>18000</v>
      </c>
      <c r="I35" t="inlineStr">
        <is>
          <t>Estado de conservacion: Buena -
Referencia de catalogo: KM# 749.2
Material: Bronce
Peso: 9.45 g
Diametro: 30.8 mm</t>
        </is>
      </c>
      <c r="J35" s="31">
        <f>IF(INDIRECT(ADDRESS(ROW() + (0),COLUMN() + (1)))="Agregar cuotas", IF(("16%")="", "-", "16%"), IF(INDIRECT(ADDRESS(ROW() + (0),COLUMN() + (1)))="No agregar cuotas", IF(("16%")="", "-", "16%"), "-"))</f>
        <v/>
      </c>
      <c r="K35" s="0" t="inlineStr">
        <is>
          <t>No agregar cuotas</t>
        </is>
      </c>
      <c r="L35" s="31">
        <f>IF(INDIRECT(ADDRESS(ROW() + (0),COLUMN() + (-1)))="Agregar cuotas", IF(("13.4%")="", "Sin costo", "13.4%"), IF(INDIRECT(ADDRESS(ROW() + (0),COLUMN() + (-1)))="No agregar cuotas", IF(("")="", "Sin costo", ""), "-"))</f>
        <v/>
      </c>
      <c r="M35" s="0" t="inlineStr">
        <is>
          <t>Mercado Envíos</t>
        </is>
      </c>
      <c r="N35" s="0" t="inlineStr">
        <is>
          <t>A cargo del comprador</t>
        </is>
      </c>
      <c r="O35" s="0" t="inlineStr">
        <is>
          <t>Acepto</t>
        </is>
      </c>
      <c r="P35" s="47" t="inlineStr">
        <is>
          <t>Sin garantía</t>
        </is>
      </c>
      <c r="R35" s="0" t="inlineStr">
        <is>
          <t>Seleccionar</t>
        </is>
      </c>
      <c r="S35" s="0" t="inlineStr">
        <is>
          <t>No ofrezco</t>
        </is>
      </c>
      <c r="T35" t="n">
        <v>1862</v>
      </c>
      <c r="U35" s="0" t="inlineStr">
        <is>
          <t>Inglaterra</t>
        </is>
      </c>
      <c r="X35" s="0" t="inlineStr">
        <is>
          <t>Bronce</t>
        </is>
      </c>
      <c r="Z35" t="inlineStr">
        <is>
          <t>Penny</t>
        </is>
      </c>
      <c r="AA35" s="0" t="inlineStr">
        <is>
          <t>Dólar</t>
        </is>
      </c>
      <c r="AB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 s="53">
        <f>IF(OR(TRIM(INDIRECT("B"&amp;ROW())) &lt;&gt; "",TRIM(INDIRECT("A"&amp;ROW())) &lt;&gt; ""),AND(TRIM(INDIRECT("A"&amp;ROW())) &lt;&gt; "",TRIM(INDIRECT("D"&amp;ROW())) = "nuevo"),"")</f>
        <v/>
      </c>
    </row>
    <row r="36" ht="27.5" customHeight="1" s="62">
      <c r="B36" t="inlineStr">
        <is>
          <t>Moneda Argentina 2 Centavos 1895</t>
        </is>
      </c>
      <c r="C36" s="0">
        <f>LEN(INDIRECT(ADDRESS(ROW() + (0),COLUMN() + (-1))))</f>
        <v/>
      </c>
      <c r="D36" s="0" t="inlineStr">
        <is>
          <t>Usado</t>
        </is>
      </c>
      <c r="E36" s="38" t="inlineStr">
        <is>
          <t>https://numismaticapopper.com/images/101A.jpeg,https://numismaticapopper.com/images/101B.jpeg</t>
        </is>
      </c>
      <c r="F36" t="inlineStr">
        <is>
          <t>101</t>
        </is>
      </c>
      <c r="G36" s="40" t="n">
        <v>1</v>
      </c>
      <c r="H36" t="n">
        <v>11000</v>
      </c>
      <c r="I36" t="inlineStr">
        <is>
          <t>Referencia de catalogo: CJ# 33
Material: Bronce
Peso: 10.0 g
Diametro: 30.0 mm
Tirada: 592.000</t>
        </is>
      </c>
      <c r="J36" s="31">
        <f>IF(INDIRECT(ADDRESS(ROW() + (0),COLUMN() + (1)))="Agregar cuotas", IF(("16%")="", "-", "16%"), IF(INDIRECT(ADDRESS(ROW() + (0),COLUMN() + (1)))="No agregar cuotas", IF(("16%")="", "-", "16%"), "-"))</f>
        <v/>
      </c>
      <c r="K36" s="0" t="inlineStr">
        <is>
          <t>No agregar cuotas</t>
        </is>
      </c>
      <c r="L36" s="31">
        <f>IF(INDIRECT(ADDRESS(ROW() + (0),COLUMN() + (-1)))="Agregar cuotas", IF(("13.4%")="", "Sin costo", "13.4%"), IF(INDIRECT(ADDRESS(ROW() + (0),COLUMN() + (-1)))="No agregar cuotas", IF(("")="", "Sin costo", ""), "-"))</f>
        <v/>
      </c>
      <c r="M36" s="0" t="inlineStr">
        <is>
          <t>Mercado Envíos</t>
        </is>
      </c>
      <c r="N36" s="0" t="inlineStr">
        <is>
          <t>A cargo del comprador</t>
        </is>
      </c>
      <c r="O36" s="0" t="inlineStr">
        <is>
          <t>Acepto</t>
        </is>
      </c>
      <c r="P36" s="47" t="inlineStr">
        <is>
          <t>Sin garantía</t>
        </is>
      </c>
      <c r="R36" s="0" t="inlineStr">
        <is>
          <t>Seleccionar</t>
        </is>
      </c>
      <c r="S36" s="0" t="inlineStr">
        <is>
          <t>No ofrezco</t>
        </is>
      </c>
      <c r="T36" t="n">
        <v>1895</v>
      </c>
      <c r="U36" s="0" t="inlineStr">
        <is>
          <t>Argentina</t>
        </is>
      </c>
      <c r="X36" s="0" t="inlineStr">
        <is>
          <t>Bronce</t>
        </is>
      </c>
      <c r="Z36" t="inlineStr">
        <is>
          <t>2 Centavos</t>
        </is>
      </c>
      <c r="AA36" s="0" t="inlineStr">
        <is>
          <t>Peso</t>
        </is>
      </c>
      <c r="AB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 s="53">
        <f>IF(OR(TRIM(INDIRECT("B"&amp;ROW())) &lt;&gt; "",TRIM(INDIRECT("A"&amp;ROW())) &lt;&gt; ""),AND(TRIM(INDIRECT("A"&amp;ROW())) &lt;&gt; "",TRIM(INDIRECT("D"&amp;ROW())) = "nuevo"),"")</f>
        <v/>
      </c>
    </row>
    <row r="37" ht="27.5" customHeight="1" s="62">
      <c r="B37" t="inlineStr">
        <is>
          <t>Moneda Argentina 5 Centavos 1934</t>
        </is>
      </c>
      <c r="C37" s="0">
        <f>LEN(INDIRECT(ADDRESS(ROW() + (0),COLUMN() + (-1))))</f>
        <v/>
      </c>
      <c r="D37" s="0" t="inlineStr">
        <is>
          <t>Usado</t>
        </is>
      </c>
      <c r="E37" s="38" t="inlineStr">
        <is>
          <t>https://numismaticapopper.com/images/104A.jpeg,https://numismaticapopper.com/images/104B.jpeg</t>
        </is>
      </c>
      <c r="F37" t="inlineStr">
        <is>
          <t>104</t>
        </is>
      </c>
      <c r="G37" s="40" t="n">
        <v>1</v>
      </c>
      <c r="H37" t="n">
        <v>9000</v>
      </c>
      <c r="I37" t="inlineStr">
        <is>
          <t>Estado de conservacion: Muy Buena +
Referencia de catalogo: CJ# 164
Material: Cuproníquel
Peso: 2.0 g
Diametro: 17.0 mm
Tirada: 1.288.265</t>
        </is>
      </c>
      <c r="J37" s="31">
        <f>IF(INDIRECT(ADDRESS(ROW() + (0),COLUMN() + (1)))="Agregar cuotas", IF(("16%")="", "-", "16%"), IF(INDIRECT(ADDRESS(ROW() + (0),COLUMN() + (1)))="No agregar cuotas", IF(("16%")="", "-", "16%"), "-"))</f>
        <v/>
      </c>
      <c r="K37" s="0" t="inlineStr">
        <is>
          <t>No agregar cuotas</t>
        </is>
      </c>
      <c r="L37" s="31">
        <f>IF(INDIRECT(ADDRESS(ROW() + (0),COLUMN() + (-1)))="Agregar cuotas", IF(("13.4%")="", "Sin costo", "13.4%"), IF(INDIRECT(ADDRESS(ROW() + (0),COLUMN() + (-1)))="No agregar cuotas", IF(("")="", "Sin costo", ""), "-"))</f>
        <v/>
      </c>
      <c r="M37" s="0" t="inlineStr">
        <is>
          <t>Mercado Envíos</t>
        </is>
      </c>
      <c r="N37" s="0" t="inlineStr">
        <is>
          <t>A cargo del comprador</t>
        </is>
      </c>
      <c r="O37" s="0" t="inlineStr">
        <is>
          <t>Acepto</t>
        </is>
      </c>
      <c r="P37" s="47" t="inlineStr">
        <is>
          <t>Sin garantía</t>
        </is>
      </c>
      <c r="R37" s="0" t="inlineStr">
        <is>
          <t>Seleccionar</t>
        </is>
      </c>
      <c r="S37" s="0" t="inlineStr">
        <is>
          <t>No ofrezco</t>
        </is>
      </c>
      <c r="T37" t="n">
        <v>1934</v>
      </c>
      <c r="U37" s="0" t="inlineStr">
        <is>
          <t>Argentina</t>
        </is>
      </c>
      <c r="X37" s="0" t="inlineStr">
        <is>
          <t>Níquel</t>
        </is>
      </c>
      <c r="Z37" t="inlineStr">
        <is>
          <t>5 Centavos</t>
        </is>
      </c>
      <c r="AA37" s="0" t="inlineStr">
        <is>
          <t>Peso</t>
        </is>
      </c>
      <c r="AB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 s="53">
        <f>IF(OR(TRIM(INDIRECT("B"&amp;ROW())) &lt;&gt; "",TRIM(INDIRECT("A"&amp;ROW())) &lt;&gt; ""),AND(TRIM(INDIRECT("A"&amp;ROW())) &lt;&gt; "",TRIM(INDIRECT("D"&amp;ROW())) = "nuevo"),"")</f>
        <v/>
      </c>
    </row>
    <row r="38" ht="27.5" customHeight="1" s="62">
      <c r="B38" t="inlineStr">
        <is>
          <t>Moneda Argentina 20 Centavos 1899</t>
        </is>
      </c>
      <c r="C38" s="0">
        <f>LEN(INDIRECT(ADDRESS(ROW() + (0),COLUMN() + (-1))))</f>
        <v/>
      </c>
      <c r="D38" s="0" t="inlineStr">
        <is>
          <t>Usado</t>
        </is>
      </c>
      <c r="E38" s="38" t="inlineStr">
        <is>
          <t>https://numismaticapopper.com/images/105A.jpeg,https://numismaticapopper.com/images/105B.jpeg</t>
        </is>
      </c>
      <c r="F38" t="inlineStr">
        <is>
          <t>105</t>
        </is>
      </c>
      <c r="G38" s="40" t="n">
        <v>1</v>
      </c>
      <c r="H38" t="n">
        <v>15000</v>
      </c>
      <c r="I38" t="inlineStr">
        <is>
          <t>Estado de conservacion: Regular
Referencia de catalogo: CJ# 55
Material: Cuproníquel
Peso: 4.0 g
Diametro: 21.0 mm
Tirada: 840.108
Escasa.</t>
        </is>
      </c>
      <c r="J38" s="31">
        <f>IF(INDIRECT(ADDRESS(ROW() + (0),COLUMN() + (1)))="Agregar cuotas", IF(("16%")="", "-", "16%"), IF(INDIRECT(ADDRESS(ROW() + (0),COLUMN() + (1)))="No agregar cuotas", IF(("16%")="", "-", "16%"), "-"))</f>
        <v/>
      </c>
      <c r="K38" s="0" t="inlineStr">
        <is>
          <t>No agregar cuotas</t>
        </is>
      </c>
      <c r="L38" s="31">
        <f>IF(INDIRECT(ADDRESS(ROW() + (0),COLUMN() + (-1)))="Agregar cuotas", IF(("13.4%")="", "Sin costo", "13.4%"), IF(INDIRECT(ADDRESS(ROW() + (0),COLUMN() + (-1)))="No agregar cuotas", IF(("")="", "Sin costo", ""), "-"))</f>
        <v/>
      </c>
      <c r="M38" s="0" t="inlineStr">
        <is>
          <t>Mercado Envíos</t>
        </is>
      </c>
      <c r="N38" s="0" t="inlineStr">
        <is>
          <t>A cargo del comprador</t>
        </is>
      </c>
      <c r="O38" s="0" t="inlineStr">
        <is>
          <t>Acepto</t>
        </is>
      </c>
      <c r="P38" s="47" t="inlineStr">
        <is>
          <t>Sin garantía</t>
        </is>
      </c>
      <c r="R38" s="0" t="inlineStr">
        <is>
          <t>Seleccionar</t>
        </is>
      </c>
      <c r="S38" s="0" t="inlineStr">
        <is>
          <t>No ofrezco</t>
        </is>
      </c>
      <c r="T38" t="n">
        <v>1899</v>
      </c>
      <c r="U38" s="0" t="inlineStr">
        <is>
          <t>Argentina</t>
        </is>
      </c>
      <c r="X38" s="0" t="inlineStr">
        <is>
          <t>Níquel</t>
        </is>
      </c>
      <c r="Z38" t="inlineStr">
        <is>
          <t>20 Centavos</t>
        </is>
      </c>
      <c r="AA38" s="0" t="inlineStr">
        <is>
          <t>Peso</t>
        </is>
      </c>
      <c r="AB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 s="53">
        <f>IF(OR(TRIM(INDIRECT("B"&amp;ROW())) &lt;&gt; "",TRIM(INDIRECT("A"&amp;ROW())) &lt;&gt; ""),AND(TRIM(INDIRECT("A"&amp;ROW())) &lt;&gt; "",TRIM(INDIRECT("D"&amp;ROW())) = "nuevo"),"")</f>
        <v/>
      </c>
    </row>
    <row r="39" ht="27.5" customHeight="1" s="62">
      <c r="B39" t="inlineStr">
        <is>
          <t>Moneda Argentina 20 Centavos 1899</t>
        </is>
      </c>
      <c r="C39" s="0">
        <f>LEN(INDIRECT(ADDRESS(ROW() + (0),COLUMN() + (-1))))</f>
        <v/>
      </c>
      <c r="D39" s="0" t="inlineStr">
        <is>
          <t>Usado</t>
        </is>
      </c>
      <c r="E39" s="38" t="inlineStr">
        <is>
          <t>https://numismaticapopper.com/images/107A.jpeg,https://numismaticapopper.com/images/107B.jpeg</t>
        </is>
      </c>
      <c r="F39" t="inlineStr">
        <is>
          <t>107</t>
        </is>
      </c>
      <c r="G39" s="40" t="n">
        <v>1</v>
      </c>
      <c r="H39" t="n">
        <v>59000</v>
      </c>
      <c r="I39" t="inlineStr">
        <is>
          <t>Estado de conservacion: Buena +
Referencia de catalogo: CJ# 55
Material: Cuproníquel
Peso: 4.0 g
Diametro: 21.0 mm
Tirada: 840.108
Escasa.</t>
        </is>
      </c>
      <c r="J39" s="31">
        <f>IF(INDIRECT(ADDRESS(ROW() + (0),COLUMN() + (1)))="Agregar cuotas", IF(("16%")="", "-", "16%"), IF(INDIRECT(ADDRESS(ROW() + (0),COLUMN() + (1)))="No agregar cuotas", IF(("16%")="", "-", "16%"), "-"))</f>
        <v/>
      </c>
      <c r="K39" s="0" t="inlineStr">
        <is>
          <t>No agregar cuotas</t>
        </is>
      </c>
      <c r="L39" s="31">
        <f>IF(INDIRECT(ADDRESS(ROW() + (0),COLUMN() + (-1)))="Agregar cuotas", IF(("13.4%")="", "Sin costo", "13.4%"), IF(INDIRECT(ADDRESS(ROW() + (0),COLUMN() + (-1)))="No agregar cuotas", IF(("")="", "Sin costo", ""), "-"))</f>
        <v/>
      </c>
      <c r="M39" s="0" t="inlineStr">
        <is>
          <t>Mercado Envíos</t>
        </is>
      </c>
      <c r="N39" s="0" t="inlineStr">
        <is>
          <t>A cargo del comprador</t>
        </is>
      </c>
      <c r="O39" s="0" t="inlineStr">
        <is>
          <t>Acepto</t>
        </is>
      </c>
      <c r="P39" s="47" t="inlineStr">
        <is>
          <t>Sin garantía</t>
        </is>
      </c>
      <c r="R39" s="0" t="inlineStr">
        <is>
          <t>Seleccionar</t>
        </is>
      </c>
      <c r="S39" s="0" t="inlineStr">
        <is>
          <t>No ofrezco</t>
        </is>
      </c>
      <c r="T39" t="n">
        <v>1899</v>
      </c>
      <c r="U39" s="0" t="inlineStr">
        <is>
          <t>Argentina</t>
        </is>
      </c>
      <c r="X39" s="0" t="inlineStr">
        <is>
          <t>Níquel</t>
        </is>
      </c>
      <c r="Z39" t="inlineStr">
        <is>
          <t>20 Centavos</t>
        </is>
      </c>
      <c r="AA39" s="0" t="inlineStr">
        <is>
          <t>Peso</t>
        </is>
      </c>
      <c r="AB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 s="53">
        <f>IF(OR(TRIM(INDIRECT("B"&amp;ROW())) &lt;&gt; "",TRIM(INDIRECT("A"&amp;ROW())) &lt;&gt; ""),AND(TRIM(INDIRECT("A"&amp;ROW())) &lt;&gt; "",TRIM(INDIRECT("D"&amp;ROW())) = "nuevo"),"")</f>
        <v/>
      </c>
    </row>
    <row r="40" ht="27.5" customHeight="1" s="62">
      <c r="B40" t="inlineStr">
        <is>
          <t>Moneda Argentina 20 Centavos 1936</t>
        </is>
      </c>
      <c r="C40" s="0">
        <f>LEN(INDIRECT(ADDRESS(ROW() + (0),COLUMN() + (-1))))</f>
        <v/>
      </c>
      <c r="D40" s="0" t="inlineStr">
        <is>
          <t>Usado</t>
        </is>
      </c>
      <c r="E40" s="38" t="inlineStr">
        <is>
          <t>https://numismaticapopper.com/images/111A.jpeg,https://numismaticapopper.com/images/111B.jpeg</t>
        </is>
      </c>
      <c r="F40" t="inlineStr">
        <is>
          <t>111</t>
        </is>
      </c>
      <c r="G40" s="40" t="n">
        <v>1</v>
      </c>
      <c r="H40" t="n">
        <v>26000</v>
      </c>
      <c r="I40" t="inlineStr">
        <is>
          <t>Estado de conservacion: Excelente -
Referencia de catalogo: CJ# 83
Material: Cuproníquel
Peso: 4.0 g
Diametro: 21.0 mm
Tirada: 855.101
Escasa.</t>
        </is>
      </c>
      <c r="J40" s="31">
        <f>IF(INDIRECT(ADDRESS(ROW() + (0),COLUMN() + (1)))="Agregar cuotas", IF(("16%")="", "-", "16%"), IF(INDIRECT(ADDRESS(ROW() + (0),COLUMN() + (1)))="No agregar cuotas", IF(("16%")="", "-", "16%"), "-"))</f>
        <v/>
      </c>
      <c r="K40" s="0" t="inlineStr">
        <is>
          <t>No agregar cuotas</t>
        </is>
      </c>
      <c r="L40" s="31">
        <f>IF(INDIRECT(ADDRESS(ROW() + (0),COLUMN() + (-1)))="Agregar cuotas", IF(("13.4%")="", "Sin costo", "13.4%"), IF(INDIRECT(ADDRESS(ROW() + (0),COLUMN() + (-1)))="No agregar cuotas", IF(("")="", "Sin costo", ""), "-"))</f>
        <v/>
      </c>
      <c r="M40" s="0" t="inlineStr">
        <is>
          <t>Mercado Envíos</t>
        </is>
      </c>
      <c r="N40" s="0" t="inlineStr">
        <is>
          <t>A cargo del comprador</t>
        </is>
      </c>
      <c r="O40" s="0" t="inlineStr">
        <is>
          <t>Acepto</t>
        </is>
      </c>
      <c r="P40" s="47" t="inlineStr">
        <is>
          <t>Sin garantía</t>
        </is>
      </c>
      <c r="R40" s="0" t="inlineStr">
        <is>
          <t>Seleccionar</t>
        </is>
      </c>
      <c r="S40" s="0" t="inlineStr">
        <is>
          <t>No ofrezco</t>
        </is>
      </c>
      <c r="T40" t="n">
        <v>1936</v>
      </c>
      <c r="U40" s="0" t="inlineStr">
        <is>
          <t>Argentina</t>
        </is>
      </c>
      <c r="X40" s="0" t="inlineStr">
        <is>
          <t>Níquel</t>
        </is>
      </c>
      <c r="Z40" t="inlineStr">
        <is>
          <t>20 Centavos</t>
        </is>
      </c>
      <c r="AA40" s="0" t="inlineStr">
        <is>
          <t>Peso</t>
        </is>
      </c>
      <c r="AB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 s="53">
        <f>IF(OR(TRIM(INDIRECT("B"&amp;ROW())) &lt;&gt; "",TRIM(INDIRECT("A"&amp;ROW())) &lt;&gt; ""),AND(TRIM(INDIRECT("A"&amp;ROW())) &lt;&gt; "",TRIM(INDIRECT("D"&amp;ROW())) = "nuevo"),"")</f>
        <v/>
      </c>
    </row>
    <row r="41" ht="27.5" customHeight="1" s="62">
      <c r="B41" t="inlineStr">
        <is>
          <t>Moneda Argentina 20 Centavos 1936</t>
        </is>
      </c>
      <c r="C41" s="0">
        <f>LEN(INDIRECT(ADDRESS(ROW() + (0),COLUMN() + (-1))))</f>
        <v/>
      </c>
      <c r="D41" s="0" t="inlineStr">
        <is>
          <t>Usado</t>
        </is>
      </c>
      <c r="E41" s="38" t="inlineStr">
        <is>
          <t>https://numismaticapopper.com/images/112A.jpeg,https://numismaticapopper.com/images/112B.jpeg</t>
        </is>
      </c>
      <c r="F41" t="inlineStr">
        <is>
          <t>112</t>
        </is>
      </c>
      <c r="G41" s="40" t="n">
        <v>1</v>
      </c>
      <c r="H41" t="n">
        <v>18000</v>
      </c>
      <c r="I41" t="inlineStr">
        <is>
          <t>Estado de conservacion: Muy Buena
Referencia de catalogo: CJ# 83
Material: Cuproníquel
Peso: 4.0 g
Diametro: 21.0 mm
Tirada: 855.101
Escasa.</t>
        </is>
      </c>
      <c r="J41" s="31">
        <f>IF(INDIRECT(ADDRESS(ROW() + (0),COLUMN() + (1)))="Agregar cuotas", IF(("16%")="", "-", "16%"), IF(INDIRECT(ADDRESS(ROW() + (0),COLUMN() + (1)))="No agregar cuotas", IF(("16%")="", "-", "16%"), "-"))</f>
        <v/>
      </c>
      <c r="K41" s="0" t="inlineStr">
        <is>
          <t>No agregar cuotas</t>
        </is>
      </c>
      <c r="L41" s="31">
        <f>IF(INDIRECT(ADDRESS(ROW() + (0),COLUMN() + (-1)))="Agregar cuotas", IF(("13.4%")="", "Sin costo", "13.4%"), IF(INDIRECT(ADDRESS(ROW() + (0),COLUMN() + (-1)))="No agregar cuotas", IF(("")="", "Sin costo", ""), "-"))</f>
        <v/>
      </c>
      <c r="M41" s="0" t="inlineStr">
        <is>
          <t>Mercado Envíos</t>
        </is>
      </c>
      <c r="N41" s="0" t="inlineStr">
        <is>
          <t>A cargo del comprador</t>
        </is>
      </c>
      <c r="O41" s="0" t="inlineStr">
        <is>
          <t>Acepto</t>
        </is>
      </c>
      <c r="P41" s="47" t="inlineStr">
        <is>
          <t>Sin garantía</t>
        </is>
      </c>
      <c r="R41" s="0" t="inlineStr">
        <is>
          <t>Seleccionar</t>
        </is>
      </c>
      <c r="S41" s="0" t="inlineStr">
        <is>
          <t>No ofrezco</t>
        </is>
      </c>
      <c r="T41" t="n">
        <v>1936</v>
      </c>
      <c r="U41" s="0" t="inlineStr">
        <is>
          <t>Argentina</t>
        </is>
      </c>
      <c r="X41" s="0" t="inlineStr">
        <is>
          <t>Níquel</t>
        </is>
      </c>
      <c r="Z41" t="inlineStr">
        <is>
          <t>20 Centavos</t>
        </is>
      </c>
      <c r="AA41" s="0" t="inlineStr">
        <is>
          <t>Peso</t>
        </is>
      </c>
      <c r="AB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 s="53">
        <f>IF(OR(TRIM(INDIRECT("B"&amp;ROW())) &lt;&gt; "",TRIM(INDIRECT("A"&amp;ROW())) &lt;&gt; ""),AND(TRIM(INDIRECT("A"&amp;ROW())) &lt;&gt; "",TRIM(INDIRECT("D"&amp;ROW())) = "nuevo"),"")</f>
        <v/>
      </c>
    </row>
    <row r="42" ht="27.5" customHeight="1" s="62">
      <c r="B42" t="inlineStr">
        <is>
          <t>Moneda Argentina 2 Centavos 1944</t>
        </is>
      </c>
      <c r="C42" s="0">
        <f>LEN(INDIRECT(ADDRESS(ROW() + (0),COLUMN() + (-1))))</f>
        <v/>
      </c>
      <c r="D42" s="0" t="inlineStr">
        <is>
          <t>Usado</t>
        </is>
      </c>
      <c r="E42" s="38" t="inlineStr">
        <is>
          <t>https://numismaticapopper.com/images/113A.jpeg,https://numismaticapopper.com/images/113B.jpeg</t>
        </is>
      </c>
      <c r="F42" t="inlineStr">
        <is>
          <t>113</t>
        </is>
      </c>
      <c r="G42" s="40" t="n">
        <v>1</v>
      </c>
      <c r="H42" t="n">
        <v>40000</v>
      </c>
      <c r="I42" t="inlineStr">
        <is>
          <t>Estado de conservacion: Excelente
Referencia de catalogo: CJ# 178
Material: Bronce
Peso: 3.4 g
Diametro: 20.0 mm
Tirada: 387.072
Casa</t>
        </is>
      </c>
      <c r="J42" s="31">
        <f>IF(INDIRECT(ADDRESS(ROW() + (0),COLUMN() + (1)))="Agregar cuotas", IF(("16%")="", "-", "16%"), IF(INDIRECT(ADDRESS(ROW() + (0),COLUMN() + (1)))="No agregar cuotas", IF(("16%")="", "-", "16%"), "-"))</f>
        <v/>
      </c>
      <c r="K42" s="0" t="inlineStr">
        <is>
          <t>No agregar cuotas</t>
        </is>
      </c>
      <c r="L42" s="31">
        <f>IF(INDIRECT(ADDRESS(ROW() + (0),COLUMN() + (-1)))="Agregar cuotas", IF(("13.4%")="", "Sin costo", "13.4%"), IF(INDIRECT(ADDRESS(ROW() + (0),COLUMN() + (-1)))="No agregar cuotas", IF(("")="", "Sin costo", ""), "-"))</f>
        <v/>
      </c>
      <c r="M42" s="0" t="inlineStr">
        <is>
          <t>Mercado Envíos</t>
        </is>
      </c>
      <c r="N42" s="0" t="inlineStr">
        <is>
          <t>A cargo del comprador</t>
        </is>
      </c>
      <c r="O42" s="0" t="inlineStr">
        <is>
          <t>Acepto</t>
        </is>
      </c>
      <c r="P42" s="47" t="inlineStr">
        <is>
          <t>Sin garantía</t>
        </is>
      </c>
      <c r="R42" s="0" t="inlineStr">
        <is>
          <t>Seleccionar</t>
        </is>
      </c>
      <c r="S42" s="0" t="inlineStr">
        <is>
          <t>No ofrezco</t>
        </is>
      </c>
      <c r="T42" t="n">
        <v>1944</v>
      </c>
      <c r="U42" s="0" t="inlineStr">
        <is>
          <t>Argentina</t>
        </is>
      </c>
      <c r="X42" s="0" t="inlineStr">
        <is>
          <t>Bronce</t>
        </is>
      </c>
      <c r="Z42" t="inlineStr">
        <is>
          <t>2 Centavos</t>
        </is>
      </c>
      <c r="AA42" s="0" t="inlineStr">
        <is>
          <t>Peso</t>
        </is>
      </c>
      <c r="AB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 s="53">
        <f>IF(OR(TRIM(INDIRECT("B"&amp;ROW())) &lt;&gt; "",TRIM(INDIRECT("A"&amp;ROW())) &lt;&gt; ""),AND(TRIM(INDIRECT("A"&amp;ROW())) &lt;&gt; "",TRIM(INDIRECT("D"&amp;ROW())) = "nuevo"),"")</f>
        <v/>
      </c>
    </row>
    <row r="43" ht="27.5" customHeight="1" s="62">
      <c r="B43" t="inlineStr">
        <is>
          <t>Moneda Argentina 2 Centavos 1950</t>
        </is>
      </c>
      <c r="C43" s="0">
        <f>LEN(INDIRECT(ADDRESS(ROW() + (0),COLUMN() + (-1))))</f>
        <v/>
      </c>
      <c r="D43" s="0" t="inlineStr">
        <is>
          <t>Usado</t>
        </is>
      </c>
      <c r="E43" s="38" t="inlineStr">
        <is>
          <t>https://numismaticapopper.com/images/114A.jpeg,https://numismaticapopper.com/images/114B.jpeg</t>
        </is>
      </c>
      <c r="F43" t="inlineStr">
        <is>
          <t>114</t>
        </is>
      </c>
      <c r="G43" s="40" t="n">
        <v>1</v>
      </c>
      <c r="H43" t="n">
        <v>31000</v>
      </c>
      <c r="I43" t="inlineStr">
        <is>
          <t>Estado de conservacion: Muy Buena +
Referencia de catalogo: CJ# 185
Material: Cobre
Peso: 3.3 g
Diametro: 20.0 mm
Tirada: 903.070</t>
        </is>
      </c>
      <c r="J43" s="31">
        <f>IF(INDIRECT(ADDRESS(ROW() + (0),COLUMN() + (1)))="Agregar cuotas", IF(("16%")="", "-", "16%"), IF(INDIRECT(ADDRESS(ROW() + (0),COLUMN() + (1)))="No agregar cuotas", IF(("16%")="", "-", "16%"), "-"))</f>
        <v/>
      </c>
      <c r="K43" s="0" t="inlineStr">
        <is>
          <t>No agregar cuotas</t>
        </is>
      </c>
      <c r="L43" s="31">
        <f>IF(INDIRECT(ADDRESS(ROW() + (0),COLUMN() + (-1)))="Agregar cuotas", IF(("13.4%")="", "Sin costo", "13.4%"), IF(INDIRECT(ADDRESS(ROW() + (0),COLUMN() + (-1)))="No agregar cuotas", IF(("")="", "Sin costo", ""), "-"))</f>
        <v/>
      </c>
      <c r="M43" s="0" t="inlineStr">
        <is>
          <t>Mercado Envíos</t>
        </is>
      </c>
      <c r="N43" s="0" t="inlineStr">
        <is>
          <t>A cargo del comprador</t>
        </is>
      </c>
      <c r="O43" s="0" t="inlineStr">
        <is>
          <t>Acepto</t>
        </is>
      </c>
      <c r="P43" s="47" t="inlineStr">
        <is>
          <t>Sin garantía</t>
        </is>
      </c>
      <c r="R43" s="0" t="inlineStr">
        <is>
          <t>Seleccionar</t>
        </is>
      </c>
      <c r="S43" s="0" t="inlineStr">
        <is>
          <t>No ofrezco</t>
        </is>
      </c>
      <c r="T43" t="n">
        <v>1950</v>
      </c>
      <c r="U43" s="0" t="inlineStr">
        <is>
          <t>Argentina</t>
        </is>
      </c>
      <c r="X43" s="0" t="inlineStr">
        <is>
          <t>Cobre</t>
        </is>
      </c>
      <c r="Z43" t="inlineStr">
        <is>
          <t>2 Centavos</t>
        </is>
      </c>
      <c r="AA43" s="0" t="inlineStr">
        <is>
          <t>Peso</t>
        </is>
      </c>
      <c r="AB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 s="53">
        <f>IF(OR(TRIM(INDIRECT("B"&amp;ROW())) &lt;&gt; "",TRIM(INDIRECT("A"&amp;ROW())) &lt;&gt; ""),AND(TRIM(INDIRECT("A"&amp;ROW())) &lt;&gt; "",TRIM(INDIRECT("D"&amp;ROW())) = "nuevo"),"")</f>
        <v/>
      </c>
    </row>
    <row r="44" ht="27.5" customHeight="1" s="62">
      <c r="B44" t="inlineStr">
        <is>
          <t>Moneda Argentina 2 Centavos 1950</t>
        </is>
      </c>
      <c r="C44" s="0">
        <f>LEN(INDIRECT(ADDRESS(ROW() + (0),COLUMN() + (-1))))</f>
        <v/>
      </c>
      <c r="D44" s="0" t="inlineStr">
        <is>
          <t>Usado</t>
        </is>
      </c>
      <c r="E44" s="38" t="inlineStr">
        <is>
          <t>https://numismaticapopper.com/images/115A.jpeg,https://numismaticapopper.com/images/115B.jpeg</t>
        </is>
      </c>
      <c r="F44" t="inlineStr">
        <is>
          <t>115</t>
        </is>
      </c>
      <c r="G44" s="40" t="n">
        <v>1</v>
      </c>
      <c r="H44" t="n">
        <v>26000</v>
      </c>
      <c r="I44" t="inlineStr">
        <is>
          <t>Estado de conservacion: Muy Buena
Referencia de catalogo: CJ# 185
Material: Cobre
Peso: 3.3 g
Diametro: 20.0 mm
Tirada: 903.070</t>
        </is>
      </c>
      <c r="J44" s="31">
        <f>IF(INDIRECT(ADDRESS(ROW() + (0),COLUMN() + (1)))="Agregar cuotas", IF(("16%")="", "-", "16%"), IF(INDIRECT(ADDRESS(ROW() + (0),COLUMN() + (1)))="No agregar cuotas", IF(("16%")="", "-", "16%"), "-"))</f>
        <v/>
      </c>
      <c r="K44" s="0" t="inlineStr">
        <is>
          <t>No agregar cuotas</t>
        </is>
      </c>
      <c r="L44" s="31">
        <f>IF(INDIRECT(ADDRESS(ROW() + (0),COLUMN() + (-1)))="Agregar cuotas", IF(("13.4%")="", "Sin costo", "13.4%"), IF(INDIRECT(ADDRESS(ROW() + (0),COLUMN() + (-1)))="No agregar cuotas", IF(("")="", "Sin costo", ""), "-"))</f>
        <v/>
      </c>
      <c r="M44" s="0" t="inlineStr">
        <is>
          <t>Mercado Envíos</t>
        </is>
      </c>
      <c r="N44" s="0" t="inlineStr">
        <is>
          <t>A cargo del comprador</t>
        </is>
      </c>
      <c r="O44" s="0" t="inlineStr">
        <is>
          <t>Acepto</t>
        </is>
      </c>
      <c r="P44" s="47" t="inlineStr">
        <is>
          <t>Sin garantía</t>
        </is>
      </c>
      <c r="R44" s="0" t="inlineStr">
        <is>
          <t>Seleccionar</t>
        </is>
      </c>
      <c r="S44" s="0" t="inlineStr">
        <is>
          <t>No ofrezco</t>
        </is>
      </c>
      <c r="T44" t="n">
        <v>1950</v>
      </c>
      <c r="U44" s="0" t="inlineStr">
        <is>
          <t>Argentina</t>
        </is>
      </c>
      <c r="X44" s="0" t="inlineStr">
        <is>
          <t>Cobre</t>
        </is>
      </c>
      <c r="Z44" t="inlineStr">
        <is>
          <t>2 Centavos</t>
        </is>
      </c>
      <c r="AA44" s="0" t="inlineStr">
        <is>
          <t>Peso</t>
        </is>
      </c>
      <c r="AB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 s="53">
        <f>IF(OR(TRIM(INDIRECT("B"&amp;ROW())) &lt;&gt; "",TRIM(INDIRECT("A"&amp;ROW())) &lt;&gt; ""),AND(TRIM(INDIRECT("A"&amp;ROW())) &lt;&gt; "",TRIM(INDIRECT("D"&amp;ROW())) = "nuevo"),"")</f>
        <v/>
      </c>
    </row>
    <row r="45" ht="27.5" customHeight="1" s="62">
      <c r="B45" t="inlineStr">
        <is>
          <t>Moneda Antillas Holandesas Cent 1963</t>
        </is>
      </c>
      <c r="C45" s="0">
        <f>LEN(INDIRECT(ADDRESS(ROW() + (0),COLUMN() + (-1))))</f>
        <v/>
      </c>
      <c r="D45" s="0" t="inlineStr">
        <is>
          <t>Usado</t>
        </is>
      </c>
      <c r="E45" s="38" t="inlineStr">
        <is>
          <t>https://numismaticapopper.com/images/128A.jpeg,https://numismaticapopper.com/images/128B.jpeg</t>
        </is>
      </c>
      <c r="F45" t="inlineStr">
        <is>
          <t>128</t>
        </is>
      </c>
      <c r="G45" s="40" t="n">
        <v>1</v>
      </c>
      <c r="H45" t="n">
        <v>10000</v>
      </c>
      <c r="I45" t="inlineStr">
        <is>
          <t>Estado de conservacion: Sin Circular
Referencia de catalogo: KM# 1
Material: Bronce
Peso: 2.5 g
Diametro: 19.0 mm</t>
        </is>
      </c>
      <c r="J45" s="31">
        <f>IF(INDIRECT(ADDRESS(ROW() + (0),COLUMN() + (1)))="Agregar cuotas", IF(("16%")="", "-", "16%"), IF(INDIRECT(ADDRESS(ROW() + (0),COLUMN() + (1)))="No agregar cuotas", IF(("16%")="", "-", "16%"), "-"))</f>
        <v/>
      </c>
      <c r="K45" s="0" t="inlineStr">
        <is>
          <t>No agregar cuotas</t>
        </is>
      </c>
      <c r="L45" s="31">
        <f>IF(INDIRECT(ADDRESS(ROW() + (0),COLUMN() + (-1)))="Agregar cuotas", IF(("13.4%")="", "Sin costo", "13.4%"), IF(INDIRECT(ADDRESS(ROW() + (0),COLUMN() + (-1)))="No agregar cuotas", IF(("")="", "Sin costo", ""), "-"))</f>
        <v/>
      </c>
      <c r="M45" s="0" t="inlineStr">
        <is>
          <t>Mercado Envíos</t>
        </is>
      </c>
      <c r="N45" s="0" t="inlineStr">
        <is>
          <t>A cargo del comprador</t>
        </is>
      </c>
      <c r="O45" s="0" t="inlineStr">
        <is>
          <t>Acepto</t>
        </is>
      </c>
      <c r="P45" s="47" t="inlineStr">
        <is>
          <t>Sin garantía</t>
        </is>
      </c>
      <c r="R45" s="0" t="inlineStr">
        <is>
          <t>Seleccionar</t>
        </is>
      </c>
      <c r="S45" s="0" t="inlineStr">
        <is>
          <t>No ofrezco</t>
        </is>
      </c>
      <c r="T45" t="n">
        <v>1963</v>
      </c>
      <c r="U45" s="0" t="inlineStr">
        <is>
          <t>Holanda</t>
        </is>
      </c>
      <c r="X45" s="0" t="inlineStr">
        <is>
          <t>Bronce</t>
        </is>
      </c>
      <c r="Z45" t="inlineStr">
        <is>
          <t>Cent</t>
        </is>
      </c>
      <c r="AA45" s="0" t="inlineStr">
        <is>
          <t>Dólar</t>
        </is>
      </c>
      <c r="AB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 s="53">
        <f>IF(OR(TRIM(INDIRECT("B"&amp;ROW())) &lt;&gt; "",TRIM(INDIRECT("A"&amp;ROW())) &lt;&gt; ""),AND(TRIM(INDIRECT("A"&amp;ROW())) &lt;&gt; "",TRIM(INDIRECT("D"&amp;ROW())) = "nuevo"),"")</f>
        <v/>
      </c>
    </row>
    <row r="46" ht="27.5" customHeight="1" s="62">
      <c r="B46" t="inlineStr">
        <is>
          <t>Moneda África Occidental Francesa 10 Francos 1956</t>
        </is>
      </c>
      <c r="C46" s="0">
        <f>LEN(INDIRECT(ADDRESS(ROW() + (0),COLUMN() + (-1))))</f>
        <v/>
      </c>
      <c r="D46" s="0" t="inlineStr">
        <is>
          <t>Usado</t>
        </is>
      </c>
      <c r="E46" s="38" t="inlineStr">
        <is>
          <t>https://numismaticapopper.com/images/135A.jpeg,https://numismaticapopper.com/images/135B.jpeg</t>
        </is>
      </c>
      <c r="F46" t="inlineStr">
        <is>
          <t>135</t>
        </is>
      </c>
      <c r="G46" s="40" t="n">
        <v>1</v>
      </c>
      <c r="H46" t="n">
        <v>11000</v>
      </c>
      <c r="I46" t="inlineStr">
        <is>
          <t>Estado de conservacion: Muy Buena
Referencia de catalogo: KM# 6
Material: Bronce-aluminio
Peso: 4.0 g
Diametro: 23.5 mm
Año único.</t>
        </is>
      </c>
      <c r="J46" s="31">
        <f>IF(INDIRECT(ADDRESS(ROW() + (0),COLUMN() + (1)))="Agregar cuotas", IF(("16%")="", "-", "16%"), IF(INDIRECT(ADDRESS(ROW() + (0),COLUMN() + (1)))="No agregar cuotas", IF(("16%")="", "-", "16%"), "-"))</f>
        <v/>
      </c>
      <c r="K46" s="0" t="inlineStr">
        <is>
          <t>No agregar cuotas</t>
        </is>
      </c>
      <c r="L46" s="31">
        <f>IF(INDIRECT(ADDRESS(ROW() + (0),COLUMN() + (-1)))="Agregar cuotas", IF(("13.4%")="", "Sin costo", "13.4%"), IF(INDIRECT(ADDRESS(ROW() + (0),COLUMN() + (-1)))="No agregar cuotas", IF(("")="", "Sin costo", ""), "-"))</f>
        <v/>
      </c>
      <c r="M46" s="0" t="inlineStr">
        <is>
          <t>Mercado Envíos</t>
        </is>
      </c>
      <c r="N46" s="0" t="inlineStr">
        <is>
          <t>A cargo del comprador</t>
        </is>
      </c>
      <c r="O46" s="0" t="inlineStr">
        <is>
          <t>Acepto</t>
        </is>
      </c>
      <c r="P46" s="47" t="inlineStr">
        <is>
          <t>Sin garantía</t>
        </is>
      </c>
      <c r="R46" s="0" t="inlineStr">
        <is>
          <t>Seleccionar</t>
        </is>
      </c>
      <c r="S46" s="0" t="inlineStr">
        <is>
          <t>No ofrezco</t>
        </is>
      </c>
      <c r="T46" t="n">
        <v>1956</v>
      </c>
      <c r="U46" s="0" t="inlineStr">
        <is>
          <t>Francia</t>
        </is>
      </c>
      <c r="X46" s="0" t="inlineStr">
        <is>
          <t>Bronce</t>
        </is>
      </c>
      <c r="Z46" t="inlineStr">
        <is>
          <t>10 Francos</t>
        </is>
      </c>
      <c r="AA46" s="0" t="inlineStr">
        <is>
          <t>Euro</t>
        </is>
      </c>
      <c r="AB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 s="53">
        <f>IF(OR(TRIM(INDIRECT("B"&amp;ROW())) &lt;&gt; "",TRIM(INDIRECT("A"&amp;ROW())) &lt;&gt; ""),AND(TRIM(INDIRECT("A"&amp;ROW())) &lt;&gt; "",TRIM(INDIRECT("D"&amp;ROW())) = "nuevo"),"")</f>
        <v/>
      </c>
    </row>
    <row r="47" ht="27.5" customHeight="1" s="62">
      <c r="B47" t="inlineStr">
        <is>
          <t>Moneda India Rupia 2008</t>
        </is>
      </c>
      <c r="C47" s="0">
        <f>LEN(INDIRECT(ADDRESS(ROW() + (0),COLUMN() + (-1))))</f>
        <v/>
      </c>
      <c r="D47" s="0" t="inlineStr">
        <is>
          <t>Usado</t>
        </is>
      </c>
      <c r="E47" s="38" t="inlineStr">
        <is>
          <t>https://numismaticapopper.com/images/136A.jpeg,https://numismaticapopper.com/images/136B.jpeg</t>
        </is>
      </c>
      <c r="F47" t="inlineStr">
        <is>
          <t>136</t>
        </is>
      </c>
      <c r="G47" s="40" t="n">
        <v>1</v>
      </c>
      <c r="H47" t="n">
        <v>11000</v>
      </c>
      <c r="I47" t="inlineStr">
        <is>
          <t>Estado de conservacion: Muy Buena
Referencia de catalogo: KM# 331
Material: Acero inoxidable
Peso: 4.8 g
Diametro: 25.0 mm</t>
        </is>
      </c>
      <c r="J47" s="31">
        <f>IF(INDIRECT(ADDRESS(ROW() + (0),COLUMN() + (1)))="Agregar cuotas", IF(("16%")="", "-", "16%"), IF(INDIRECT(ADDRESS(ROW() + (0),COLUMN() + (1)))="No agregar cuotas", IF(("16%")="", "-", "16%"), "-"))</f>
        <v/>
      </c>
      <c r="K47" s="0" t="inlineStr">
        <is>
          <t>No agregar cuotas</t>
        </is>
      </c>
      <c r="L47" s="31">
        <f>IF(INDIRECT(ADDRESS(ROW() + (0),COLUMN() + (-1)))="Agregar cuotas", IF(("13.4%")="", "Sin costo", "13.4%"), IF(INDIRECT(ADDRESS(ROW() + (0),COLUMN() + (-1)))="No agregar cuotas", IF(("")="", "Sin costo", ""), "-"))</f>
        <v/>
      </c>
      <c r="M47" s="0" t="inlineStr">
        <is>
          <t>Mercado Envíos</t>
        </is>
      </c>
      <c r="N47" s="0" t="inlineStr">
        <is>
          <t>A cargo del comprador</t>
        </is>
      </c>
      <c r="O47" s="0" t="inlineStr">
        <is>
          <t>Acepto</t>
        </is>
      </c>
      <c r="P47" s="47" t="inlineStr">
        <is>
          <t>Sin garantía</t>
        </is>
      </c>
      <c r="R47" s="0" t="inlineStr">
        <is>
          <t>Seleccionar</t>
        </is>
      </c>
      <c r="S47" s="0" t="inlineStr">
        <is>
          <t>No ofrezco</t>
        </is>
      </c>
      <c r="T47" t="n">
        <v>2008</v>
      </c>
      <c r="U47" s="0" t="inlineStr">
        <is>
          <t>Inglaterra</t>
        </is>
      </c>
      <c r="X47" s="0" t="inlineStr">
        <is>
          <t>Níquel</t>
        </is>
      </c>
      <c r="Z47" t="inlineStr">
        <is>
          <t>Rupia</t>
        </is>
      </c>
      <c r="AA47" s="0" t="inlineStr">
        <is>
          <t>Dólar</t>
        </is>
      </c>
      <c r="AB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 s="53">
        <f>IF(OR(TRIM(INDIRECT("B"&amp;ROW())) &lt;&gt; "",TRIM(INDIRECT("A"&amp;ROW())) &lt;&gt; ""),AND(TRIM(INDIRECT("A"&amp;ROW())) &lt;&gt; "",TRIM(INDIRECT("D"&amp;ROW())) = "nuevo"),"")</f>
        <v/>
      </c>
    </row>
    <row r="48" ht="27.5" customHeight="1" s="62">
      <c r="B48" t="inlineStr">
        <is>
          <t>Moneda Bolivia 10 Centavos 1883</t>
        </is>
      </c>
      <c r="C48" s="0">
        <f>LEN(INDIRECT(ADDRESS(ROW() + (0),COLUMN() + (-1))))</f>
        <v/>
      </c>
      <c r="D48" s="0" t="inlineStr">
        <is>
          <t>Usado</t>
        </is>
      </c>
      <c r="E48" s="38" t="inlineStr">
        <is>
          <t>https://numismaticapopper.com/images/138A.jpeg,https://numismaticapopper.com/images/138B.jpeg</t>
        </is>
      </c>
      <c r="F48" t="inlineStr">
        <is>
          <t>138</t>
        </is>
      </c>
      <c r="G48" s="40" t="n">
        <v>1</v>
      </c>
      <c r="H48" t="n">
        <v>18000</v>
      </c>
      <c r="I48" t="inlineStr">
        <is>
          <t>Estado de conservacion: Buena
Referencia de catalogo: KM# 170.2
Material: Cupro-níquel
Peso: 3.9 g
Diametro: 21.0 mm
Agujero centrado.</t>
        </is>
      </c>
      <c r="J48" s="31">
        <f>IF(INDIRECT(ADDRESS(ROW() + (0),COLUMN() + (1)))="Agregar cuotas", IF(("16%")="", "-", "16%"), IF(INDIRECT(ADDRESS(ROW() + (0),COLUMN() + (1)))="No agregar cuotas", IF(("16%")="", "-", "16%"), "-"))</f>
        <v/>
      </c>
      <c r="K48" s="0" t="inlineStr">
        <is>
          <t>No agregar cuotas</t>
        </is>
      </c>
      <c r="L48" s="31">
        <f>IF(INDIRECT(ADDRESS(ROW() + (0),COLUMN() + (-1)))="Agregar cuotas", IF(("13.4%")="", "Sin costo", "13.4%"), IF(INDIRECT(ADDRESS(ROW() + (0),COLUMN() + (-1)))="No agregar cuotas", IF(("")="", "Sin costo", ""), "-"))</f>
        <v/>
      </c>
      <c r="M48" s="0" t="inlineStr">
        <is>
          <t>Mercado Envíos</t>
        </is>
      </c>
      <c r="N48" s="0" t="inlineStr">
        <is>
          <t>A cargo del comprador</t>
        </is>
      </c>
      <c r="O48" s="0" t="inlineStr">
        <is>
          <t>Acepto</t>
        </is>
      </c>
      <c r="P48" s="47" t="inlineStr">
        <is>
          <t>Sin garantía</t>
        </is>
      </c>
      <c r="R48" s="0" t="inlineStr">
        <is>
          <t>Seleccionar</t>
        </is>
      </c>
      <c r="S48" s="0" t="inlineStr">
        <is>
          <t>No ofrezco</t>
        </is>
      </c>
      <c r="T48" t="n">
        <v>1883</v>
      </c>
      <c r="U48" s="0" t="inlineStr">
        <is>
          <t>Bolivia</t>
        </is>
      </c>
      <c r="X48" s="0" t="inlineStr">
        <is>
          <t>Níquel</t>
        </is>
      </c>
      <c r="Z48" t="inlineStr">
        <is>
          <t>10 Centavos</t>
        </is>
      </c>
      <c r="AA48" s="0" t="inlineStr">
        <is>
          <t>Peso</t>
        </is>
      </c>
      <c r="AB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 s="53">
        <f>IF(OR(TRIM(INDIRECT("B"&amp;ROW())) &lt;&gt; "",TRIM(INDIRECT("A"&amp;ROW())) &lt;&gt; ""),AND(TRIM(INDIRECT("A"&amp;ROW())) &lt;&gt; "",TRIM(INDIRECT("D"&amp;ROW())) = "nuevo"),"")</f>
        <v/>
      </c>
    </row>
    <row r="49" ht="27.5" customHeight="1" s="62">
      <c r="B49" t="inlineStr">
        <is>
          <t>Moneda Uruguay Peso 1942</t>
        </is>
      </c>
      <c r="C49" s="0">
        <f>LEN(INDIRECT(ADDRESS(ROW() + (0),COLUMN() + (-1))))</f>
        <v/>
      </c>
      <c r="D49" s="0" t="inlineStr">
        <is>
          <t>Usado</t>
        </is>
      </c>
      <c r="E49" s="38" t="inlineStr">
        <is>
          <t>https://numismaticapopper.com/images/140A.jpeg,https://numismaticapopper.com/images/140B.jpeg</t>
        </is>
      </c>
      <c r="F49" t="inlineStr">
        <is>
          <t>140</t>
        </is>
      </c>
      <c r="G49" s="40" t="n">
        <v>1</v>
      </c>
      <c r="H49" t="n">
        <v>29000</v>
      </c>
      <c r="I49" t="inlineStr">
        <is>
          <t>Estado de conservacion: Buena +
Referencia de catalogo: KM# 30
Material: Plata .720
Peso: 9.0 g
Diametro: 27.0 mm</t>
        </is>
      </c>
      <c r="J49" s="31">
        <f>IF(INDIRECT(ADDRESS(ROW() + (0),COLUMN() + (1)))="Agregar cuotas", IF(("16%")="", "-", "16%"), IF(INDIRECT(ADDRESS(ROW() + (0),COLUMN() + (1)))="No agregar cuotas", IF(("16%")="", "-", "16%"), "-"))</f>
        <v/>
      </c>
      <c r="K49" s="0" t="inlineStr">
        <is>
          <t>No agregar cuotas</t>
        </is>
      </c>
      <c r="L49" s="31">
        <f>IF(INDIRECT(ADDRESS(ROW() + (0),COLUMN() + (-1)))="Agregar cuotas", IF(("13.4%")="", "Sin costo", "13.4%"), IF(INDIRECT(ADDRESS(ROW() + (0),COLUMN() + (-1)))="No agregar cuotas", IF(("")="", "Sin costo", ""), "-"))</f>
        <v/>
      </c>
      <c r="M49" s="0" t="inlineStr">
        <is>
          <t>Mercado Envíos</t>
        </is>
      </c>
      <c r="N49" s="0" t="inlineStr">
        <is>
          <t>A cargo del comprador</t>
        </is>
      </c>
      <c r="O49" s="0" t="inlineStr">
        <is>
          <t>Acepto</t>
        </is>
      </c>
      <c r="P49" s="47" t="inlineStr">
        <is>
          <t>Sin garantía</t>
        </is>
      </c>
      <c r="R49" s="0" t="inlineStr">
        <is>
          <t>Seleccionar</t>
        </is>
      </c>
      <c r="S49" s="0" t="inlineStr">
        <is>
          <t>No ofrezco</t>
        </is>
      </c>
      <c r="T49" t="n">
        <v>1942</v>
      </c>
      <c r="U49" s="0" t="inlineStr">
        <is>
          <t>Uruguay</t>
        </is>
      </c>
      <c r="X49" s="0" t="inlineStr">
        <is>
          <t>Plata</t>
        </is>
      </c>
      <c r="Z49" t="inlineStr">
        <is>
          <t>Peso</t>
        </is>
      </c>
      <c r="AA49" s="0" t="inlineStr">
        <is>
          <t>Peso</t>
        </is>
      </c>
      <c r="AB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 s="53">
        <f>IF(OR(TRIM(INDIRECT("B"&amp;ROW())) &lt;&gt; "",TRIM(INDIRECT("A"&amp;ROW())) &lt;&gt; ""),AND(TRIM(INDIRECT("A"&amp;ROW())) &lt;&gt; "",TRIM(INDIRECT("D"&amp;ROW())) = "nuevo"),"")</f>
        <v/>
      </c>
    </row>
    <row r="50" ht="27.5" customHeight="1" s="62">
      <c r="B50" t="inlineStr">
        <is>
          <t>Moneda Guatemala 25 Centavos 1960</t>
        </is>
      </c>
      <c r="C50" s="0">
        <f>LEN(INDIRECT(ADDRESS(ROW() + (0),COLUMN() + (-1))))</f>
        <v/>
      </c>
      <c r="D50" s="0" t="inlineStr">
        <is>
          <t>Usado</t>
        </is>
      </c>
      <c r="E50" s="38" t="inlineStr">
        <is>
          <t>https://numismaticapopper.com/images/144A.jpeg,https://numismaticapopper.com/images/144B.jpeg</t>
        </is>
      </c>
      <c r="F50" t="inlineStr">
        <is>
          <t>144</t>
        </is>
      </c>
      <c r="G50" s="40" t="n">
        <v>1</v>
      </c>
      <c r="H50" t="n">
        <v>31000</v>
      </c>
      <c r="I50" t="inlineStr">
        <is>
          <t>Estado de conservacion: Excelente -
Referencia de catalogo: KM# 263
Material: Plata .720
Peso: 8.33 g
Diametro: 27.0 mm
Tirada: 560.000
Reverso moneda y un importante giro.</t>
        </is>
      </c>
      <c r="J50" s="31">
        <f>IF(INDIRECT(ADDRESS(ROW() + (0),COLUMN() + (1)))="Agregar cuotas", IF(("16%")="", "-", "16%"), IF(INDIRECT(ADDRESS(ROW() + (0),COLUMN() + (1)))="No agregar cuotas", IF(("16%")="", "-", "16%"), "-"))</f>
        <v/>
      </c>
      <c r="K50" s="0" t="inlineStr">
        <is>
          <t>No agregar cuotas</t>
        </is>
      </c>
      <c r="L50" s="31">
        <f>IF(INDIRECT(ADDRESS(ROW() + (0),COLUMN() + (-1)))="Agregar cuotas", IF(("13.4%")="", "Sin costo", "13.4%"), IF(INDIRECT(ADDRESS(ROW() + (0),COLUMN() + (-1)))="No agregar cuotas", IF(("")="", "Sin costo", ""), "-"))</f>
        <v/>
      </c>
      <c r="M50" s="0" t="inlineStr">
        <is>
          <t>Mercado Envíos</t>
        </is>
      </c>
      <c r="N50" s="0" t="inlineStr">
        <is>
          <t>A cargo del comprador</t>
        </is>
      </c>
      <c r="O50" s="0" t="inlineStr">
        <is>
          <t>Acepto</t>
        </is>
      </c>
      <c r="P50" s="47" t="inlineStr">
        <is>
          <t>Sin garantía</t>
        </is>
      </c>
      <c r="R50" s="0" t="inlineStr">
        <is>
          <t>Seleccionar</t>
        </is>
      </c>
      <c r="S50" s="0" t="inlineStr">
        <is>
          <t>No ofrezco</t>
        </is>
      </c>
      <c r="T50" t="n">
        <v>1960</v>
      </c>
      <c r="U50" s="0" t="inlineStr">
        <is>
          <t>México</t>
        </is>
      </c>
      <c r="X50" s="0" t="inlineStr">
        <is>
          <t>Plata</t>
        </is>
      </c>
      <c r="Z50" t="inlineStr">
        <is>
          <t>25 Centavos</t>
        </is>
      </c>
      <c r="AA50" s="0" t="inlineStr">
        <is>
          <t>Peso</t>
        </is>
      </c>
      <c r="AB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 s="53">
        <f>IF(OR(TRIM(INDIRECT("B"&amp;ROW())) &lt;&gt; "",TRIM(INDIRECT("A"&amp;ROW())) &lt;&gt; ""),AND(TRIM(INDIRECT("A"&amp;ROW())) &lt;&gt; "",TRIM(INDIRECT("D"&amp;ROW())) = "nuevo"),"")</f>
        <v/>
      </c>
    </row>
    <row r="51" ht="27.5" customHeight="1" s="62">
      <c r="B51" t="inlineStr">
        <is>
          <t>Moneda Argentina 2 Centavos 1896</t>
        </is>
      </c>
      <c r="C51" s="0">
        <f>LEN(INDIRECT(ADDRESS(ROW() + (0),COLUMN() + (-1))))</f>
        <v/>
      </c>
      <c r="D51" s="0" t="inlineStr">
        <is>
          <t>Usado</t>
        </is>
      </c>
      <c r="E51" s="38" t="inlineStr">
        <is>
          <t>https://numismaticapopper.com/images/146A.jpeg,https://numismaticapopper.com/images/146B.jpeg</t>
        </is>
      </c>
      <c r="F51" t="inlineStr">
        <is>
          <t>146</t>
        </is>
      </c>
      <c r="G51" s="40" t="n">
        <v>1</v>
      </c>
      <c r="H51" t="n">
        <v>22000</v>
      </c>
      <c r="I51" t="inlineStr">
        <is>
          <t>Estado de conservacion: Buena
Referencia de catalogo: CJ# 37
Material: Bronce
Peso: 10.0 g
Diametro: 30.0 mm
Tirada: 596.000
Escasa.</t>
        </is>
      </c>
      <c r="J51" s="31">
        <f>IF(INDIRECT(ADDRESS(ROW() + (0),COLUMN() + (1)))="Agregar cuotas", IF(("16%")="", "-", "16%"), IF(INDIRECT(ADDRESS(ROW() + (0),COLUMN() + (1)))="No agregar cuotas", IF(("16%")="", "-", "16%"), "-"))</f>
        <v/>
      </c>
      <c r="K51" s="0" t="inlineStr">
        <is>
          <t>No agregar cuotas</t>
        </is>
      </c>
      <c r="L51" s="31">
        <f>IF(INDIRECT(ADDRESS(ROW() + (0),COLUMN() + (-1)))="Agregar cuotas", IF(("13.4%")="", "Sin costo", "13.4%"), IF(INDIRECT(ADDRESS(ROW() + (0),COLUMN() + (-1)))="No agregar cuotas", IF(("")="", "Sin costo", ""), "-"))</f>
        <v/>
      </c>
      <c r="M51" s="0" t="inlineStr">
        <is>
          <t>Mercado Envíos</t>
        </is>
      </c>
      <c r="N51" s="0" t="inlineStr">
        <is>
          <t>A cargo del comprador</t>
        </is>
      </c>
      <c r="O51" s="0" t="inlineStr">
        <is>
          <t>Acepto</t>
        </is>
      </c>
      <c r="P51" s="47" t="inlineStr">
        <is>
          <t>Sin garantía</t>
        </is>
      </c>
      <c r="R51" s="0" t="inlineStr">
        <is>
          <t>Seleccionar</t>
        </is>
      </c>
      <c r="S51" s="0" t="inlineStr">
        <is>
          <t>No ofrezco</t>
        </is>
      </c>
      <c r="T51" t="n">
        <v>1896</v>
      </c>
      <c r="U51" s="0" t="inlineStr">
        <is>
          <t>Argentina</t>
        </is>
      </c>
      <c r="X51" s="0" t="inlineStr">
        <is>
          <t>Bronce</t>
        </is>
      </c>
      <c r="Z51" t="inlineStr">
        <is>
          <t>2 Centavos</t>
        </is>
      </c>
      <c r="AA51" s="0" t="inlineStr">
        <is>
          <t>Peso</t>
        </is>
      </c>
      <c r="AB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 s="53">
        <f>IF(OR(TRIM(INDIRECT("B"&amp;ROW())) &lt;&gt; "",TRIM(INDIRECT("A"&amp;ROW())) &lt;&gt; ""),AND(TRIM(INDIRECT("A"&amp;ROW())) &lt;&gt; "",TRIM(INDIRECT("D"&amp;ROW())) = "nuevo"),"")</f>
        <v/>
      </c>
    </row>
    <row r="52" ht="27.5" customHeight="1" s="62">
      <c r="B52" t="inlineStr">
        <is>
          <t>Moneda Bolivia 10 Centavos 1892</t>
        </is>
      </c>
      <c r="C52" s="0">
        <f>LEN(INDIRECT(ADDRESS(ROW() + (0),COLUMN() + (-1))))</f>
        <v/>
      </c>
      <c r="D52" s="0" t="inlineStr">
        <is>
          <t>Usado</t>
        </is>
      </c>
      <c r="E52" s="38" t="inlineStr">
        <is>
          <t>https://numismaticapopper.com/images/151A.jpeg,https://numismaticapopper.com/images/151B.jpeg</t>
        </is>
      </c>
      <c r="F52" t="inlineStr">
        <is>
          <t>151</t>
        </is>
      </c>
      <c r="G52" s="40" t="n">
        <v>1</v>
      </c>
      <c r="H52" t="n">
        <v>15000</v>
      </c>
      <c r="I52" t="inlineStr">
        <is>
          <t>Estado de conservacion: Buena
Referencia de catalogo: KM# 172
Material: Cuproníquel
Peso: 5.0 g
Diametro: 25.0 mm
Tirada: 1.000.000
Agujero centrado.</t>
        </is>
      </c>
      <c r="J52" s="31">
        <f>IF(INDIRECT(ADDRESS(ROW() + (0),COLUMN() + (1)))="Agregar cuotas", IF(("16%")="", "-", "16%"), IF(INDIRECT(ADDRESS(ROW() + (0),COLUMN() + (1)))="No agregar cuotas", IF(("16%")="", "-", "16%"), "-"))</f>
        <v/>
      </c>
      <c r="K52" s="0" t="inlineStr">
        <is>
          <t>No agregar cuotas</t>
        </is>
      </c>
      <c r="L52" s="31">
        <f>IF(INDIRECT(ADDRESS(ROW() + (0),COLUMN() + (-1)))="Agregar cuotas", IF(("13.4%")="", "Sin costo", "13.4%"), IF(INDIRECT(ADDRESS(ROW() + (0),COLUMN() + (-1)))="No agregar cuotas", IF(("")="", "Sin costo", ""), "-"))</f>
        <v/>
      </c>
      <c r="M52" s="0" t="inlineStr">
        <is>
          <t>Mercado Envíos</t>
        </is>
      </c>
      <c r="N52" s="0" t="inlineStr">
        <is>
          <t>A cargo del comprador</t>
        </is>
      </c>
      <c r="O52" s="0" t="inlineStr">
        <is>
          <t>Acepto</t>
        </is>
      </c>
      <c r="P52" s="47" t="inlineStr">
        <is>
          <t>Sin garantía</t>
        </is>
      </c>
      <c r="R52" s="0" t="inlineStr">
        <is>
          <t>Seleccionar</t>
        </is>
      </c>
      <c r="S52" s="0" t="inlineStr">
        <is>
          <t>No ofrezco</t>
        </is>
      </c>
      <c r="T52" t="n">
        <v>1892</v>
      </c>
      <c r="U52" s="0" t="inlineStr">
        <is>
          <t>Bolivia</t>
        </is>
      </c>
      <c r="X52" s="0" t="inlineStr">
        <is>
          <t>Níquel</t>
        </is>
      </c>
      <c r="Z52" t="inlineStr">
        <is>
          <t>10 Centavos</t>
        </is>
      </c>
      <c r="AA52" s="0" t="inlineStr">
        <is>
          <t>Peso</t>
        </is>
      </c>
      <c r="AB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 s="53">
        <f>IF(OR(TRIM(INDIRECT("B"&amp;ROW())) &lt;&gt; "",TRIM(INDIRECT("A"&amp;ROW())) &lt;&gt; ""),AND(TRIM(INDIRECT("A"&amp;ROW())) &lt;&gt; "",TRIM(INDIRECT("D"&amp;ROW())) = "nuevo"),"")</f>
        <v/>
      </c>
    </row>
    <row r="53" ht="27.5" customHeight="1" s="62">
      <c r="B53" t="inlineStr">
        <is>
          <t>Moneda Portugal 5 Centavos 1927</t>
        </is>
      </c>
      <c r="C53" s="0">
        <f>LEN(INDIRECT(ADDRESS(ROW() + (0),COLUMN() + (-1))))</f>
        <v/>
      </c>
      <c r="D53" s="0" t="inlineStr">
        <is>
          <t>Usado</t>
        </is>
      </c>
      <c r="E53" s="38" t="inlineStr">
        <is>
          <t>https://numismaticapopper.com/images/157A.jpeg,https://numismaticapopper.com/images/157B.jpeg</t>
        </is>
      </c>
      <c r="F53" t="inlineStr">
        <is>
          <t>157</t>
        </is>
      </c>
      <c r="G53" s="40" t="n">
        <v>1</v>
      </c>
      <c r="H53" t="n">
        <v>11000</v>
      </c>
      <c r="I53" t="inlineStr">
        <is>
          <t>Estado de conservacion: Muy Buena
Referencia de catalogo: KM# 572
Material: Bronce
Peso: 3.1 g
Diametro: 19.2 mm</t>
        </is>
      </c>
      <c r="J53" s="31">
        <f>IF(INDIRECT(ADDRESS(ROW() + (0),COLUMN() + (1)))="Agregar cuotas", IF(("16%")="", "-", "16%"), IF(INDIRECT(ADDRESS(ROW() + (0),COLUMN() + (1)))="No agregar cuotas", IF(("16%")="", "-", "16%"), "-"))</f>
        <v/>
      </c>
      <c r="K53" s="0" t="inlineStr">
        <is>
          <t>No agregar cuotas</t>
        </is>
      </c>
      <c r="L53" s="31">
        <f>IF(INDIRECT(ADDRESS(ROW() + (0),COLUMN() + (-1)))="Agregar cuotas", IF(("13.4%")="", "Sin costo", "13.4%"), IF(INDIRECT(ADDRESS(ROW() + (0),COLUMN() + (-1)))="No agregar cuotas", IF(("")="", "Sin costo", ""), "-"))</f>
        <v/>
      </c>
      <c r="M53" s="0" t="inlineStr">
        <is>
          <t>Mercado Envíos</t>
        </is>
      </c>
      <c r="N53" s="0" t="inlineStr">
        <is>
          <t>A cargo del comprador</t>
        </is>
      </c>
      <c r="O53" s="0" t="inlineStr">
        <is>
          <t>Acepto</t>
        </is>
      </c>
      <c r="P53" s="47" t="inlineStr">
        <is>
          <t>Sin garantía</t>
        </is>
      </c>
      <c r="R53" s="0" t="inlineStr">
        <is>
          <t>Seleccionar</t>
        </is>
      </c>
      <c r="S53" s="0" t="inlineStr">
        <is>
          <t>No ofrezco</t>
        </is>
      </c>
      <c r="T53" t="n">
        <v>1927</v>
      </c>
      <c r="U53" s="0" t="inlineStr">
        <is>
          <t>Portugal</t>
        </is>
      </c>
      <c r="X53" s="0" t="inlineStr">
        <is>
          <t>Bronce</t>
        </is>
      </c>
      <c r="Z53" t="inlineStr">
        <is>
          <t>5 Centavos</t>
        </is>
      </c>
      <c r="AA53" s="0" t="inlineStr">
        <is>
          <t>Peso</t>
        </is>
      </c>
      <c r="AB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 s="53">
        <f>IF(OR(TRIM(INDIRECT("B"&amp;ROW())) &lt;&gt; "",TRIM(INDIRECT("A"&amp;ROW())) &lt;&gt; ""),AND(TRIM(INDIRECT("A"&amp;ROW())) &lt;&gt; "",TRIM(INDIRECT("D"&amp;ROW())) = "nuevo"),"")</f>
        <v/>
      </c>
    </row>
    <row r="54" ht="27.5" customHeight="1" s="62">
      <c r="B54" t="inlineStr">
        <is>
          <t>Moneda Suiza 10 Rappen 1903</t>
        </is>
      </c>
      <c r="C54" s="0">
        <f>LEN(INDIRECT(ADDRESS(ROW() + (0),COLUMN() + (-1))))</f>
        <v/>
      </c>
      <c r="D54" s="0" t="inlineStr">
        <is>
          <t>Usado</t>
        </is>
      </c>
      <c r="E54" s="38" t="inlineStr">
        <is>
          <t>https://numismaticapopper.com/images/164A.jpeg,https://numismaticapopper.com/images/164B.jpeg</t>
        </is>
      </c>
      <c r="F54" t="inlineStr">
        <is>
          <t>164</t>
        </is>
      </c>
      <c r="G54" s="40" t="n">
        <v>1</v>
      </c>
      <c r="H54" t="n">
        <v>11000</v>
      </c>
      <c r="I54" t="inlineStr">
        <is>
          <t>Estado de conservacion: Excelente -
Referencia de catalogo: KM# 27
Material: Cuproníquel
Peso: 3.0 g
Diametro: 19.15 mm
Tirada: 1.000.000</t>
        </is>
      </c>
      <c r="J54" s="31">
        <f>IF(INDIRECT(ADDRESS(ROW() + (0),COLUMN() + (1)))="Agregar cuotas", IF(("16%")="", "-", "16%"), IF(INDIRECT(ADDRESS(ROW() + (0),COLUMN() + (1)))="No agregar cuotas", IF(("16%")="", "-", "16%"), "-"))</f>
        <v/>
      </c>
      <c r="K54" s="0" t="inlineStr">
        <is>
          <t>No agregar cuotas</t>
        </is>
      </c>
      <c r="L54" s="31">
        <f>IF(INDIRECT(ADDRESS(ROW() + (0),COLUMN() + (-1)))="Agregar cuotas", IF(("13.4%")="", "Sin costo", "13.4%"), IF(INDIRECT(ADDRESS(ROW() + (0),COLUMN() + (-1)))="No agregar cuotas", IF(("")="", "Sin costo", ""), "-"))</f>
        <v/>
      </c>
      <c r="M54" s="0" t="inlineStr">
        <is>
          <t>Mercado Envíos</t>
        </is>
      </c>
      <c r="N54" s="0" t="inlineStr">
        <is>
          <t>A cargo del comprador</t>
        </is>
      </c>
      <c r="O54" s="0" t="inlineStr">
        <is>
          <t>Acepto</t>
        </is>
      </c>
      <c r="P54" s="47" t="inlineStr">
        <is>
          <t>Sin garantía</t>
        </is>
      </c>
      <c r="R54" s="0" t="inlineStr">
        <is>
          <t>Seleccionar</t>
        </is>
      </c>
      <c r="S54" s="0" t="inlineStr">
        <is>
          <t>No ofrezco</t>
        </is>
      </c>
      <c r="T54" t="n">
        <v>1903</v>
      </c>
      <c r="U54" s="0" t="inlineStr">
        <is>
          <t>Alemania</t>
        </is>
      </c>
      <c r="X54" s="0" t="inlineStr">
        <is>
          <t>Níquel</t>
        </is>
      </c>
      <c r="Z54" t="inlineStr">
        <is>
          <t>10 Rappen</t>
        </is>
      </c>
      <c r="AA54" s="0" t="inlineStr">
        <is>
          <t>Euro</t>
        </is>
      </c>
      <c r="AB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 s="53">
        <f>IF(OR(TRIM(INDIRECT("B"&amp;ROW())) &lt;&gt; "",TRIM(INDIRECT("A"&amp;ROW())) &lt;&gt; ""),AND(TRIM(INDIRECT("A"&amp;ROW())) &lt;&gt; "",TRIM(INDIRECT("D"&amp;ROW())) = "nuevo"),"")</f>
        <v/>
      </c>
    </row>
    <row r="55" ht="27.5" customHeight="1" s="62">
      <c r="B55" t="inlineStr">
        <is>
          <t>Moneda Estados Unidos Album Bicentennial 1776 1976</t>
        </is>
      </c>
      <c r="C55" s="0">
        <f>LEN(INDIRECT(ADDRESS(ROW() + (0),COLUMN() + (-1))))</f>
        <v/>
      </c>
      <c r="D55" s="0" t="inlineStr">
        <is>
          <t>Usado</t>
        </is>
      </c>
      <c r="E55" s="38" t="inlineStr">
        <is>
          <t>https://numismaticapopper.com/images/165A.jpeg,https://numismaticapopper.com/images/165B.jpeg</t>
        </is>
      </c>
      <c r="F55" t="inlineStr">
        <is>
          <t>165</t>
        </is>
      </c>
      <c r="G55" s="40" t="n">
        <v>1</v>
      </c>
      <c r="H55" t="n">
        <v>22000</v>
      </c>
      <c r="I55" t="inlineStr">
        <is>
          <t>Estado de conservacion: Sin Circular
Editorial: AlbumsCoins</t>
        </is>
      </c>
      <c r="J55" s="31">
        <f>IF(INDIRECT(ADDRESS(ROW() + (0),COLUMN() + (1)))="Agregar cuotas", IF(("16%")="", "-", "16%"), IF(INDIRECT(ADDRESS(ROW() + (0),COLUMN() + (1)))="No agregar cuotas", IF(("16%")="", "-", "16%"), "-"))</f>
        <v/>
      </c>
      <c r="K55" s="0" t="inlineStr">
        <is>
          <t>No agregar cuotas</t>
        </is>
      </c>
      <c r="L55" s="31">
        <f>IF(INDIRECT(ADDRESS(ROW() + (0),COLUMN() + (-1)))="Agregar cuotas", IF(("13.4%")="", "Sin costo", "13.4%"), IF(INDIRECT(ADDRESS(ROW() + (0),COLUMN() + (-1)))="No agregar cuotas", IF(("")="", "Sin costo", ""), "-"))</f>
        <v/>
      </c>
      <c r="M55" s="0" t="inlineStr">
        <is>
          <t>Mercado Envíos</t>
        </is>
      </c>
      <c r="N55" s="0" t="inlineStr">
        <is>
          <t>A cargo del comprador</t>
        </is>
      </c>
      <c r="O55" s="0" t="inlineStr">
        <is>
          <t>Acepto</t>
        </is>
      </c>
      <c r="P55" s="47" t="inlineStr">
        <is>
          <t>Sin garantía</t>
        </is>
      </c>
      <c r="R55" s="0" t="inlineStr">
        <is>
          <t>Seleccionar</t>
        </is>
      </c>
      <c r="S55" s="0" t="inlineStr">
        <is>
          <t>No ofrezco</t>
        </is>
      </c>
      <c r="T55" t="n">
        <v>1976</v>
      </c>
      <c r="U55" s="0" t="inlineStr">
        <is>
          <t>Estados Unidos</t>
        </is>
      </c>
      <c r="X55" s="0" t="inlineStr">
        <is>
          <t>Níquel</t>
        </is>
      </c>
      <c r="Z55" t="inlineStr">
        <is>
          <t>Album Bicentennial 1776</t>
        </is>
      </c>
      <c r="AA55" s="0" t="inlineStr">
        <is>
          <t>Dólar</t>
        </is>
      </c>
      <c r="AB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 s="53">
        <f>IF(OR(TRIM(INDIRECT("B"&amp;ROW())) &lt;&gt; "",TRIM(INDIRECT("A"&amp;ROW())) &lt;&gt; ""),AND(TRIM(INDIRECT("A"&amp;ROW())) &lt;&gt; "",TRIM(INDIRECT("D"&amp;ROW())) = "nuevo"),"")</f>
        <v/>
      </c>
    </row>
    <row r="56" ht="27.5" customHeight="1" s="62">
      <c r="B56" t="inlineStr">
        <is>
          <t>Moneda Estados Unidos Album Commemorative Cents 2009</t>
        </is>
      </c>
      <c r="C56" s="0">
        <f>LEN(INDIRECT(ADDRESS(ROW() + (0),COLUMN() + (-1))))</f>
        <v/>
      </c>
      <c r="D56" s="0" t="inlineStr">
        <is>
          <t>Usado</t>
        </is>
      </c>
      <c r="E56" s="38" t="inlineStr">
        <is>
          <t>https://numismaticapopper.com/images/166A.jpeg,https://numismaticapopper.com/images/166B.jpeg</t>
        </is>
      </c>
      <c r="F56" t="inlineStr">
        <is>
          <t>166</t>
        </is>
      </c>
      <c r="G56" s="40" t="n">
        <v>1</v>
      </c>
      <c r="H56" t="n">
        <v>22000</v>
      </c>
      <c r="I56" t="inlineStr">
        <is>
          <t>Estado de conservacion: Sin Circular
Editorial: AlbumsCoins</t>
        </is>
      </c>
      <c r="J56" s="31">
        <f>IF(INDIRECT(ADDRESS(ROW() + (0),COLUMN() + (1)))="Agregar cuotas", IF(("16%")="", "-", "16%"), IF(INDIRECT(ADDRESS(ROW() + (0),COLUMN() + (1)))="No agregar cuotas", IF(("16%")="", "-", "16%"), "-"))</f>
        <v/>
      </c>
      <c r="K56" s="0" t="inlineStr">
        <is>
          <t>No agregar cuotas</t>
        </is>
      </c>
      <c r="L56" s="31">
        <f>IF(INDIRECT(ADDRESS(ROW() + (0),COLUMN() + (-1)))="Agregar cuotas", IF(("13.4%")="", "Sin costo", "13.4%"), IF(INDIRECT(ADDRESS(ROW() + (0),COLUMN() + (-1)))="No agregar cuotas", IF(("")="", "Sin costo", ""), "-"))</f>
        <v/>
      </c>
      <c r="M56" s="0" t="inlineStr">
        <is>
          <t>Mercado Envíos</t>
        </is>
      </c>
      <c r="N56" s="0" t="inlineStr">
        <is>
          <t>A cargo del comprador</t>
        </is>
      </c>
      <c r="O56" s="0" t="inlineStr">
        <is>
          <t>Acepto</t>
        </is>
      </c>
      <c r="P56" s="47" t="inlineStr">
        <is>
          <t>Sin garantía</t>
        </is>
      </c>
      <c r="R56" s="0" t="inlineStr">
        <is>
          <t>Seleccionar</t>
        </is>
      </c>
      <c r="S56" s="0" t="inlineStr">
        <is>
          <t>No ofrezco</t>
        </is>
      </c>
      <c r="T56" t="n">
        <v>2009</v>
      </c>
      <c r="U56" s="0" t="inlineStr">
        <is>
          <t>Estados Unidos</t>
        </is>
      </c>
      <c r="X56" s="0" t="inlineStr">
        <is>
          <t>Níquel</t>
        </is>
      </c>
      <c r="Z56" t="inlineStr">
        <is>
          <t>Album Commemorative Cents</t>
        </is>
      </c>
      <c r="AA56" s="0" t="inlineStr">
        <is>
          <t>Dólar</t>
        </is>
      </c>
      <c r="AB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 s="53">
        <f>IF(OR(TRIM(INDIRECT("B"&amp;ROW())) &lt;&gt; "",TRIM(INDIRECT("A"&amp;ROW())) &lt;&gt; ""),AND(TRIM(INDIRECT("A"&amp;ROW())) &lt;&gt; "",TRIM(INDIRECT("D"&amp;ROW())) = "nuevo"),"")</f>
        <v/>
      </c>
    </row>
    <row r="57" ht="27.5" customHeight="1" s="62">
      <c r="B57" t="inlineStr">
        <is>
          <t>Moneda Estados Unidos Album Commemorative Nickels 2004 2005</t>
        </is>
      </c>
      <c r="C57" s="0">
        <f>LEN(INDIRECT(ADDRESS(ROW() + (0),COLUMN() + (-1))))</f>
        <v/>
      </c>
      <c r="D57" s="0" t="inlineStr">
        <is>
          <t>Usado</t>
        </is>
      </c>
      <c r="E57" s="38" t="inlineStr">
        <is>
          <t>https://numismaticapopper.com/images/167A.jpeg,https://numismaticapopper.com/images/167B.jpeg</t>
        </is>
      </c>
      <c r="F57" t="inlineStr">
        <is>
          <t>167</t>
        </is>
      </c>
      <c r="G57" s="40" t="n">
        <v>1</v>
      </c>
      <c r="H57" t="n">
        <v>22000</v>
      </c>
      <c r="I57" t="inlineStr">
        <is>
          <t>Estado de conservacion: Sin Circular
Editorial: AlbumsCoins</t>
        </is>
      </c>
      <c r="J57" s="31">
        <f>IF(INDIRECT(ADDRESS(ROW() + (0),COLUMN() + (1)))="Agregar cuotas", IF(("16%")="", "-", "16%"), IF(INDIRECT(ADDRESS(ROW() + (0),COLUMN() + (1)))="No agregar cuotas", IF(("16%")="", "-", "16%"), "-"))</f>
        <v/>
      </c>
      <c r="K57" s="0" t="inlineStr">
        <is>
          <t>No agregar cuotas</t>
        </is>
      </c>
      <c r="L57" s="31">
        <f>IF(INDIRECT(ADDRESS(ROW() + (0),COLUMN() + (-1)))="Agregar cuotas", IF(("13.4%")="", "Sin costo", "13.4%"), IF(INDIRECT(ADDRESS(ROW() + (0),COLUMN() + (-1)))="No agregar cuotas", IF(("")="", "Sin costo", ""), "-"))</f>
        <v/>
      </c>
      <c r="M57" s="0" t="inlineStr">
        <is>
          <t>Mercado Envíos</t>
        </is>
      </c>
      <c r="N57" s="0" t="inlineStr">
        <is>
          <t>A cargo del comprador</t>
        </is>
      </c>
      <c r="O57" s="0" t="inlineStr">
        <is>
          <t>Acepto</t>
        </is>
      </c>
      <c r="P57" s="47" t="inlineStr">
        <is>
          <t>Sin garantía</t>
        </is>
      </c>
      <c r="R57" s="0" t="inlineStr">
        <is>
          <t>Seleccionar</t>
        </is>
      </c>
      <c r="S57" s="0" t="inlineStr">
        <is>
          <t>No ofrezco</t>
        </is>
      </c>
      <c r="T57" t="n">
        <v>2005</v>
      </c>
      <c r="U57" s="0" t="inlineStr">
        <is>
          <t>Estados Unidos</t>
        </is>
      </c>
      <c r="X57" s="0" t="inlineStr">
        <is>
          <t>Níquel</t>
        </is>
      </c>
      <c r="Z57" t="inlineStr">
        <is>
          <t>Album Commemorative Nickels 2004</t>
        </is>
      </c>
      <c r="AA57" s="0" t="inlineStr">
        <is>
          <t>Dólar</t>
        </is>
      </c>
      <c r="AB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 s="53">
        <f>IF(OR(TRIM(INDIRECT("B"&amp;ROW())) &lt;&gt; "",TRIM(INDIRECT("A"&amp;ROW())) &lt;&gt; ""),AND(TRIM(INDIRECT("A"&amp;ROW())) &lt;&gt; "",TRIM(INDIRECT("D"&amp;ROW())) = "nuevo"),"")</f>
        <v/>
      </c>
    </row>
    <row r="58" ht="27.5" customHeight="1" s="62">
      <c r="B58" t="inlineStr">
        <is>
          <t>Moneda Argentina Peso Mercosur 1998</t>
        </is>
      </c>
      <c r="C58" s="0">
        <f>LEN(INDIRECT(ADDRESS(ROW() + (0),COLUMN() + (-1))))</f>
        <v/>
      </c>
      <c r="D58" s="0" t="inlineStr">
        <is>
          <t>Usado</t>
        </is>
      </c>
      <c r="E58" s="38" t="inlineStr">
        <is>
          <t>https://numismaticapopper.com/images/175A.jpeg,https://numismaticapopper.com/images/175B.jpeg</t>
        </is>
      </c>
      <c r="F58" t="inlineStr">
        <is>
          <t>175</t>
        </is>
      </c>
      <c r="G58" s="40" t="n">
        <v>1</v>
      </c>
      <c r="H58" t="n">
        <v>13000</v>
      </c>
      <c r="I58" t="inlineStr">
        <is>
          <t>Estado de conservacion: Excelente -
Referencia de catalogo: CJ# 6
Material: Bimetálica
Tirada: 496.000
Escasa, solo 496k acuñadas.</t>
        </is>
      </c>
      <c r="J58" s="31">
        <f>IF(INDIRECT(ADDRESS(ROW() + (0),COLUMN() + (1)))="Agregar cuotas", IF(("16%")="", "-", "16%"), IF(INDIRECT(ADDRESS(ROW() + (0),COLUMN() + (1)))="No agregar cuotas", IF(("16%")="", "-", "16%"), "-"))</f>
        <v/>
      </c>
      <c r="K58" s="0" t="inlineStr">
        <is>
          <t>No agregar cuotas</t>
        </is>
      </c>
      <c r="L58" s="31">
        <f>IF(INDIRECT(ADDRESS(ROW() + (0),COLUMN() + (-1)))="Agregar cuotas", IF(("13.4%")="", "Sin costo", "13.4%"), IF(INDIRECT(ADDRESS(ROW() + (0),COLUMN() + (-1)))="No agregar cuotas", IF(("")="", "Sin costo", ""), "-"))</f>
        <v/>
      </c>
      <c r="M58" s="0" t="inlineStr">
        <is>
          <t>Mercado Envíos</t>
        </is>
      </c>
      <c r="N58" s="0" t="inlineStr">
        <is>
          <t>A cargo del comprador</t>
        </is>
      </c>
      <c r="O58" s="0" t="inlineStr">
        <is>
          <t>Acepto</t>
        </is>
      </c>
      <c r="P58" s="47" t="inlineStr">
        <is>
          <t>Sin garantía</t>
        </is>
      </c>
      <c r="R58" s="0" t="inlineStr">
        <is>
          <t>Seleccionar</t>
        </is>
      </c>
      <c r="S58" s="0" t="inlineStr">
        <is>
          <t>No ofrezco</t>
        </is>
      </c>
      <c r="T58" t="n">
        <v>1998</v>
      </c>
      <c r="U58" s="0" t="inlineStr">
        <is>
          <t>Argentina</t>
        </is>
      </c>
      <c r="X58" s="0" t="inlineStr">
        <is>
          <t>Níquel</t>
        </is>
      </c>
      <c r="Z58" t="inlineStr">
        <is>
          <t>Peso Mercosur</t>
        </is>
      </c>
      <c r="AA58" s="0" t="inlineStr">
        <is>
          <t>Peso</t>
        </is>
      </c>
      <c r="AB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 s="53">
        <f>IF(OR(TRIM(INDIRECT("B"&amp;ROW())) &lt;&gt; "",TRIM(INDIRECT("A"&amp;ROW())) &lt;&gt; ""),AND(TRIM(INDIRECT("A"&amp;ROW())) &lt;&gt; "",TRIM(INDIRECT("D"&amp;ROW())) = "nuevo"),"")</f>
        <v/>
      </c>
    </row>
    <row r="59" ht="27.5" customHeight="1" s="62">
      <c r="B59" t="inlineStr">
        <is>
          <t>Moneda Noruega 1/2 Skilling 1867</t>
        </is>
      </c>
      <c r="C59" s="0">
        <f>LEN(INDIRECT(ADDRESS(ROW() + (0),COLUMN() + (-1))))</f>
        <v/>
      </c>
      <c r="D59" s="0" t="inlineStr">
        <is>
          <t>Usado</t>
        </is>
      </c>
      <c r="E59" s="38" t="inlineStr">
        <is>
          <t>https://numismaticapopper.com/images/177A.jpeg,https://numismaticapopper.com/images/177B.jpeg</t>
        </is>
      </c>
      <c r="F59" t="inlineStr">
        <is>
          <t>177</t>
        </is>
      </c>
      <c r="G59" s="40" t="n">
        <v>1</v>
      </c>
      <c r="H59" t="n">
        <v>50000</v>
      </c>
      <c r="I59" t="inlineStr">
        <is>
          <t>Estado de conservacion: Excelente -
Referencia de catalogo: KM# 329
Material: Cobre
Peso: 2.92 g
Diametro: 18.5 mm
Muy rara de ver.</t>
        </is>
      </c>
      <c r="J59" s="31">
        <f>IF(INDIRECT(ADDRESS(ROW() + (0),COLUMN() + (1)))="Agregar cuotas", IF(("16%")="", "-", "16%"), IF(INDIRECT(ADDRESS(ROW() + (0),COLUMN() + (1)))="No agregar cuotas", IF(("16%")="", "-", "16%"), "-"))</f>
        <v/>
      </c>
      <c r="K59" s="0" t="inlineStr">
        <is>
          <t>No agregar cuotas</t>
        </is>
      </c>
      <c r="L59" s="31">
        <f>IF(INDIRECT(ADDRESS(ROW() + (0),COLUMN() + (-1)))="Agregar cuotas", IF(("13.4%")="", "Sin costo", "13.4%"), IF(INDIRECT(ADDRESS(ROW() + (0),COLUMN() + (-1)))="No agregar cuotas", IF(("")="", "Sin costo", ""), "-"))</f>
        <v/>
      </c>
      <c r="M59" s="0" t="inlineStr">
        <is>
          <t>Mercado Envíos</t>
        </is>
      </c>
      <c r="N59" s="0" t="inlineStr">
        <is>
          <t>A cargo del comprador</t>
        </is>
      </c>
      <c r="O59" s="0" t="inlineStr">
        <is>
          <t>Acepto</t>
        </is>
      </c>
      <c r="P59" s="47" t="inlineStr">
        <is>
          <t>Sin garantía</t>
        </is>
      </c>
      <c r="R59" s="0" t="inlineStr">
        <is>
          <t>Seleccionar</t>
        </is>
      </c>
      <c r="S59" s="0" t="inlineStr">
        <is>
          <t>No ofrezco</t>
        </is>
      </c>
      <c r="T59" t="n">
        <v>1867</v>
      </c>
      <c r="U59" s="0" t="inlineStr">
        <is>
          <t>Dinamarca</t>
        </is>
      </c>
      <c r="X59" s="0" t="inlineStr">
        <is>
          <t>Cobre</t>
        </is>
      </c>
      <c r="Z59" t="inlineStr">
        <is>
          <t>1/2 Skilling</t>
        </is>
      </c>
      <c r="AA59" s="0" t="inlineStr">
        <is>
          <t>Euro</t>
        </is>
      </c>
      <c r="AB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 s="53">
        <f>IF(OR(TRIM(INDIRECT("B"&amp;ROW())) &lt;&gt; "",TRIM(INDIRECT("A"&amp;ROW())) &lt;&gt; ""),AND(TRIM(INDIRECT("A"&amp;ROW())) &lt;&gt; "",TRIM(INDIRECT("D"&amp;ROW())) = "nuevo"),"")</f>
        <v/>
      </c>
    </row>
    <row r="60" ht="27.5" customHeight="1" s="62">
      <c r="B60" t="inlineStr">
        <is>
          <t>Moneda Argentina 2 Centavos 1896</t>
        </is>
      </c>
      <c r="C60" s="0">
        <f>LEN(INDIRECT(ADDRESS(ROW() + (0),COLUMN() + (-1))))</f>
        <v/>
      </c>
      <c r="D60" s="0" t="inlineStr">
        <is>
          <t>Usado</t>
        </is>
      </c>
      <c r="E60" s="38" t="inlineStr">
        <is>
          <t>https://numismaticapopper.com/images/178A.jpeg,https://numismaticapopper.com/images/178B.jpeg</t>
        </is>
      </c>
      <c r="F60" t="inlineStr">
        <is>
          <t>178</t>
        </is>
      </c>
      <c r="G60" s="40" t="n">
        <v>1</v>
      </c>
      <c r="H60" t="n">
        <v>31000</v>
      </c>
      <c r="I60" t="inlineStr">
        <is>
          <t>Estado de conservacion: Muy Buena +
Referencia de catalogo: CJ# 37
Material: Bronce
Peso: 10.0 g
Diametro: 30.0 mm
Tirada: 596.000
596k acuñadas.</t>
        </is>
      </c>
      <c r="J60" s="31">
        <f>IF(INDIRECT(ADDRESS(ROW() + (0),COLUMN() + (1)))="Agregar cuotas", IF(("16%")="", "-", "16%"), IF(INDIRECT(ADDRESS(ROW() + (0),COLUMN() + (1)))="No agregar cuotas", IF(("16%")="", "-", "16%"), "-"))</f>
        <v/>
      </c>
      <c r="K60" s="0" t="inlineStr">
        <is>
          <t>No agregar cuotas</t>
        </is>
      </c>
      <c r="L60" s="31">
        <f>IF(INDIRECT(ADDRESS(ROW() + (0),COLUMN() + (-1)))="Agregar cuotas", IF(("13.4%")="", "Sin costo", "13.4%"), IF(INDIRECT(ADDRESS(ROW() + (0),COLUMN() + (-1)))="No agregar cuotas", IF(("")="", "Sin costo", ""), "-"))</f>
        <v/>
      </c>
      <c r="M60" s="0" t="inlineStr">
        <is>
          <t>Mercado Envíos</t>
        </is>
      </c>
      <c r="N60" s="0" t="inlineStr">
        <is>
          <t>A cargo del comprador</t>
        </is>
      </c>
      <c r="O60" s="0" t="inlineStr">
        <is>
          <t>Acepto</t>
        </is>
      </c>
      <c r="P60" s="47" t="inlineStr">
        <is>
          <t>Sin garantía</t>
        </is>
      </c>
      <c r="R60" s="0" t="inlineStr">
        <is>
          <t>Seleccionar</t>
        </is>
      </c>
      <c r="S60" s="0" t="inlineStr">
        <is>
          <t>No ofrezco</t>
        </is>
      </c>
      <c r="T60" t="n">
        <v>1896</v>
      </c>
      <c r="U60" s="0" t="inlineStr">
        <is>
          <t>Argentina</t>
        </is>
      </c>
      <c r="X60" s="0" t="inlineStr">
        <is>
          <t>Bronce</t>
        </is>
      </c>
      <c r="Z60" t="inlineStr">
        <is>
          <t>2 Centavos</t>
        </is>
      </c>
      <c r="AA60" s="0" t="inlineStr">
        <is>
          <t>Peso</t>
        </is>
      </c>
      <c r="AB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 s="53">
        <f>IF(OR(TRIM(INDIRECT("B"&amp;ROW())) &lt;&gt; "",TRIM(INDIRECT("A"&amp;ROW())) &lt;&gt; ""),AND(TRIM(INDIRECT("A"&amp;ROW())) &lt;&gt; "",TRIM(INDIRECT("D"&amp;ROW())) = "nuevo"),"")</f>
        <v/>
      </c>
    </row>
    <row r="61" ht="27.5" customHeight="1" s="62">
      <c r="B61" t="inlineStr">
        <is>
          <t>Moneda Portugal 20 Reis 1891</t>
        </is>
      </c>
      <c r="C61" s="0">
        <f>LEN(INDIRECT(ADDRESS(ROW() + (0),COLUMN() + (-1))))</f>
        <v/>
      </c>
      <c r="D61" s="0" t="inlineStr">
        <is>
          <t>Usado</t>
        </is>
      </c>
      <c r="E61" s="38" t="inlineStr">
        <is>
          <t>https://numismaticapopper.com/images/179A.jpeg,https://numismaticapopper.com/images/179B.jpeg</t>
        </is>
      </c>
      <c r="F61" t="inlineStr">
        <is>
          <t>179</t>
        </is>
      </c>
      <c r="G61" s="40" t="n">
        <v>1</v>
      </c>
      <c r="H61" t="n">
        <v>16000</v>
      </c>
      <c r="I61" t="inlineStr">
        <is>
          <t>Estado de conservacion: Muy Buena -
Referencia de catalogo: KM# 533
Material: Bronce
Peso: 12.0 g
Diametro: 30.0 mm
Carlos I.</t>
        </is>
      </c>
      <c r="J61" s="31">
        <f>IF(INDIRECT(ADDRESS(ROW() + (0),COLUMN() + (1)))="Agregar cuotas", IF(("16%")="", "-", "16%"), IF(INDIRECT(ADDRESS(ROW() + (0),COLUMN() + (1)))="No agregar cuotas", IF(("16%")="", "-", "16%"), "-"))</f>
        <v/>
      </c>
      <c r="K61" s="0" t="inlineStr">
        <is>
          <t>No agregar cuotas</t>
        </is>
      </c>
      <c r="L61" s="31">
        <f>IF(INDIRECT(ADDRESS(ROW() + (0),COLUMN() + (-1)))="Agregar cuotas", IF(("13.4%")="", "Sin costo", "13.4%"), IF(INDIRECT(ADDRESS(ROW() + (0),COLUMN() + (-1)))="No agregar cuotas", IF(("")="", "Sin costo", ""), "-"))</f>
        <v/>
      </c>
      <c r="M61" s="0" t="inlineStr">
        <is>
          <t>Mercado Envíos</t>
        </is>
      </c>
      <c r="N61" s="0" t="inlineStr">
        <is>
          <t>A cargo del comprador</t>
        </is>
      </c>
      <c r="O61" s="0" t="inlineStr">
        <is>
          <t>Acepto</t>
        </is>
      </c>
      <c r="P61" s="47" t="inlineStr">
        <is>
          <t>Sin garantía</t>
        </is>
      </c>
      <c r="R61" s="0" t="inlineStr">
        <is>
          <t>Seleccionar</t>
        </is>
      </c>
      <c r="S61" s="0" t="inlineStr">
        <is>
          <t>No ofrezco</t>
        </is>
      </c>
      <c r="T61" t="n">
        <v>1891</v>
      </c>
      <c r="U61" s="0" t="inlineStr">
        <is>
          <t>Portugal</t>
        </is>
      </c>
      <c r="X61" s="0" t="inlineStr">
        <is>
          <t>Bronce</t>
        </is>
      </c>
      <c r="Z61" t="inlineStr">
        <is>
          <t>20 Reis</t>
        </is>
      </c>
      <c r="AA61" s="0" t="inlineStr">
        <is>
          <t>Real</t>
        </is>
      </c>
      <c r="AB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 s="53">
        <f>IF(OR(TRIM(INDIRECT("B"&amp;ROW())) &lt;&gt; "",TRIM(INDIRECT("A"&amp;ROW())) &lt;&gt; ""),AND(TRIM(INDIRECT("A"&amp;ROW())) &lt;&gt; "",TRIM(INDIRECT("D"&amp;ROW())) = "nuevo"),"")</f>
        <v/>
      </c>
    </row>
    <row r="62" ht="27.5" customHeight="1" s="62">
      <c r="B62" t="inlineStr">
        <is>
          <t>Moneda Argentina Blister Bicentenario 2010</t>
        </is>
      </c>
      <c r="C62" s="0">
        <f>LEN(INDIRECT(ADDRESS(ROW() + (0),COLUMN() + (-1))))</f>
        <v/>
      </c>
      <c r="D62" s="0" t="inlineStr">
        <is>
          <t>Usado</t>
        </is>
      </c>
      <c r="E62" s="38" t="inlineStr">
        <is>
          <t>https://numismaticapopper.com/images/183A.jpeg,https://numismaticapopper.com/images/183B.jpeg,https://numismaticapopper.com/images/183C.jpeg,https://numismaticapopper.com/images/183D.jpeg</t>
        </is>
      </c>
      <c r="F62" t="inlineStr">
        <is>
          <t>183</t>
        </is>
      </c>
      <c r="G62" s="40" t="n">
        <v>1</v>
      </c>
      <c r="H62" t="n">
        <v>28000</v>
      </c>
      <c r="I62" t="inlineStr">
        <is>
          <t>Estado de conservacion: Sin Circular
Referencia de catalogo: CJ# 6.18-6.22</t>
        </is>
      </c>
      <c r="J62" s="31">
        <f>IF(INDIRECT(ADDRESS(ROW() + (0),COLUMN() + (1)))="Agregar cuotas", IF(("16%")="", "-", "16%"), IF(INDIRECT(ADDRESS(ROW() + (0),COLUMN() + (1)))="No agregar cuotas", IF(("16%")="", "-", "16%"), "-"))</f>
        <v/>
      </c>
      <c r="K62" s="0" t="inlineStr">
        <is>
          <t>No agregar cuotas</t>
        </is>
      </c>
      <c r="L62" s="31">
        <f>IF(INDIRECT(ADDRESS(ROW() + (0),COLUMN() + (-1)))="Agregar cuotas", IF(("13.4%")="", "Sin costo", "13.4%"), IF(INDIRECT(ADDRESS(ROW() + (0),COLUMN() + (-1)))="No agregar cuotas", IF(("")="", "Sin costo", ""), "-"))</f>
        <v/>
      </c>
      <c r="M62" s="0" t="inlineStr">
        <is>
          <t>Mercado Envíos</t>
        </is>
      </c>
      <c r="N62" s="0" t="inlineStr">
        <is>
          <t>A cargo del comprador</t>
        </is>
      </c>
      <c r="O62" s="0" t="inlineStr">
        <is>
          <t>Acepto</t>
        </is>
      </c>
      <c r="P62" s="47" t="inlineStr">
        <is>
          <t>Sin garantía</t>
        </is>
      </c>
      <c r="R62" s="0" t="inlineStr">
        <is>
          <t>Seleccionar</t>
        </is>
      </c>
      <c r="S62" s="0" t="inlineStr">
        <is>
          <t>No ofrezco</t>
        </is>
      </c>
      <c r="T62" t="n">
        <v>2010</v>
      </c>
      <c r="U62" s="0" t="inlineStr">
        <is>
          <t>Argentina</t>
        </is>
      </c>
      <c r="X62" s="0" t="inlineStr">
        <is>
          <t>Níquel</t>
        </is>
      </c>
      <c r="Z62" t="inlineStr">
        <is>
          <t>Blister Bicentenario</t>
        </is>
      </c>
      <c r="AA62" s="0" t="inlineStr">
        <is>
          <t>Peso</t>
        </is>
      </c>
      <c r="AB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 s="53">
        <f>IF(OR(TRIM(INDIRECT("B"&amp;ROW())) &lt;&gt; "",TRIM(INDIRECT("A"&amp;ROW())) &lt;&gt; ""),AND(TRIM(INDIRECT("A"&amp;ROW())) &lt;&gt; "",TRIM(INDIRECT("D"&amp;ROW())) = "nuevo"),"")</f>
        <v/>
      </c>
    </row>
    <row r="63" ht="27.5" customHeight="1" s="62">
      <c r="B63" t="inlineStr">
        <is>
          <t>Moneda Uruguay 10 Centésimos 1994</t>
        </is>
      </c>
      <c r="C63" s="0">
        <f>LEN(INDIRECT(ADDRESS(ROW() + (0),COLUMN() + (-1))))</f>
        <v/>
      </c>
      <c r="D63" s="0" t="inlineStr">
        <is>
          <t>Usado</t>
        </is>
      </c>
      <c r="E63" s="38" t="inlineStr">
        <is>
          <t>https://numismaticapopper.com/images/186A.jpeg,https://numismaticapopper.com/images/186B.jpeg</t>
        </is>
      </c>
      <c r="F63" t="inlineStr">
        <is>
          <t>186</t>
        </is>
      </c>
      <c r="G63" s="40" t="n">
        <v>1</v>
      </c>
      <c r="H63" t="n">
        <v>11000</v>
      </c>
      <c r="I63" t="inlineStr">
        <is>
          <t>Estado de conservacion: Sin Circular
Referencia de catalogo: KM# 102
Material: Acero Inoxidable
Peso: 1.6 g
Diametro: 15.0 mm
Difícil de ver</t>
        </is>
      </c>
      <c r="J63" s="31">
        <f>IF(INDIRECT(ADDRESS(ROW() + (0),COLUMN() + (1)))="Agregar cuotas", IF(("16%")="", "-", "16%"), IF(INDIRECT(ADDRESS(ROW() + (0),COLUMN() + (1)))="No agregar cuotas", IF(("16%")="", "-", "16%"), "-"))</f>
        <v/>
      </c>
      <c r="K63" s="0" t="inlineStr">
        <is>
          <t>No agregar cuotas</t>
        </is>
      </c>
      <c r="L63" s="31">
        <f>IF(INDIRECT(ADDRESS(ROW() + (0),COLUMN() + (-1)))="Agregar cuotas", IF(("13.4%")="", "Sin costo", "13.4%"), IF(INDIRECT(ADDRESS(ROW() + (0),COLUMN() + (-1)))="No agregar cuotas", IF(("")="", "Sin costo", ""), "-"))</f>
        <v/>
      </c>
      <c r="M63" s="0" t="inlineStr">
        <is>
          <t>Mercado Envíos</t>
        </is>
      </c>
      <c r="N63" s="0" t="inlineStr">
        <is>
          <t>A cargo del comprador</t>
        </is>
      </c>
      <c r="O63" s="0" t="inlineStr">
        <is>
          <t>Acepto</t>
        </is>
      </c>
      <c r="P63" s="47" t="inlineStr">
        <is>
          <t>Sin garantía</t>
        </is>
      </c>
      <c r="R63" s="0" t="inlineStr">
        <is>
          <t>Seleccionar</t>
        </is>
      </c>
      <c r="S63" s="0" t="inlineStr">
        <is>
          <t>No ofrezco</t>
        </is>
      </c>
      <c r="T63" t="n">
        <v>1994</v>
      </c>
      <c r="U63" s="0" t="inlineStr">
        <is>
          <t>Uruguay</t>
        </is>
      </c>
      <c r="X63" s="0" t="inlineStr">
        <is>
          <t>Níquel</t>
        </is>
      </c>
      <c r="Z63" t="inlineStr">
        <is>
          <t>10 Centésimos</t>
        </is>
      </c>
      <c r="AA63" s="0" t="inlineStr">
        <is>
          <t>Euro</t>
        </is>
      </c>
      <c r="AB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 s="53">
        <f>IF(OR(TRIM(INDIRECT("B"&amp;ROW())) &lt;&gt; "",TRIM(INDIRECT("A"&amp;ROW())) &lt;&gt; ""),AND(TRIM(INDIRECT("A"&amp;ROW())) &lt;&gt; "",TRIM(INDIRECT("D"&amp;ROW())) = "nuevo"),"")</f>
        <v/>
      </c>
    </row>
    <row r="64" ht="27.5" customHeight="1" s="62">
      <c r="B64" t="inlineStr">
        <is>
          <t>Moneda Medalla Medalla Centenario de Necochea 1981</t>
        </is>
      </c>
      <c r="C64" s="0">
        <f>LEN(INDIRECT(ADDRESS(ROW() + (0),COLUMN() + (-1))))</f>
        <v/>
      </c>
      <c r="D64" s="0" t="inlineStr">
        <is>
          <t>Usado</t>
        </is>
      </c>
      <c r="E64" s="38" t="inlineStr">
        <is>
          <t>https://numismaticapopper.com/images/188A.jpeg,https://numismaticapopper.com/images/188B.jpeg</t>
        </is>
      </c>
      <c r="F64" t="inlineStr">
        <is>
          <t>188</t>
        </is>
      </c>
      <c r="G64" s="40" t="n">
        <v>1</v>
      </c>
      <c r="H64" t="n">
        <v>22000</v>
      </c>
      <c r="I64" t="inlineStr">
        <is>
          <t>Estado de conservacion: Excelente
Material: Plata
Argentina</t>
        </is>
      </c>
      <c r="J64" s="31">
        <f>IF(INDIRECT(ADDRESS(ROW() + (0),COLUMN() + (1)))="Agregar cuotas", IF(("16%")="", "-", "16%"), IF(INDIRECT(ADDRESS(ROW() + (0),COLUMN() + (1)))="No agregar cuotas", IF(("16%")="", "-", "16%"), "-"))</f>
        <v/>
      </c>
      <c r="K64" s="0" t="inlineStr">
        <is>
          <t>No agregar cuotas</t>
        </is>
      </c>
      <c r="L64" s="31">
        <f>IF(INDIRECT(ADDRESS(ROW() + (0),COLUMN() + (-1)))="Agregar cuotas", IF(("13.4%")="", "Sin costo", "13.4%"), IF(INDIRECT(ADDRESS(ROW() + (0),COLUMN() + (-1)))="No agregar cuotas", IF(("")="", "Sin costo", ""), "-"))</f>
        <v/>
      </c>
      <c r="M64" s="0" t="inlineStr">
        <is>
          <t>Mercado Envíos</t>
        </is>
      </c>
      <c r="N64" s="0" t="inlineStr">
        <is>
          <t>A cargo del comprador</t>
        </is>
      </c>
      <c r="O64" s="0" t="inlineStr">
        <is>
          <t>Acepto</t>
        </is>
      </c>
      <c r="P64" s="47" t="inlineStr">
        <is>
          <t>Sin garantía</t>
        </is>
      </c>
      <c r="R64" s="0" t="inlineStr">
        <is>
          <t>Seleccionar</t>
        </is>
      </c>
      <c r="S64" s="0" t="inlineStr">
        <is>
          <t>No ofrezco</t>
        </is>
      </c>
      <c r="T64" t="n">
        <v>1981</v>
      </c>
      <c r="U64" s="0" t="inlineStr">
        <is>
          <t>Argentina</t>
        </is>
      </c>
      <c r="X64" s="0" t="inlineStr">
        <is>
          <t>Plata</t>
        </is>
      </c>
      <c r="Z64" t="inlineStr">
        <is>
          <t>Medalla Centenario de Necochea</t>
        </is>
      </c>
      <c r="AA64" s="0" t="inlineStr">
        <is>
          <t>Peso</t>
        </is>
      </c>
      <c r="AB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 s="53">
        <f>IF(OR(TRIM(INDIRECT("B"&amp;ROW())) &lt;&gt; "",TRIM(INDIRECT("A"&amp;ROW())) &lt;&gt; ""),AND(TRIM(INDIRECT("A"&amp;ROW())) &lt;&gt; "",TRIM(INDIRECT("D"&amp;ROW())) = "nuevo"),"")</f>
        <v/>
      </c>
    </row>
    <row r="65" ht="27.5" customHeight="1" s="62">
      <c r="B65" t="inlineStr">
        <is>
          <t>Moneda Reino Unido 1/2 Penny 1900</t>
        </is>
      </c>
      <c r="C65" s="0">
        <f>LEN(INDIRECT(ADDRESS(ROW() + (0),COLUMN() + (-1))))</f>
        <v/>
      </c>
      <c r="D65" s="0" t="inlineStr">
        <is>
          <t>Usado</t>
        </is>
      </c>
      <c r="E65" s="38" t="inlineStr">
        <is>
          <t>https://numismaticapopper.com/images/189A.jpeg,https://numismaticapopper.com/images/189B.jpeg</t>
        </is>
      </c>
      <c r="F65" t="inlineStr">
        <is>
          <t>189</t>
        </is>
      </c>
      <c r="G65" s="40" t="n">
        <v>1</v>
      </c>
      <c r="H65" t="n">
        <v>13000</v>
      </c>
      <c r="I65" t="inlineStr">
        <is>
          <t>Estado de conservacion: Buena
Referencia de catalogo: KM# 789
Material: Bronce
Peso: 5.67 g
Diametro: 25.5 mm
Reina Victoria.
Tercer retrato.</t>
        </is>
      </c>
      <c r="J65" s="31">
        <f>IF(INDIRECT(ADDRESS(ROW() + (0),COLUMN() + (1)))="Agregar cuotas", IF(("16%")="", "-", "16%"), IF(INDIRECT(ADDRESS(ROW() + (0),COLUMN() + (1)))="No agregar cuotas", IF(("16%")="", "-", "16%"), "-"))</f>
        <v/>
      </c>
      <c r="K65" s="0" t="inlineStr">
        <is>
          <t>No agregar cuotas</t>
        </is>
      </c>
      <c r="L65" s="31">
        <f>IF(INDIRECT(ADDRESS(ROW() + (0),COLUMN() + (-1)))="Agregar cuotas", IF(("13.4%")="", "Sin costo", "13.4%"), IF(INDIRECT(ADDRESS(ROW() + (0),COLUMN() + (-1)))="No agregar cuotas", IF(("")="", "Sin costo", ""), "-"))</f>
        <v/>
      </c>
      <c r="M65" s="0" t="inlineStr">
        <is>
          <t>Mercado Envíos</t>
        </is>
      </c>
      <c r="N65" s="0" t="inlineStr">
        <is>
          <t>A cargo del comprador</t>
        </is>
      </c>
      <c r="O65" s="0" t="inlineStr">
        <is>
          <t>Acepto</t>
        </is>
      </c>
      <c r="P65" s="47" t="inlineStr">
        <is>
          <t>Sin garantía</t>
        </is>
      </c>
      <c r="R65" s="0" t="inlineStr">
        <is>
          <t>Seleccionar</t>
        </is>
      </c>
      <c r="S65" s="0" t="inlineStr">
        <is>
          <t>No ofrezco</t>
        </is>
      </c>
      <c r="T65" t="n">
        <v>1900</v>
      </c>
      <c r="U65" s="0" t="inlineStr">
        <is>
          <t>Inglaterra</t>
        </is>
      </c>
      <c r="X65" s="0" t="inlineStr">
        <is>
          <t>Bronce</t>
        </is>
      </c>
      <c r="Z65" t="inlineStr">
        <is>
          <t>1/2 Penny</t>
        </is>
      </c>
      <c r="AA65" s="0" t="inlineStr">
        <is>
          <t>Dólar</t>
        </is>
      </c>
      <c r="AB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 s="53">
        <f>IF(OR(TRIM(INDIRECT("B"&amp;ROW())) &lt;&gt; "",TRIM(INDIRECT("A"&amp;ROW())) &lt;&gt; ""),AND(TRIM(INDIRECT("A"&amp;ROW())) &lt;&gt; "",TRIM(INDIRECT("D"&amp;ROW())) = "nuevo"),"")</f>
        <v/>
      </c>
    </row>
    <row r="66" ht="27.5" customHeight="1" s="62">
      <c r="B66" t="inlineStr">
        <is>
          <t>Moneda Chile 20 Centavos 1879</t>
        </is>
      </c>
      <c r="C66" s="0">
        <f>LEN(INDIRECT(ADDRESS(ROW() + (0),COLUMN() + (-1))))</f>
        <v/>
      </c>
      <c r="D66" s="0" t="inlineStr">
        <is>
          <t>Usado</t>
        </is>
      </c>
      <c r="E66" s="38" t="inlineStr">
        <is>
          <t>https://numismaticapopper.com/images/190A.jpeg,https://numismaticapopper.com/images/190B.jpeg</t>
        </is>
      </c>
      <c r="F66" t="inlineStr">
        <is>
          <t>190</t>
        </is>
      </c>
      <c r="G66" s="40" t="n">
        <v>1</v>
      </c>
      <c r="H66" t="n">
        <v>44000</v>
      </c>
      <c r="I66" t="inlineStr">
        <is>
          <t>Estado de conservacion: Muy Buena
Referencia de catalogo: KM# 138.2
Material: Plata
Peso: 5.0 g
Diametro: 23.0 mm
Variante con pureza de la Plata</t>
        </is>
      </c>
      <c r="J66" s="31">
        <f>IF(INDIRECT(ADDRESS(ROW() + (0),COLUMN() + (1)))="Agregar cuotas", IF(("16%")="", "-", "16%"), IF(INDIRECT(ADDRESS(ROW() + (0),COLUMN() + (1)))="No agregar cuotas", IF(("16%")="", "-", "16%"), "-"))</f>
        <v/>
      </c>
      <c r="K66" s="0" t="inlineStr">
        <is>
          <t>No agregar cuotas</t>
        </is>
      </c>
      <c r="L66" s="31">
        <f>IF(INDIRECT(ADDRESS(ROW() + (0),COLUMN() + (-1)))="Agregar cuotas", IF(("13.4%")="", "Sin costo", "13.4%"), IF(INDIRECT(ADDRESS(ROW() + (0),COLUMN() + (-1)))="No agregar cuotas", IF(("")="", "Sin costo", ""), "-"))</f>
        <v/>
      </c>
      <c r="M66" s="0" t="inlineStr">
        <is>
          <t>Mercado Envíos</t>
        </is>
      </c>
      <c r="N66" s="0" t="inlineStr">
        <is>
          <t>A cargo del comprador</t>
        </is>
      </c>
      <c r="O66" s="0" t="inlineStr">
        <is>
          <t>Acepto</t>
        </is>
      </c>
      <c r="P66" s="47" t="inlineStr">
        <is>
          <t>Sin garantía</t>
        </is>
      </c>
      <c r="R66" s="0" t="inlineStr">
        <is>
          <t>Seleccionar</t>
        </is>
      </c>
      <c r="S66" s="0" t="inlineStr">
        <is>
          <t>No ofrezco</t>
        </is>
      </c>
      <c r="T66" t="n">
        <v>1879</v>
      </c>
      <c r="U66" s="0" t="inlineStr">
        <is>
          <t>Chile</t>
        </is>
      </c>
      <c r="X66" s="0" t="inlineStr">
        <is>
          <t>Plata</t>
        </is>
      </c>
      <c r="Z66" t="inlineStr">
        <is>
          <t>20 Centavos</t>
        </is>
      </c>
      <c r="AA66" s="0" t="inlineStr">
        <is>
          <t>Peso</t>
        </is>
      </c>
      <c r="AB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 s="53">
        <f>IF(OR(TRIM(INDIRECT("B"&amp;ROW())) &lt;&gt; "",TRIM(INDIRECT("A"&amp;ROW())) &lt;&gt; ""),AND(TRIM(INDIRECT("A"&amp;ROW())) &lt;&gt; "",TRIM(INDIRECT("D"&amp;ROW())) = "nuevo"),"")</f>
        <v/>
      </c>
    </row>
    <row r="67" ht="27.5" customHeight="1" s="62">
      <c r="B67" t="inlineStr">
        <is>
          <t>Moneda Bélgica 25 Cents 1943</t>
        </is>
      </c>
      <c r="C67" s="0">
        <f>LEN(INDIRECT(ADDRESS(ROW() + (0),COLUMN() + (-1))))</f>
        <v/>
      </c>
      <c r="D67" s="0" t="inlineStr">
        <is>
          <t>Usado</t>
        </is>
      </c>
      <c r="E67" s="38" t="inlineStr">
        <is>
          <t>https://numismaticapopper.com/images/191A.jpeg,https://numismaticapopper.com/images/191B.jpeg</t>
        </is>
      </c>
      <c r="F67" t="inlineStr">
        <is>
          <t>191</t>
        </is>
      </c>
      <c r="G67" s="40" t="n">
        <v>1</v>
      </c>
      <c r="H67" t="n">
        <v>13000</v>
      </c>
      <c r="I67" t="inlineStr">
        <is>
          <t>Estado de conservacion: Muy Buena +
Referencia de catalogo: KM# 132
Material: Zinc
Peso: 6.5 g
Diametro: 26.0 mm
Segunda Guerra Mundial</t>
        </is>
      </c>
      <c r="J67" s="31">
        <f>IF(INDIRECT(ADDRESS(ROW() + (0),COLUMN() + (1)))="Agregar cuotas", IF(("16%")="", "-", "16%"), IF(INDIRECT(ADDRESS(ROW() + (0),COLUMN() + (1)))="No agregar cuotas", IF(("16%")="", "-", "16%"), "-"))</f>
        <v/>
      </c>
      <c r="K67" s="0" t="inlineStr">
        <is>
          <t>No agregar cuotas</t>
        </is>
      </c>
      <c r="L67" s="31">
        <f>IF(INDIRECT(ADDRESS(ROW() + (0),COLUMN() + (-1)))="Agregar cuotas", IF(("13.4%")="", "Sin costo", "13.4%"), IF(INDIRECT(ADDRESS(ROW() + (0),COLUMN() + (-1)))="No agregar cuotas", IF(("")="", "Sin costo", ""), "-"))</f>
        <v/>
      </c>
      <c r="M67" s="0" t="inlineStr">
        <is>
          <t>Mercado Envíos</t>
        </is>
      </c>
      <c r="N67" s="0" t="inlineStr">
        <is>
          <t>A cargo del comprador</t>
        </is>
      </c>
      <c r="O67" s="0" t="inlineStr">
        <is>
          <t>Acepto</t>
        </is>
      </c>
      <c r="P67" s="47" t="inlineStr">
        <is>
          <t>Sin garantía</t>
        </is>
      </c>
      <c r="R67" s="0" t="inlineStr">
        <is>
          <t>Seleccionar</t>
        </is>
      </c>
      <c r="S67" s="0" t="inlineStr">
        <is>
          <t>No ofrezco</t>
        </is>
      </c>
      <c r="T67" t="n">
        <v>1943</v>
      </c>
      <c r="U67" s="0" t="inlineStr">
        <is>
          <t>Bélgica</t>
        </is>
      </c>
      <c r="X67" s="0" t="inlineStr">
        <is>
          <t>Níquel</t>
        </is>
      </c>
      <c r="Z67" t="inlineStr">
        <is>
          <t>25 Cents</t>
        </is>
      </c>
      <c r="AA67" s="0" t="inlineStr">
        <is>
          <t>Dólar</t>
        </is>
      </c>
      <c r="AB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 s="53">
        <f>IF(OR(TRIM(INDIRECT("B"&amp;ROW())) &lt;&gt; "",TRIM(INDIRECT("A"&amp;ROW())) &lt;&gt; ""),AND(TRIM(INDIRECT("A"&amp;ROW())) &lt;&gt; "",TRIM(INDIRECT("D"&amp;ROW())) = "nuevo"),"")</f>
        <v/>
      </c>
    </row>
    <row r="68" ht="27.5" customHeight="1" s="62">
      <c r="B68" t="inlineStr">
        <is>
          <t>Moneda Estados Unidos 5 Cents 1902</t>
        </is>
      </c>
      <c r="C68" s="0">
        <f>LEN(INDIRECT(ADDRESS(ROW() + (0),COLUMN() + (-1))))</f>
        <v/>
      </c>
      <c r="D68" s="0" t="inlineStr">
        <is>
          <t>Usado</t>
        </is>
      </c>
      <c r="E68" s="38" t="inlineStr">
        <is>
          <t>https://numismaticapopper.com/images/192A.jpeg,https://numismaticapopper.com/images/192B.jpeg</t>
        </is>
      </c>
      <c r="F68" t="inlineStr">
        <is>
          <t>192</t>
        </is>
      </c>
      <c r="G68" s="40" t="n">
        <v>1</v>
      </c>
      <c r="H68" t="n">
        <v>11000</v>
      </c>
      <c r="I68" t="inlineStr">
        <is>
          <t>Estado de conservacion: Buena **
Referencia de catalogo: KM# 112
Material: Cuproníquel
Peso: 5.0 g
Diametro: 21.2 mm</t>
        </is>
      </c>
      <c r="J68" s="31">
        <f>IF(INDIRECT(ADDRESS(ROW() + (0),COLUMN() + (1)))="Agregar cuotas", IF(("16%")="", "-", "16%"), IF(INDIRECT(ADDRESS(ROW() + (0),COLUMN() + (1)))="No agregar cuotas", IF(("16%")="", "-", "16%"), "-"))</f>
        <v/>
      </c>
      <c r="K68" s="0" t="inlineStr">
        <is>
          <t>No agregar cuotas</t>
        </is>
      </c>
      <c r="L68" s="31">
        <f>IF(INDIRECT(ADDRESS(ROW() + (0),COLUMN() + (-1)))="Agregar cuotas", IF(("13.4%")="", "Sin costo", "13.4%"), IF(INDIRECT(ADDRESS(ROW() + (0),COLUMN() + (-1)))="No agregar cuotas", IF(("")="", "Sin costo", ""), "-"))</f>
        <v/>
      </c>
      <c r="M68" s="0" t="inlineStr">
        <is>
          <t>Mercado Envíos</t>
        </is>
      </c>
      <c r="N68" s="0" t="inlineStr">
        <is>
          <t>A cargo del comprador</t>
        </is>
      </c>
      <c r="O68" s="0" t="inlineStr">
        <is>
          <t>Acepto</t>
        </is>
      </c>
      <c r="P68" s="47" t="inlineStr">
        <is>
          <t>Sin garantía</t>
        </is>
      </c>
      <c r="R68" s="0" t="inlineStr">
        <is>
          <t>Seleccionar</t>
        </is>
      </c>
      <c r="S68" s="0" t="inlineStr">
        <is>
          <t>No ofrezco</t>
        </is>
      </c>
      <c r="T68" t="n">
        <v>1902</v>
      </c>
      <c r="U68" s="0" t="inlineStr">
        <is>
          <t>Estados Unidos</t>
        </is>
      </c>
      <c r="X68" s="0" t="inlineStr">
        <is>
          <t>Níquel</t>
        </is>
      </c>
      <c r="Z68" t="inlineStr">
        <is>
          <t>5 Cents</t>
        </is>
      </c>
      <c r="AA68" s="0" t="inlineStr">
        <is>
          <t>Dólar</t>
        </is>
      </c>
      <c r="AB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 s="53">
        <f>IF(OR(TRIM(INDIRECT("B"&amp;ROW())) &lt;&gt; "",TRIM(INDIRECT("A"&amp;ROW())) &lt;&gt; ""),AND(TRIM(INDIRECT("A"&amp;ROW())) &lt;&gt; "",TRIM(INDIRECT("D"&amp;ROW())) = "nuevo"),"")</f>
        <v/>
      </c>
    </row>
    <row r="69" ht="27.5" customHeight="1" s="62">
      <c r="B69" t="inlineStr">
        <is>
          <t>Moneda Argentina Centavo 1975</t>
        </is>
      </c>
      <c r="C69" s="0">
        <f>LEN(INDIRECT(ADDRESS(ROW() + (0),COLUMN() + (-1))))</f>
        <v/>
      </c>
      <c r="D69" s="0" t="inlineStr">
        <is>
          <t>Usado</t>
        </is>
      </c>
      <c r="E69" s="38" t="inlineStr">
        <is>
          <t>https://numismaticapopper.com/images/194A.jpeg,https://numismaticapopper.com/images/194B.jpeg</t>
        </is>
      </c>
      <c r="F69" t="inlineStr">
        <is>
          <t>194</t>
        </is>
      </c>
      <c r="G69" s="40" t="n">
        <v>1</v>
      </c>
      <c r="H69" t="n">
        <v>8000</v>
      </c>
      <c r="I69" t="inlineStr">
        <is>
          <t>Estado de conservacion: Excelente **
Referencia de catalogo: CJ# 360
Material: Aluminio
Peso: 0.62 g
Diametro: 15.74 mm
Tirada: 3.800.000
No tan vista</t>
        </is>
      </c>
      <c r="J69" s="31">
        <f>IF(INDIRECT(ADDRESS(ROW() + (0),COLUMN() + (1)))="Agregar cuotas", IF(("16%")="", "-", "16%"), IF(INDIRECT(ADDRESS(ROW() + (0),COLUMN() + (1)))="No agregar cuotas", IF(("16%")="", "-", "16%"), "-"))</f>
        <v/>
      </c>
      <c r="K69" s="0" t="inlineStr">
        <is>
          <t>No agregar cuotas</t>
        </is>
      </c>
      <c r="L69" s="31">
        <f>IF(INDIRECT(ADDRESS(ROW() + (0),COLUMN() + (-1)))="Agregar cuotas", IF(("13.4%")="", "Sin costo", "13.4%"), IF(INDIRECT(ADDRESS(ROW() + (0),COLUMN() + (-1)))="No agregar cuotas", IF(("")="", "Sin costo", ""), "-"))</f>
        <v/>
      </c>
      <c r="M69" s="0" t="inlineStr">
        <is>
          <t>Mercado Envíos</t>
        </is>
      </c>
      <c r="N69" s="0" t="inlineStr">
        <is>
          <t>A cargo del comprador</t>
        </is>
      </c>
      <c r="O69" s="0" t="inlineStr">
        <is>
          <t>Acepto</t>
        </is>
      </c>
      <c r="P69" s="47" t="inlineStr">
        <is>
          <t>Sin garantía</t>
        </is>
      </c>
      <c r="R69" s="0" t="inlineStr">
        <is>
          <t>Seleccionar</t>
        </is>
      </c>
      <c r="S69" s="0" t="inlineStr">
        <is>
          <t>No ofrezco</t>
        </is>
      </c>
      <c r="T69" t="n">
        <v>1975</v>
      </c>
      <c r="U69" s="0" t="inlineStr">
        <is>
          <t>Argentina</t>
        </is>
      </c>
      <c r="X69" s="0" t="inlineStr">
        <is>
          <t>Níquel</t>
        </is>
      </c>
      <c r="Z69" t="inlineStr">
        <is>
          <t>Centavo</t>
        </is>
      </c>
      <c r="AA69" s="0" t="inlineStr">
        <is>
          <t>Peso</t>
        </is>
      </c>
      <c r="AB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 s="53">
        <f>IF(OR(TRIM(INDIRECT("B"&amp;ROW())) &lt;&gt; "",TRIM(INDIRECT("A"&amp;ROW())) &lt;&gt; ""),AND(TRIM(INDIRECT("A"&amp;ROW())) &lt;&gt; "",TRIM(INDIRECT("D"&amp;ROW())) = "nuevo"),"")</f>
        <v/>
      </c>
    </row>
    <row r="70" ht="27.5" customHeight="1" s="62">
      <c r="B70" t="inlineStr">
        <is>
          <t>Moneda Paraguay 2 Centesimos 1870</t>
        </is>
      </c>
      <c r="C70" s="0">
        <f>LEN(INDIRECT(ADDRESS(ROW() + (0),COLUMN() + (-1))))</f>
        <v/>
      </c>
      <c r="D70" s="0" t="inlineStr">
        <is>
          <t>Usado</t>
        </is>
      </c>
      <c r="E70" s="38" t="inlineStr">
        <is>
          <t>https://numismaticapopper.com/images/201A.jpeg,https://numismaticapopper.com/images/201B.jpeg</t>
        </is>
      </c>
      <c r="F70" t="inlineStr">
        <is>
          <t>201</t>
        </is>
      </c>
      <c r="G70" s="40" t="n">
        <v>1</v>
      </c>
      <c r="H70" t="n">
        <v>15000</v>
      </c>
      <c r="I70" t="inlineStr">
        <is>
          <t>Estado de conservacion: Buena -
Referencia de catalogo: KM# 3
Material: Cobre
Peso: 10.0 g
Diametro: 30.0 mm
Año único</t>
        </is>
      </c>
      <c r="J70" s="31">
        <f>IF(INDIRECT(ADDRESS(ROW() + (0),COLUMN() + (1)))="Agregar cuotas", IF(("16%")="", "-", "16%"), IF(INDIRECT(ADDRESS(ROW() + (0),COLUMN() + (1)))="No agregar cuotas", IF(("16%")="", "-", "16%"), "-"))</f>
        <v/>
      </c>
      <c r="K70" s="0" t="inlineStr">
        <is>
          <t>No agregar cuotas</t>
        </is>
      </c>
      <c r="L70" s="31">
        <f>IF(INDIRECT(ADDRESS(ROW() + (0),COLUMN() + (-1)))="Agregar cuotas", IF(("13.4%")="", "Sin costo", "13.4%"), IF(INDIRECT(ADDRESS(ROW() + (0),COLUMN() + (-1)))="No agregar cuotas", IF(("")="", "Sin costo", ""), "-"))</f>
        <v/>
      </c>
      <c r="M70" s="0" t="inlineStr">
        <is>
          <t>Mercado Envíos</t>
        </is>
      </c>
      <c r="N70" s="0" t="inlineStr">
        <is>
          <t>A cargo del comprador</t>
        </is>
      </c>
      <c r="O70" s="0" t="inlineStr">
        <is>
          <t>Acepto</t>
        </is>
      </c>
      <c r="P70" s="47" t="inlineStr">
        <is>
          <t>Sin garantía</t>
        </is>
      </c>
      <c r="R70" s="0" t="inlineStr">
        <is>
          <t>Seleccionar</t>
        </is>
      </c>
      <c r="S70" s="0" t="inlineStr">
        <is>
          <t>No ofrezco</t>
        </is>
      </c>
      <c r="T70" t="n">
        <v>1870</v>
      </c>
      <c r="U70" s="0" t="inlineStr">
        <is>
          <t>Argentina</t>
        </is>
      </c>
      <c r="X70" s="0" t="inlineStr">
        <is>
          <t>Cobre</t>
        </is>
      </c>
      <c r="Z70" t="inlineStr">
        <is>
          <t>2 Centesimos</t>
        </is>
      </c>
      <c r="AA70" s="0" t="inlineStr">
        <is>
          <t>Euro</t>
        </is>
      </c>
      <c r="AB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 s="53">
        <f>IF(OR(TRIM(INDIRECT("B"&amp;ROW())) &lt;&gt; "",TRIM(INDIRECT("A"&amp;ROW())) &lt;&gt; ""),AND(TRIM(INDIRECT("A"&amp;ROW())) &lt;&gt; "",TRIM(INDIRECT("D"&amp;ROW())) = "nuevo"),"")</f>
        <v/>
      </c>
    </row>
    <row r="71" ht="27.5" customHeight="1" s="62">
      <c r="B71" t="inlineStr">
        <is>
          <t>Moneda Uruguay 5 Centésimos 1948</t>
        </is>
      </c>
      <c r="C71" s="0">
        <f>LEN(INDIRECT(ADDRESS(ROW() + (0),COLUMN() + (-1))))</f>
        <v/>
      </c>
      <c r="D71" s="0" t="inlineStr">
        <is>
          <t>Usado</t>
        </is>
      </c>
      <c r="E71" s="38" t="inlineStr">
        <is>
          <t>https://numismaticapopper.com/images/202A.jpeg,https://numismaticapopper.com/images/202B.jpeg</t>
        </is>
      </c>
      <c r="F71" t="inlineStr">
        <is>
          <t>202</t>
        </is>
      </c>
      <c r="G71" s="40" t="n">
        <v>1</v>
      </c>
      <c r="H71" t="n">
        <v>15000</v>
      </c>
      <c r="I71" t="inlineStr">
        <is>
          <t>Estado de conservacion: Excelente
Referencia de catalogo: KM# 21a
Material: Bronce
Peso: 5.0 g
Diametro: 23.0 mm
Pátina Rainbow (Arcoiris)</t>
        </is>
      </c>
      <c r="J71" s="31">
        <f>IF(INDIRECT(ADDRESS(ROW() + (0),COLUMN() + (1)))="Agregar cuotas", IF(("16%")="", "-", "16%"), IF(INDIRECT(ADDRESS(ROW() + (0),COLUMN() + (1)))="No agregar cuotas", IF(("16%")="", "-", "16%"), "-"))</f>
        <v/>
      </c>
      <c r="K71" s="0" t="inlineStr">
        <is>
          <t>No agregar cuotas</t>
        </is>
      </c>
      <c r="L71" s="31">
        <f>IF(INDIRECT(ADDRESS(ROW() + (0),COLUMN() + (-1)))="Agregar cuotas", IF(("13.4%")="", "Sin costo", "13.4%"), IF(INDIRECT(ADDRESS(ROW() + (0),COLUMN() + (-1)))="No agregar cuotas", IF(("")="", "Sin costo", ""), "-"))</f>
        <v/>
      </c>
      <c r="M71" s="0" t="inlineStr">
        <is>
          <t>Mercado Envíos</t>
        </is>
      </c>
      <c r="N71" s="0" t="inlineStr">
        <is>
          <t>A cargo del comprador</t>
        </is>
      </c>
      <c r="O71" s="0" t="inlineStr">
        <is>
          <t>Acepto</t>
        </is>
      </c>
      <c r="P71" s="47" t="inlineStr">
        <is>
          <t>Sin garantía</t>
        </is>
      </c>
      <c r="R71" s="0" t="inlineStr">
        <is>
          <t>Seleccionar</t>
        </is>
      </c>
      <c r="S71" s="0" t="inlineStr">
        <is>
          <t>No ofrezco</t>
        </is>
      </c>
      <c r="T71" t="n">
        <v>1948</v>
      </c>
      <c r="U71" s="0" t="inlineStr">
        <is>
          <t>Uruguay</t>
        </is>
      </c>
      <c r="X71" s="0" t="inlineStr">
        <is>
          <t>Bronce</t>
        </is>
      </c>
      <c r="Z71" t="inlineStr">
        <is>
          <t>5 Centésimos</t>
        </is>
      </c>
      <c r="AA71" s="0" t="inlineStr">
        <is>
          <t>Euro</t>
        </is>
      </c>
      <c r="AB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 s="53">
        <f>IF(OR(TRIM(INDIRECT("B"&amp;ROW())) &lt;&gt; "",TRIM(INDIRECT("A"&amp;ROW())) &lt;&gt; ""),AND(TRIM(INDIRECT("A"&amp;ROW())) &lt;&gt; "",TRIM(INDIRECT("D"&amp;ROW())) = "nuevo"),"")</f>
        <v/>
      </c>
    </row>
    <row r="72" ht="27.5" customHeight="1" s="62">
      <c r="B72" t="inlineStr">
        <is>
          <t>Moneda Portugal 20 Centavos 1924</t>
        </is>
      </c>
      <c r="C72" s="0">
        <f>LEN(INDIRECT(ADDRESS(ROW() + (0),COLUMN() + (-1))))</f>
        <v/>
      </c>
      <c r="D72" s="0" t="inlineStr">
        <is>
          <t>Usado</t>
        </is>
      </c>
      <c r="E72" s="38" t="inlineStr">
        <is>
          <t>https://numismaticapopper.com/images/205A.jpeg,https://numismaticapopper.com/images/205B.jpeg</t>
        </is>
      </c>
      <c r="F72" t="inlineStr">
        <is>
          <t>205</t>
        </is>
      </c>
      <c r="G72" s="40" t="n">
        <v>1</v>
      </c>
      <c r="H72" t="n">
        <v>10000</v>
      </c>
      <c r="I72" t="inlineStr">
        <is>
          <t>Estado de conservacion: Muy Buena +
Referencia de catalogo: KM# 574
Material: Bronce
Peso: 5.0 g
Diametro: 24.0 mm</t>
        </is>
      </c>
      <c r="J72" s="31">
        <f>IF(INDIRECT(ADDRESS(ROW() + (0),COLUMN() + (1)))="Agregar cuotas", IF(("16%")="", "-", "16%"), IF(INDIRECT(ADDRESS(ROW() + (0),COLUMN() + (1)))="No agregar cuotas", IF(("16%")="", "-", "16%"), "-"))</f>
        <v/>
      </c>
      <c r="K72" s="0" t="inlineStr">
        <is>
          <t>No agregar cuotas</t>
        </is>
      </c>
      <c r="L72" s="31">
        <f>IF(INDIRECT(ADDRESS(ROW() + (0),COLUMN() + (-1)))="Agregar cuotas", IF(("13.4%")="", "Sin costo", "13.4%"), IF(INDIRECT(ADDRESS(ROW() + (0),COLUMN() + (-1)))="No agregar cuotas", IF(("")="", "Sin costo", ""), "-"))</f>
        <v/>
      </c>
      <c r="M72" s="0" t="inlineStr">
        <is>
          <t>Mercado Envíos</t>
        </is>
      </c>
      <c r="N72" s="0" t="inlineStr">
        <is>
          <t>A cargo del comprador</t>
        </is>
      </c>
      <c r="O72" s="0" t="inlineStr">
        <is>
          <t>Acepto</t>
        </is>
      </c>
      <c r="P72" s="47" t="inlineStr">
        <is>
          <t>Sin garantía</t>
        </is>
      </c>
      <c r="R72" s="0" t="inlineStr">
        <is>
          <t>Seleccionar</t>
        </is>
      </c>
      <c r="S72" s="0" t="inlineStr">
        <is>
          <t>No ofrezco</t>
        </is>
      </c>
      <c r="T72" t="n">
        <v>1924</v>
      </c>
      <c r="U72" s="0" t="inlineStr">
        <is>
          <t>Portugal</t>
        </is>
      </c>
      <c r="X72" s="0" t="inlineStr">
        <is>
          <t>Bronce</t>
        </is>
      </c>
      <c r="Z72" t="inlineStr">
        <is>
          <t>20 Centavos</t>
        </is>
      </c>
      <c r="AA72" s="0" t="inlineStr">
        <is>
          <t>Peso</t>
        </is>
      </c>
      <c r="AB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 s="53">
        <f>IF(OR(TRIM(INDIRECT("B"&amp;ROW())) &lt;&gt; "",TRIM(INDIRECT("A"&amp;ROW())) &lt;&gt; ""),AND(TRIM(INDIRECT("A"&amp;ROW())) &lt;&gt; "",TRIM(INDIRECT("D"&amp;ROW())) = "nuevo"),"")</f>
        <v/>
      </c>
    </row>
    <row r="73" ht="27.5" customHeight="1" s="62">
      <c r="B73" t="inlineStr">
        <is>
          <t>Moneda España Seiseno -1652 1641</t>
        </is>
      </c>
      <c r="C73" s="0">
        <f>LEN(INDIRECT(ADDRESS(ROW() + (0),COLUMN() + (-1))))</f>
        <v/>
      </c>
      <c r="D73" s="0" t="inlineStr">
        <is>
          <t>Usado</t>
        </is>
      </c>
      <c r="E73" s="38" t="inlineStr">
        <is>
          <t>https://numismaticapopper.com/images/206A.jpeg,https://numismaticapopper.com/images/206B.jpeg</t>
        </is>
      </c>
      <c r="F73" t="inlineStr">
        <is>
          <t>206</t>
        </is>
      </c>
      <c r="G73" s="40" t="n">
        <v>1</v>
      </c>
      <c r="H73" t="n">
        <v>26000</v>
      </c>
      <c r="I73" t="inlineStr">
        <is>
          <t>Estado de conservacion: Regular
Referencia de catalogo: KM# 28
Material: Cobre
Peso: 4.0 g
Diametro: 21.0 mm
Barcelona
Luis XIII
Moneda de urgencia</t>
        </is>
      </c>
      <c r="J73" s="31">
        <f>IF(INDIRECT(ADDRESS(ROW() + (0),COLUMN() + (1)))="Agregar cuotas", IF(("16%")="", "-", "16%"), IF(INDIRECT(ADDRESS(ROW() + (0),COLUMN() + (1)))="No agregar cuotas", IF(("16%")="", "-", "16%"), "-"))</f>
        <v/>
      </c>
      <c r="K73" s="0" t="inlineStr">
        <is>
          <t>No agregar cuotas</t>
        </is>
      </c>
      <c r="L73" s="31">
        <f>IF(INDIRECT(ADDRESS(ROW() + (0),COLUMN() + (-1)))="Agregar cuotas", IF(("13.4%")="", "Sin costo", "13.4%"), IF(INDIRECT(ADDRESS(ROW() + (0),COLUMN() + (-1)))="No agregar cuotas", IF(("")="", "Sin costo", ""), "-"))</f>
        <v/>
      </c>
      <c r="M73" s="0" t="inlineStr">
        <is>
          <t>Mercado Envíos</t>
        </is>
      </c>
      <c r="N73" s="0" t="inlineStr">
        <is>
          <t>A cargo del comprador</t>
        </is>
      </c>
      <c r="O73" s="0" t="inlineStr">
        <is>
          <t>Acepto</t>
        </is>
      </c>
      <c r="P73" s="47" t="inlineStr">
        <is>
          <t>Sin garantía</t>
        </is>
      </c>
      <c r="R73" s="0" t="inlineStr">
        <is>
          <t>Seleccionar</t>
        </is>
      </c>
      <c r="S73" s="0" t="inlineStr">
        <is>
          <t>No ofrezco</t>
        </is>
      </c>
      <c r="T73" t="n">
        <v>1641</v>
      </c>
      <c r="U73" s="0" t="inlineStr">
        <is>
          <t>España</t>
        </is>
      </c>
      <c r="X73" s="0" t="inlineStr">
        <is>
          <t>Cobre</t>
        </is>
      </c>
      <c r="Z73" t="inlineStr">
        <is>
          <t>Seiseno -1652</t>
        </is>
      </c>
      <c r="AA73" s="0" t="inlineStr">
        <is>
          <t>Euro</t>
        </is>
      </c>
      <c r="AB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 s="53">
        <f>IF(OR(TRIM(INDIRECT("B"&amp;ROW())) &lt;&gt; "",TRIM(INDIRECT("A"&amp;ROW())) &lt;&gt; ""),AND(TRIM(INDIRECT("A"&amp;ROW())) &lt;&gt; "",TRIM(INDIRECT("D"&amp;ROW())) = "nuevo"),"")</f>
        <v/>
      </c>
    </row>
    <row r="74" ht="27.5" customHeight="1" s="62">
      <c r="B74" t="inlineStr">
        <is>
          <t>Moneda Argentina 1 Peso FALSA 1995</t>
        </is>
      </c>
      <c r="C74" s="0">
        <f>LEN(INDIRECT(ADDRESS(ROW() + (0),COLUMN() + (-1))))</f>
        <v/>
      </c>
      <c r="D74" s="0" t="inlineStr">
        <is>
          <t>Usado</t>
        </is>
      </c>
      <c r="E74" s="38" t="inlineStr">
        <is>
          <t>https://numismaticapopper.com/images/210A.jpeg,https://numismaticapopper.com/images/210B.jpeg</t>
        </is>
      </c>
      <c r="F74" t="inlineStr">
        <is>
          <t>210</t>
        </is>
      </c>
      <c r="G74" s="40" t="n">
        <v>1</v>
      </c>
      <c r="H74" t="n">
        <v>11000</v>
      </c>
      <c r="I74" t="inlineStr">
        <is>
          <t>Estado de conservacion: Muy Buena
Material: Monometálica
Moneda falsa.
Era de la convertibilidad (paridad con el dólar).</t>
        </is>
      </c>
      <c r="J74" s="31">
        <f>IF(INDIRECT(ADDRESS(ROW() + (0),COLUMN() + (1)))="Agregar cuotas", IF(("16%")="", "-", "16%"), IF(INDIRECT(ADDRESS(ROW() + (0),COLUMN() + (1)))="No agregar cuotas", IF(("16%")="", "-", "16%"), "-"))</f>
        <v/>
      </c>
      <c r="K74" s="0" t="inlineStr">
        <is>
          <t>No agregar cuotas</t>
        </is>
      </c>
      <c r="L74" s="31">
        <f>IF(INDIRECT(ADDRESS(ROW() + (0),COLUMN() + (-1)))="Agregar cuotas", IF(("13.4%")="", "Sin costo", "13.4%"), IF(INDIRECT(ADDRESS(ROW() + (0),COLUMN() + (-1)))="No agregar cuotas", IF(("")="", "Sin costo", ""), "-"))</f>
        <v/>
      </c>
      <c r="M74" s="0" t="inlineStr">
        <is>
          <t>Mercado Envíos</t>
        </is>
      </c>
      <c r="N74" s="0" t="inlineStr">
        <is>
          <t>A cargo del comprador</t>
        </is>
      </c>
      <c r="O74" s="0" t="inlineStr">
        <is>
          <t>Acepto</t>
        </is>
      </c>
      <c r="P74" s="47" t="inlineStr">
        <is>
          <t>Sin garantía</t>
        </is>
      </c>
      <c r="R74" s="0" t="inlineStr">
        <is>
          <t>Seleccionar</t>
        </is>
      </c>
      <c r="S74" s="0" t="inlineStr">
        <is>
          <t>No ofrezco</t>
        </is>
      </c>
      <c r="T74" t="n">
        <v>1995</v>
      </c>
      <c r="U74" s="0" t="inlineStr">
        <is>
          <t>Argentina</t>
        </is>
      </c>
      <c r="X74" s="0" t="inlineStr">
        <is>
          <t>Níquel</t>
        </is>
      </c>
      <c r="Z74" t="inlineStr">
        <is>
          <t>1 Peso FALSA</t>
        </is>
      </c>
      <c r="AA74" s="0" t="inlineStr">
        <is>
          <t>Peso</t>
        </is>
      </c>
      <c r="AB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 s="53">
        <f>IF(OR(TRIM(INDIRECT("B"&amp;ROW())) &lt;&gt; "",TRIM(INDIRECT("A"&amp;ROW())) &lt;&gt; ""),AND(TRIM(INDIRECT("A"&amp;ROW())) &lt;&gt; "",TRIM(INDIRECT("D"&amp;ROW())) = "nuevo"),"")</f>
        <v/>
      </c>
    </row>
    <row r="75" ht="27.5" customHeight="1" s="62">
      <c r="B75" t="inlineStr">
        <is>
          <t>Moneda España 2 Euro 2013</t>
        </is>
      </c>
      <c r="C75" s="0">
        <f>LEN(INDIRECT(ADDRESS(ROW() + (0),COLUMN() + (-1))))</f>
        <v/>
      </c>
      <c r="D75" s="0" t="inlineStr">
        <is>
          <t>Usado</t>
        </is>
      </c>
      <c r="E75" s="38" t="inlineStr">
        <is>
          <t>https://numismaticapopper.com/images/211A.jpeg,https://numismaticapopper.com/images/211B.jpeg</t>
        </is>
      </c>
      <c r="F75" t="inlineStr">
        <is>
          <t>211</t>
        </is>
      </c>
      <c r="G75" s="40" t="n">
        <v>1</v>
      </c>
      <c r="H75" t="n">
        <v>20000</v>
      </c>
      <c r="I75" t="inlineStr">
        <is>
          <t>Estado de conservacion: Excelente
Referencia de catalogo: KM# 1305
Material: Bimetálica
Peso: 8.5 g
Diametro: 25.75 mm
Tirada: 4000000
Conmemora: Monasterio y Sitio del Escorial
Conmemorativa del Monasterio y Sitio del Escorial.</t>
        </is>
      </c>
      <c r="J75" s="31">
        <f>IF(INDIRECT(ADDRESS(ROW() + (0),COLUMN() + (1)))="Agregar cuotas", IF(("16%")="", "-", "16%"), IF(INDIRECT(ADDRESS(ROW() + (0),COLUMN() + (1)))="No agregar cuotas", IF(("16%")="", "-", "16%"), "-"))</f>
        <v/>
      </c>
      <c r="K75" s="0" t="inlineStr">
        <is>
          <t>No agregar cuotas</t>
        </is>
      </c>
      <c r="L75" s="31">
        <f>IF(INDIRECT(ADDRESS(ROW() + (0),COLUMN() + (-1)))="Agregar cuotas", IF(("13.4%")="", "Sin costo", "13.4%"), IF(INDIRECT(ADDRESS(ROW() + (0),COLUMN() + (-1)))="No agregar cuotas", IF(("")="", "Sin costo", ""), "-"))</f>
        <v/>
      </c>
      <c r="M75" s="0" t="inlineStr">
        <is>
          <t>Mercado Envíos</t>
        </is>
      </c>
      <c r="N75" s="0" t="inlineStr">
        <is>
          <t>A cargo del comprador</t>
        </is>
      </c>
      <c r="O75" s="0" t="inlineStr">
        <is>
          <t>Acepto</t>
        </is>
      </c>
      <c r="P75" s="47" t="inlineStr">
        <is>
          <t>Sin garantía</t>
        </is>
      </c>
      <c r="R75" s="0" t="inlineStr">
        <is>
          <t>Seleccionar</t>
        </is>
      </c>
      <c r="S75" s="0" t="inlineStr">
        <is>
          <t>No ofrezco</t>
        </is>
      </c>
      <c r="T75" t="n">
        <v>2013</v>
      </c>
      <c r="U75" s="0" t="inlineStr">
        <is>
          <t>España</t>
        </is>
      </c>
      <c r="X75" s="0" t="inlineStr">
        <is>
          <t>Níquel</t>
        </is>
      </c>
      <c r="Y75" t="inlineStr">
        <is>
          <t>Monasterio y Sitio del Escorial</t>
        </is>
      </c>
      <c r="Z75" t="inlineStr">
        <is>
          <t>2 Euro</t>
        </is>
      </c>
      <c r="AA75" s="0" t="inlineStr">
        <is>
          <t>Euro</t>
        </is>
      </c>
      <c r="AB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 s="53">
        <f>IF(OR(TRIM(INDIRECT("B"&amp;ROW())) &lt;&gt; "",TRIM(INDIRECT("A"&amp;ROW())) &lt;&gt; ""),AND(TRIM(INDIRECT("A"&amp;ROW())) &lt;&gt; "",TRIM(INDIRECT("D"&amp;ROW())) = "nuevo"),"")</f>
        <v/>
      </c>
    </row>
    <row r="76" ht="27.5" customHeight="1" s="62">
      <c r="B76" t="inlineStr">
        <is>
          <t>Moneda Liberia 5 Cents 2000</t>
        </is>
      </c>
      <c r="C76" s="0">
        <f>LEN(INDIRECT(ADDRESS(ROW() + (0),COLUMN() + (-1))))</f>
        <v/>
      </c>
      <c r="D76" s="0" t="inlineStr">
        <is>
          <t>Usado</t>
        </is>
      </c>
      <c r="E76" s="38" t="inlineStr">
        <is>
          <t>https://numismaticapopper.com/images/213A.jpeg,https://numismaticapopper.com/images/213B.jpeg</t>
        </is>
      </c>
      <c r="F76" t="inlineStr">
        <is>
          <t>213</t>
        </is>
      </c>
      <c r="G76" s="40" t="n">
        <v>1</v>
      </c>
      <c r="H76" t="n">
        <v>9000</v>
      </c>
      <c r="I76" t="inlineStr">
        <is>
          <t>Estado de conservacion: Sin Circular
Referencia de catalogo: KM# 474
Material: Aluminio
Peso: 2.25 g
Diametro: 27.0 mm</t>
        </is>
      </c>
      <c r="J76" s="31">
        <f>IF(INDIRECT(ADDRESS(ROW() + (0),COLUMN() + (1)))="Agregar cuotas", IF(("16%")="", "-", "16%"), IF(INDIRECT(ADDRESS(ROW() + (0),COLUMN() + (1)))="No agregar cuotas", IF(("16%")="", "-", "16%"), "-"))</f>
        <v/>
      </c>
      <c r="K76" s="0" t="inlineStr">
        <is>
          <t>No agregar cuotas</t>
        </is>
      </c>
      <c r="L76" s="31">
        <f>IF(INDIRECT(ADDRESS(ROW() + (0),COLUMN() + (-1)))="Agregar cuotas", IF(("13.4%")="", "Sin costo", "13.4%"), IF(INDIRECT(ADDRESS(ROW() + (0),COLUMN() + (-1)))="No agregar cuotas", IF(("")="", "Sin costo", ""), "-"))</f>
        <v/>
      </c>
      <c r="M76" s="0" t="inlineStr">
        <is>
          <t>Mercado Envíos</t>
        </is>
      </c>
      <c r="N76" s="0" t="inlineStr">
        <is>
          <t>A cargo del comprador</t>
        </is>
      </c>
      <c r="O76" s="0" t="inlineStr">
        <is>
          <t>Acepto</t>
        </is>
      </c>
      <c r="P76" s="47" t="inlineStr">
        <is>
          <t>Sin garantía</t>
        </is>
      </c>
      <c r="R76" s="0" t="inlineStr">
        <is>
          <t>Seleccionar</t>
        </is>
      </c>
      <c r="S76" s="0" t="inlineStr">
        <is>
          <t>No ofrezco</t>
        </is>
      </c>
      <c r="T76" t="n">
        <v>2000</v>
      </c>
      <c r="U76" s="0" t="inlineStr">
        <is>
          <t>Estados Unidos</t>
        </is>
      </c>
      <c r="X76" s="0" t="inlineStr">
        <is>
          <t>Níquel</t>
        </is>
      </c>
      <c r="Z76" t="inlineStr">
        <is>
          <t>5 Cents</t>
        </is>
      </c>
      <c r="AA76" s="0" t="inlineStr">
        <is>
          <t>Dólar</t>
        </is>
      </c>
      <c r="AB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 s="53">
        <f>IF(OR(TRIM(INDIRECT("B"&amp;ROW())) &lt;&gt; "",TRIM(INDIRECT("A"&amp;ROW())) &lt;&gt; ""),AND(TRIM(INDIRECT("A"&amp;ROW())) &lt;&gt; "",TRIM(INDIRECT("D"&amp;ROW())) = "nuevo"),"")</f>
        <v/>
      </c>
    </row>
    <row r="77" ht="27.5" customHeight="1" s="62">
      <c r="B77" t="inlineStr">
        <is>
          <t>Moneda Bélgica 25 Cents 1943</t>
        </is>
      </c>
      <c r="C77" s="0">
        <f>LEN(INDIRECT(ADDRESS(ROW() + (0),COLUMN() + (-1))))</f>
        <v/>
      </c>
      <c r="D77" s="0" t="inlineStr">
        <is>
          <t>Usado</t>
        </is>
      </c>
      <c r="E77" s="38" t="inlineStr">
        <is>
          <t>https://numismaticapopper.com/images/227A.jpeg,https://numismaticapopper.com/images/227B.jpeg</t>
        </is>
      </c>
      <c r="F77" t="inlineStr">
        <is>
          <t>227</t>
        </is>
      </c>
      <c r="G77" s="40" t="n">
        <v>1</v>
      </c>
      <c r="H77" t="n">
        <v>11000</v>
      </c>
      <c r="I77" t="inlineStr">
        <is>
          <t>Estado de conservacion: Excelente -
Referencia de catalogo: KM# 132
Material: Zinc
Peso: 6.5 g
Diametro: 26.0 mm
Variante (BELGIE-BELGIQUE)
Segunda Guerra Mundial</t>
        </is>
      </c>
      <c r="J77" s="31">
        <f>IF(INDIRECT(ADDRESS(ROW() + (0),COLUMN() + (1)))="Agregar cuotas", IF(("16%")="", "-", "16%"), IF(INDIRECT(ADDRESS(ROW() + (0),COLUMN() + (1)))="No agregar cuotas", IF(("16%")="", "-", "16%"), "-"))</f>
        <v/>
      </c>
      <c r="K77" s="0" t="inlineStr">
        <is>
          <t>No agregar cuotas</t>
        </is>
      </c>
      <c r="L77" s="31">
        <f>IF(INDIRECT(ADDRESS(ROW() + (0),COLUMN() + (-1)))="Agregar cuotas", IF(("13.4%")="", "Sin costo", "13.4%"), IF(INDIRECT(ADDRESS(ROW() + (0),COLUMN() + (-1)))="No agregar cuotas", IF(("")="", "Sin costo", ""), "-"))</f>
        <v/>
      </c>
      <c r="M77" s="0" t="inlineStr">
        <is>
          <t>Mercado Envíos</t>
        </is>
      </c>
      <c r="N77" s="0" t="inlineStr">
        <is>
          <t>A cargo del comprador</t>
        </is>
      </c>
      <c r="O77" s="0" t="inlineStr">
        <is>
          <t>Acepto</t>
        </is>
      </c>
      <c r="P77" s="47" t="inlineStr">
        <is>
          <t>Sin garantía</t>
        </is>
      </c>
      <c r="R77" s="0" t="inlineStr">
        <is>
          <t>Seleccionar</t>
        </is>
      </c>
      <c r="S77" s="0" t="inlineStr">
        <is>
          <t>No ofrezco</t>
        </is>
      </c>
      <c r="T77" t="n">
        <v>1943</v>
      </c>
      <c r="U77" s="0" t="inlineStr">
        <is>
          <t>Bélgica</t>
        </is>
      </c>
      <c r="X77" s="0" t="inlineStr">
        <is>
          <t>Níquel</t>
        </is>
      </c>
      <c r="Z77" t="inlineStr">
        <is>
          <t>25 Cents</t>
        </is>
      </c>
      <c r="AA77" s="0" t="inlineStr">
        <is>
          <t>Dólar</t>
        </is>
      </c>
      <c r="AB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 s="53">
        <f>IF(OR(TRIM(INDIRECT("B"&amp;ROW())) &lt;&gt; "",TRIM(INDIRECT("A"&amp;ROW())) &lt;&gt; ""),AND(TRIM(INDIRECT("A"&amp;ROW())) &lt;&gt; "",TRIM(INDIRECT("D"&amp;ROW())) = "nuevo"),"")</f>
        <v/>
      </c>
    </row>
    <row r="78" ht="27.5" customHeight="1" s="62">
      <c r="B78" t="inlineStr">
        <is>
          <t>Moneda Swazilandia 2 Cents 1982</t>
        </is>
      </c>
      <c r="C78" s="0">
        <f>LEN(INDIRECT(ADDRESS(ROW() + (0),COLUMN() + (-1))))</f>
        <v/>
      </c>
      <c r="D78" s="0" t="inlineStr">
        <is>
          <t>Usado</t>
        </is>
      </c>
      <c r="E78" s="38" t="inlineStr">
        <is>
          <t>https://numismaticapopper.com/images/232A.jpeg,https://numismaticapopper.com/images/232B.jpeg</t>
        </is>
      </c>
      <c r="F78" t="inlineStr">
        <is>
          <t>232</t>
        </is>
      </c>
      <c r="G78" s="40" t="n">
        <v>1</v>
      </c>
      <c r="H78" t="n">
        <v>12000</v>
      </c>
      <c r="I78" t="inlineStr">
        <is>
          <t>Estado de conservacion: Excelente
Referencia de catalogo: KM# 8
Material: Bronce
Peso: 2.79 g
Diametro: 20.9 mm
Tirada: 500000
Cuadrada</t>
        </is>
      </c>
      <c r="J78" s="31">
        <f>IF(INDIRECT(ADDRESS(ROW() + (0),COLUMN() + (1)))="Agregar cuotas", IF(("16%")="", "-", "16%"), IF(INDIRECT(ADDRESS(ROW() + (0),COLUMN() + (1)))="No agregar cuotas", IF(("16%")="", "-", "16%"), "-"))</f>
        <v/>
      </c>
      <c r="K78" s="0" t="inlineStr">
        <is>
          <t>No agregar cuotas</t>
        </is>
      </c>
      <c r="L78" s="31">
        <f>IF(INDIRECT(ADDRESS(ROW() + (0),COLUMN() + (-1)))="Agregar cuotas", IF(("13.4%")="", "Sin costo", "13.4%"), IF(INDIRECT(ADDRESS(ROW() + (0),COLUMN() + (-1)))="No agregar cuotas", IF(("")="", "Sin costo", ""), "-"))</f>
        <v/>
      </c>
      <c r="M78" s="0" t="inlineStr">
        <is>
          <t>Mercado Envíos</t>
        </is>
      </c>
      <c r="N78" s="0" t="inlineStr">
        <is>
          <t>A cargo del comprador</t>
        </is>
      </c>
      <c r="O78" s="0" t="inlineStr">
        <is>
          <t>Acepto</t>
        </is>
      </c>
      <c r="P78" s="47" t="inlineStr">
        <is>
          <t>Sin garantía</t>
        </is>
      </c>
      <c r="R78" s="0" t="inlineStr">
        <is>
          <t>Seleccionar</t>
        </is>
      </c>
      <c r="S78" s="0" t="inlineStr">
        <is>
          <t>No ofrezco</t>
        </is>
      </c>
      <c r="T78" t="n">
        <v>1982</v>
      </c>
      <c r="U78" s="0" t="inlineStr">
        <is>
          <t>Inglaterra</t>
        </is>
      </c>
      <c r="X78" s="0" t="inlineStr">
        <is>
          <t>Bronce</t>
        </is>
      </c>
      <c r="Z78" t="inlineStr">
        <is>
          <t>2 Cents</t>
        </is>
      </c>
      <c r="AA78" s="0" t="inlineStr">
        <is>
          <t>Dólar</t>
        </is>
      </c>
      <c r="AB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 s="53">
        <f>IF(OR(TRIM(INDIRECT("B"&amp;ROW())) &lt;&gt; "",TRIM(INDIRECT("A"&amp;ROW())) &lt;&gt; ""),AND(TRIM(INDIRECT("A"&amp;ROW())) &lt;&gt; "",TRIM(INDIRECT("D"&amp;ROW())) = "nuevo"),"")</f>
        <v/>
      </c>
    </row>
    <row r="79" ht="27.5" customHeight="1" s="62">
      <c r="B79" t="inlineStr">
        <is>
          <t>Moneda Marruecos 2 Falus -1863 1861</t>
        </is>
      </c>
      <c r="C79" s="0">
        <f>LEN(INDIRECT(ADDRESS(ROW() + (0),COLUMN() + (-1))))</f>
        <v/>
      </c>
      <c r="D79" s="0" t="inlineStr">
        <is>
          <t>Usado</t>
        </is>
      </c>
      <c r="E79" s="38" t="inlineStr">
        <is>
          <t>https://numismaticapopper.com/images/242A.jpeg,https://numismaticapopper.com/images/242B.jpeg</t>
        </is>
      </c>
      <c r="F79" t="inlineStr">
        <is>
          <t>242</t>
        </is>
      </c>
      <c r="G79" s="40" t="n">
        <v>1</v>
      </c>
      <c r="H79" t="n">
        <v>12000</v>
      </c>
      <c r="I79" t="inlineStr">
        <is>
          <t>Estado de conservacion: Regular +
Referencia de catalogo: C# 163.2
Material: Bronce
Peso: 7.06 g
Diametro: 22.0 mm</t>
        </is>
      </c>
      <c r="J79" s="31">
        <f>IF(INDIRECT(ADDRESS(ROW() + (0),COLUMN() + (1)))="Agregar cuotas", IF(("16%")="", "-", "16%"), IF(INDIRECT(ADDRESS(ROW() + (0),COLUMN() + (1)))="No agregar cuotas", IF(("16%")="", "-", "16%"), "-"))</f>
        <v/>
      </c>
      <c r="K79" s="0" t="inlineStr">
        <is>
          <t>No agregar cuotas</t>
        </is>
      </c>
      <c r="L79" s="31">
        <f>IF(INDIRECT(ADDRESS(ROW() + (0),COLUMN() + (-1)))="Agregar cuotas", IF(("13.4%")="", "Sin costo", "13.4%"), IF(INDIRECT(ADDRESS(ROW() + (0),COLUMN() + (-1)))="No agregar cuotas", IF(("")="", "Sin costo", ""), "-"))</f>
        <v/>
      </c>
      <c r="M79" s="0" t="inlineStr">
        <is>
          <t>Mercado Envíos</t>
        </is>
      </c>
      <c r="N79" s="0" t="inlineStr">
        <is>
          <t>A cargo del comprador</t>
        </is>
      </c>
      <c r="O79" s="0" t="inlineStr">
        <is>
          <t>Acepto</t>
        </is>
      </c>
      <c r="P79" s="47" t="inlineStr">
        <is>
          <t>Sin garantía</t>
        </is>
      </c>
      <c r="R79" s="0" t="inlineStr">
        <is>
          <t>Seleccionar</t>
        </is>
      </c>
      <c r="S79" s="0" t="inlineStr">
        <is>
          <t>No ofrezco</t>
        </is>
      </c>
      <c r="T79" t="n">
        <v>1861</v>
      </c>
      <c r="U79" s="0" t="inlineStr">
        <is>
          <t>Francia</t>
        </is>
      </c>
      <c r="X79" s="0" t="inlineStr">
        <is>
          <t>Bronce</t>
        </is>
      </c>
      <c r="Z79" t="inlineStr">
        <is>
          <t>2 Falus -1863</t>
        </is>
      </c>
      <c r="AA79" s="0" t="inlineStr">
        <is>
          <t>Euro</t>
        </is>
      </c>
      <c r="AB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 s="53">
        <f>IF(OR(TRIM(INDIRECT("B"&amp;ROW())) &lt;&gt; "",TRIM(INDIRECT("A"&amp;ROW())) &lt;&gt; ""),AND(TRIM(INDIRECT("A"&amp;ROW())) &lt;&gt; "",TRIM(INDIRECT("D"&amp;ROW())) = "nuevo"),"")</f>
        <v/>
      </c>
    </row>
    <row r="80" ht="27.5" customHeight="1" s="62">
      <c r="B80" t="inlineStr">
        <is>
          <t>Moneda El Salvador Centavo 1989</t>
        </is>
      </c>
      <c r="C80" s="0">
        <f>LEN(INDIRECT(ADDRESS(ROW() + (0),COLUMN() + (-1))))</f>
        <v/>
      </c>
      <c r="D80" s="0" t="inlineStr">
        <is>
          <t>Usado</t>
        </is>
      </c>
      <c r="E80" s="38" t="inlineStr">
        <is>
          <t>https://numismaticapopper.com/images/244A.jpeg,https://numismaticapopper.com/images/244B.jpeg</t>
        </is>
      </c>
      <c r="F80" t="inlineStr">
        <is>
          <t>244</t>
        </is>
      </c>
      <c r="G80" s="40" t="n">
        <v>1</v>
      </c>
      <c r="H80" t="n">
        <v>8000</v>
      </c>
      <c r="I80" t="inlineStr">
        <is>
          <t>Estado de conservacion: Sin Circular
Referencia de catalogo: KM# 153a
Material: Bronce</t>
        </is>
      </c>
      <c r="J80" s="31">
        <f>IF(INDIRECT(ADDRESS(ROW() + (0),COLUMN() + (1)))="Agregar cuotas", IF(("16%")="", "-", "16%"), IF(INDIRECT(ADDRESS(ROW() + (0),COLUMN() + (1)))="No agregar cuotas", IF(("16%")="", "-", "16%"), "-"))</f>
        <v/>
      </c>
      <c r="K80" s="0" t="inlineStr">
        <is>
          <t>No agregar cuotas</t>
        </is>
      </c>
      <c r="L80" s="31">
        <f>IF(INDIRECT(ADDRESS(ROW() + (0),COLUMN() + (-1)))="Agregar cuotas", IF(("13.4%")="", "Sin costo", "13.4%"), IF(INDIRECT(ADDRESS(ROW() + (0),COLUMN() + (-1)))="No agregar cuotas", IF(("")="", "Sin costo", ""), "-"))</f>
        <v/>
      </c>
      <c r="M80" s="0" t="inlineStr">
        <is>
          <t>Mercado Envíos</t>
        </is>
      </c>
      <c r="N80" s="0" t="inlineStr">
        <is>
          <t>A cargo del comprador</t>
        </is>
      </c>
      <c r="O80" s="0" t="inlineStr">
        <is>
          <t>Acepto</t>
        </is>
      </c>
      <c r="P80" s="47" t="inlineStr">
        <is>
          <t>Sin garantía</t>
        </is>
      </c>
      <c r="R80" s="0" t="inlineStr">
        <is>
          <t>Seleccionar</t>
        </is>
      </c>
      <c r="S80" s="0" t="inlineStr">
        <is>
          <t>No ofrezco</t>
        </is>
      </c>
      <c r="T80" t="n">
        <v>1989</v>
      </c>
      <c r="U80" s="0" t="inlineStr">
        <is>
          <t>México</t>
        </is>
      </c>
      <c r="X80" s="0" t="inlineStr">
        <is>
          <t>Bronce</t>
        </is>
      </c>
      <c r="Z80" t="inlineStr">
        <is>
          <t>Centavo</t>
        </is>
      </c>
      <c r="AA80" s="0" t="inlineStr">
        <is>
          <t>Peso</t>
        </is>
      </c>
      <c r="AB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 s="53">
        <f>IF(OR(TRIM(INDIRECT("B"&amp;ROW())) &lt;&gt; "",TRIM(INDIRECT("A"&amp;ROW())) &lt;&gt; ""),AND(TRIM(INDIRECT("A"&amp;ROW())) &lt;&gt; "",TRIM(INDIRECT("D"&amp;ROW())) = "nuevo"),"")</f>
        <v/>
      </c>
    </row>
    <row r="81" ht="27.5" customHeight="1" s="62">
      <c r="B81" t="inlineStr">
        <is>
          <t>Moneda Emiratos Árabes Unidos 5 Fils 1974</t>
        </is>
      </c>
      <c r="C81" s="0">
        <f>LEN(INDIRECT(ADDRESS(ROW() + (0),COLUMN() + (-1))))</f>
        <v/>
      </c>
      <c r="D81" s="0" t="inlineStr">
        <is>
          <t>Usado</t>
        </is>
      </c>
      <c r="E81" s="38" t="inlineStr">
        <is>
          <t>https://numismaticapopper.com/images/249A.jpeg,https://numismaticapopper.com/images/249B.jpeg</t>
        </is>
      </c>
      <c r="F81" t="inlineStr">
        <is>
          <t>249</t>
        </is>
      </c>
      <c r="G81" s="40" t="n">
        <v>1</v>
      </c>
      <c r="H81" t="n">
        <v>9000</v>
      </c>
      <c r="I81" t="inlineStr">
        <is>
          <t>Estado de conservacion: Sin Circular
Referencia de catalogo: KM# 2.1
Material: Bronce
Peso: 3.75 g
Diametro: 22.0 mm</t>
        </is>
      </c>
      <c r="J81" s="31">
        <f>IF(INDIRECT(ADDRESS(ROW() + (0),COLUMN() + (1)))="Agregar cuotas", IF(("16%")="", "-", "16%"), IF(INDIRECT(ADDRESS(ROW() + (0),COLUMN() + (1)))="No agregar cuotas", IF(("16%")="", "-", "16%"), "-"))</f>
        <v/>
      </c>
      <c r="K81" s="0" t="inlineStr">
        <is>
          <t>No agregar cuotas</t>
        </is>
      </c>
      <c r="L81" s="31">
        <f>IF(INDIRECT(ADDRESS(ROW() + (0),COLUMN() + (-1)))="Agregar cuotas", IF(("13.4%")="", "Sin costo", "13.4%"), IF(INDIRECT(ADDRESS(ROW() + (0),COLUMN() + (-1)))="No agregar cuotas", IF(("")="", "Sin costo", ""), "-"))</f>
        <v/>
      </c>
      <c r="M81" s="0" t="inlineStr">
        <is>
          <t>Mercado Envíos</t>
        </is>
      </c>
      <c r="N81" s="0" t="inlineStr">
        <is>
          <t>A cargo del comprador</t>
        </is>
      </c>
      <c r="O81" s="0" t="inlineStr">
        <is>
          <t>Acepto</t>
        </is>
      </c>
      <c r="P81" s="47" t="inlineStr">
        <is>
          <t>Sin garantía</t>
        </is>
      </c>
      <c r="R81" s="0" t="inlineStr">
        <is>
          <t>Seleccionar</t>
        </is>
      </c>
      <c r="S81" s="0" t="inlineStr">
        <is>
          <t>No ofrezco</t>
        </is>
      </c>
      <c r="T81" t="n">
        <v>1974</v>
      </c>
      <c r="U81" s="0" t="inlineStr">
        <is>
          <t>Israel</t>
        </is>
      </c>
      <c r="X81" s="0" t="inlineStr">
        <is>
          <t>Bronce</t>
        </is>
      </c>
      <c r="Z81" t="inlineStr">
        <is>
          <t>5 Fils</t>
        </is>
      </c>
      <c r="AA81" s="0" t="inlineStr">
        <is>
          <t>Sheqel</t>
        </is>
      </c>
      <c r="AB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 s="53">
        <f>IF(OR(TRIM(INDIRECT("B"&amp;ROW())) &lt;&gt; "",TRIM(INDIRECT("A"&amp;ROW())) &lt;&gt; ""),AND(TRIM(INDIRECT("A"&amp;ROW())) &lt;&gt; "",TRIM(INDIRECT("D"&amp;ROW())) = "nuevo"),"")</f>
        <v/>
      </c>
    </row>
    <row r="82" ht="27.5" customHeight="1" s="62">
      <c r="B82" t="inlineStr">
        <is>
          <t>Moneda Colombia 1 Centavo 1974</t>
        </is>
      </c>
      <c r="C82" s="0">
        <f>LEN(INDIRECT(ADDRESS(ROW() + (0),COLUMN() + (-1))))</f>
        <v/>
      </c>
      <c r="D82" s="0" t="inlineStr">
        <is>
          <t>Usado</t>
        </is>
      </c>
      <c r="E82" s="38" t="inlineStr">
        <is>
          <t>https://numismaticapopper.com/images/251A.jpeg,https://numismaticapopper.com/images/251B.jpeg</t>
        </is>
      </c>
      <c r="F82" t="inlineStr">
        <is>
          <t>251</t>
        </is>
      </c>
      <c r="G82" s="40" t="n">
        <v>1</v>
      </c>
      <c r="H82" t="n">
        <v>10000</v>
      </c>
      <c r="I82" t="inlineStr">
        <is>
          <t>Estado de conservacion: Sin Circular
Referencia de catalogo: KM# 205a
Material: Acero chapado en cobre
Peso: 2.0 g
Diametro: 17.2 mm
Tirada: 2.000.000
Escasa.</t>
        </is>
      </c>
      <c r="J82" s="31">
        <f>IF(INDIRECT(ADDRESS(ROW() + (0),COLUMN() + (1)))="Agregar cuotas", IF(("16%")="", "-", "16%"), IF(INDIRECT(ADDRESS(ROW() + (0),COLUMN() + (1)))="No agregar cuotas", IF(("16%")="", "-", "16%"), "-"))</f>
        <v/>
      </c>
      <c r="K82" s="0" t="inlineStr">
        <is>
          <t>No agregar cuotas</t>
        </is>
      </c>
      <c r="L82" s="31">
        <f>IF(INDIRECT(ADDRESS(ROW() + (0),COLUMN() + (-1)))="Agregar cuotas", IF(("13.4%")="", "Sin costo", "13.4%"), IF(INDIRECT(ADDRESS(ROW() + (0),COLUMN() + (-1)))="No agregar cuotas", IF(("")="", "Sin costo", ""), "-"))</f>
        <v/>
      </c>
      <c r="M82" s="0" t="inlineStr">
        <is>
          <t>Mercado Envíos</t>
        </is>
      </c>
      <c r="N82" s="0" t="inlineStr">
        <is>
          <t>A cargo del comprador</t>
        </is>
      </c>
      <c r="O82" s="0" t="inlineStr">
        <is>
          <t>Acepto</t>
        </is>
      </c>
      <c r="P82" s="47" t="inlineStr">
        <is>
          <t>Sin garantía</t>
        </is>
      </c>
      <c r="R82" s="0" t="inlineStr">
        <is>
          <t>Seleccionar</t>
        </is>
      </c>
      <c r="S82" s="0" t="inlineStr">
        <is>
          <t>No ofrezco</t>
        </is>
      </c>
      <c r="T82" t="n">
        <v>1974</v>
      </c>
      <c r="U82" s="0" t="inlineStr">
        <is>
          <t>Perú</t>
        </is>
      </c>
      <c r="X82" s="0" t="inlineStr">
        <is>
          <t>Cobre</t>
        </is>
      </c>
      <c r="Z82" t="inlineStr">
        <is>
          <t>1 Centavo</t>
        </is>
      </c>
      <c r="AA82" s="0" t="inlineStr">
        <is>
          <t>Peso</t>
        </is>
      </c>
      <c r="AB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 s="53">
        <f>IF(OR(TRIM(INDIRECT("B"&amp;ROW())) &lt;&gt; "",TRIM(INDIRECT("A"&amp;ROW())) &lt;&gt; ""),AND(TRIM(INDIRECT("A"&amp;ROW())) &lt;&gt; "",TRIM(INDIRECT("D"&amp;ROW())) = "nuevo"),"")</f>
        <v/>
      </c>
    </row>
    <row r="83" ht="27.5" customHeight="1" s="62">
      <c r="B83" t="inlineStr">
        <is>
          <t>Moneda Colombia 1 Centavo 1976</t>
        </is>
      </c>
      <c r="C83" s="0">
        <f>LEN(INDIRECT(ADDRESS(ROW() + (0),COLUMN() + (-1))))</f>
        <v/>
      </c>
      <c r="D83" s="0" t="inlineStr">
        <is>
          <t>Usado</t>
        </is>
      </c>
      <c r="E83" s="38" t="inlineStr">
        <is>
          <t>https://numismaticapopper.com/images/252A.jpeg,https://numismaticapopper.com/images/252B.jpeg</t>
        </is>
      </c>
      <c r="F83" t="inlineStr">
        <is>
          <t>252</t>
        </is>
      </c>
      <c r="G83" s="40" t="n">
        <v>1</v>
      </c>
      <c r="H83" t="n">
        <v>11000</v>
      </c>
      <c r="I83" t="inlineStr">
        <is>
          <t>Estado de conservacion: Sin Circular
Referencia de catalogo: KM# 205a
Material: Acero chapado en cobre
Peso: 2.0 g
Diametro: 17.2 mm
Tirada: 1.000.000
Escasa.</t>
        </is>
      </c>
      <c r="J83" s="31">
        <f>IF(INDIRECT(ADDRESS(ROW() + (0),COLUMN() + (1)))="Agregar cuotas", IF(("16%")="", "-", "16%"), IF(INDIRECT(ADDRESS(ROW() + (0),COLUMN() + (1)))="No agregar cuotas", IF(("16%")="", "-", "16%"), "-"))</f>
        <v/>
      </c>
      <c r="K83" s="0" t="inlineStr">
        <is>
          <t>No agregar cuotas</t>
        </is>
      </c>
      <c r="L83" s="31">
        <f>IF(INDIRECT(ADDRESS(ROW() + (0),COLUMN() + (-1)))="Agregar cuotas", IF(("13.4%")="", "Sin costo", "13.4%"), IF(INDIRECT(ADDRESS(ROW() + (0),COLUMN() + (-1)))="No agregar cuotas", IF(("")="", "Sin costo", ""), "-"))</f>
        <v/>
      </c>
      <c r="M83" s="0" t="inlineStr">
        <is>
          <t>Mercado Envíos</t>
        </is>
      </c>
      <c r="N83" s="0" t="inlineStr">
        <is>
          <t>A cargo del comprador</t>
        </is>
      </c>
      <c r="O83" s="0" t="inlineStr">
        <is>
          <t>Acepto</t>
        </is>
      </c>
      <c r="P83" s="47" t="inlineStr">
        <is>
          <t>Sin garantía</t>
        </is>
      </c>
      <c r="R83" s="0" t="inlineStr">
        <is>
          <t>Seleccionar</t>
        </is>
      </c>
      <c r="S83" s="0" t="inlineStr">
        <is>
          <t>No ofrezco</t>
        </is>
      </c>
      <c r="T83" t="n">
        <v>1976</v>
      </c>
      <c r="U83" s="0" t="inlineStr">
        <is>
          <t>Perú</t>
        </is>
      </c>
      <c r="X83" s="0" t="inlineStr">
        <is>
          <t>Cobre</t>
        </is>
      </c>
      <c r="Z83" t="inlineStr">
        <is>
          <t>1 Centavo</t>
        </is>
      </c>
      <c r="AA83" s="0" t="inlineStr">
        <is>
          <t>Peso</t>
        </is>
      </c>
      <c r="AB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 s="53">
        <f>IF(OR(TRIM(INDIRECT("B"&amp;ROW())) &lt;&gt; "",TRIM(INDIRECT("A"&amp;ROW())) &lt;&gt; ""),AND(TRIM(INDIRECT("A"&amp;ROW())) &lt;&gt; "",TRIM(INDIRECT("D"&amp;ROW())) = "nuevo"),"")</f>
        <v/>
      </c>
    </row>
    <row r="84" ht="27.5" customHeight="1" s="62">
      <c r="B84" t="inlineStr">
        <is>
          <t>Moneda Colombia 5 Centavos 1978</t>
        </is>
      </c>
      <c r="C84" s="0">
        <f>LEN(INDIRECT(ADDRESS(ROW() + (0),COLUMN() + (-1))))</f>
        <v/>
      </c>
      <c r="D84" s="0" t="inlineStr">
        <is>
          <t>Usado</t>
        </is>
      </c>
      <c r="E84" s="38" t="inlineStr">
        <is>
          <t>https://numismaticapopper.com/images/253A.jpeg,https://numismaticapopper.com/images/253B.jpeg</t>
        </is>
      </c>
      <c r="F84" t="inlineStr">
        <is>
          <t>253</t>
        </is>
      </c>
      <c r="G84" s="40" t="n">
        <v>1</v>
      </c>
      <c r="H84" t="n">
        <v>9000</v>
      </c>
      <c r="I84" t="inlineStr">
        <is>
          <t>Estado de conservacion: Sin Circular
Referencia de catalogo: KM# 206a
Material: Acero chapado en cobre
Peso: 3.25 g
Diametro: 21.0 mm
Tirada: 8.500.000</t>
        </is>
      </c>
      <c r="J84" s="31">
        <f>IF(INDIRECT(ADDRESS(ROW() + (0),COLUMN() + (1)))="Agregar cuotas", IF(("16%")="", "-", "16%"), IF(INDIRECT(ADDRESS(ROW() + (0),COLUMN() + (1)))="No agregar cuotas", IF(("16%")="", "-", "16%"), "-"))</f>
        <v/>
      </c>
      <c r="K84" s="0" t="inlineStr">
        <is>
          <t>No agregar cuotas</t>
        </is>
      </c>
      <c r="L84" s="31">
        <f>IF(INDIRECT(ADDRESS(ROW() + (0),COLUMN() + (-1)))="Agregar cuotas", IF(("13.4%")="", "Sin costo", "13.4%"), IF(INDIRECT(ADDRESS(ROW() + (0),COLUMN() + (-1)))="No agregar cuotas", IF(("")="", "Sin costo", ""), "-"))</f>
        <v/>
      </c>
      <c r="M84" s="0" t="inlineStr">
        <is>
          <t>Mercado Envíos</t>
        </is>
      </c>
      <c r="N84" s="0" t="inlineStr">
        <is>
          <t>A cargo del comprador</t>
        </is>
      </c>
      <c r="O84" s="0" t="inlineStr">
        <is>
          <t>Acepto</t>
        </is>
      </c>
      <c r="P84" s="47" t="inlineStr">
        <is>
          <t>Sin garantía</t>
        </is>
      </c>
      <c r="R84" s="0" t="inlineStr">
        <is>
          <t>Seleccionar</t>
        </is>
      </c>
      <c r="S84" s="0" t="inlineStr">
        <is>
          <t>No ofrezco</t>
        </is>
      </c>
      <c r="T84" t="n">
        <v>1978</v>
      </c>
      <c r="U84" s="0" t="inlineStr">
        <is>
          <t>Perú</t>
        </is>
      </c>
      <c r="X84" s="0" t="inlineStr">
        <is>
          <t>Cobre</t>
        </is>
      </c>
      <c r="Z84" t="inlineStr">
        <is>
          <t>5 Centavos</t>
        </is>
      </c>
      <c r="AA84" s="0" t="inlineStr">
        <is>
          <t>Peso</t>
        </is>
      </c>
      <c r="AB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 s="53">
        <f>IF(OR(TRIM(INDIRECT("B"&amp;ROW())) &lt;&gt; "",TRIM(INDIRECT("A"&amp;ROW())) &lt;&gt; ""),AND(TRIM(INDIRECT("A"&amp;ROW())) &lt;&gt; "",TRIM(INDIRECT("D"&amp;ROW())) = "nuevo"),"")</f>
        <v/>
      </c>
    </row>
    <row r="85" ht="27.5" customHeight="1" s="62">
      <c r="B85" t="inlineStr">
        <is>
          <t>Moneda Argentina 20 Centavos 1936</t>
        </is>
      </c>
      <c r="C85" s="0">
        <f>LEN(INDIRECT(ADDRESS(ROW() + (0),COLUMN() + (-1))))</f>
        <v/>
      </c>
      <c r="D85" s="0" t="inlineStr">
        <is>
          <t>Usado</t>
        </is>
      </c>
      <c r="E85" s="38" t="inlineStr">
        <is>
          <t>https://numismaticapopper.com/images/254A.jpeg,https://numismaticapopper.com/images/254B.jpeg</t>
        </is>
      </c>
      <c r="F85" t="inlineStr">
        <is>
          <t>254</t>
        </is>
      </c>
      <c r="G85" s="40" t="n">
        <v>1</v>
      </c>
      <c r="H85" t="n">
        <v>15000</v>
      </c>
      <c r="I85" t="inlineStr">
        <is>
          <t>Estado de conservacion: Muy Buena
Referencia de catalogo: CJ# 83
Material: Cuproníquel
Peso: 4.0 g
Diametro: 21.0 mm
Tirada: 855.101
Escasa.</t>
        </is>
      </c>
      <c r="J85" s="31">
        <f>IF(INDIRECT(ADDRESS(ROW() + (0),COLUMN() + (1)))="Agregar cuotas", IF(("16%")="", "-", "16%"), IF(INDIRECT(ADDRESS(ROW() + (0),COLUMN() + (1)))="No agregar cuotas", IF(("16%")="", "-", "16%"), "-"))</f>
        <v/>
      </c>
      <c r="K85" s="0" t="inlineStr">
        <is>
          <t>No agregar cuotas</t>
        </is>
      </c>
      <c r="L85" s="31">
        <f>IF(INDIRECT(ADDRESS(ROW() + (0),COLUMN() + (-1)))="Agregar cuotas", IF(("13.4%")="", "Sin costo", "13.4%"), IF(INDIRECT(ADDRESS(ROW() + (0),COLUMN() + (-1)))="No agregar cuotas", IF(("")="", "Sin costo", ""), "-"))</f>
        <v/>
      </c>
      <c r="M85" s="0" t="inlineStr">
        <is>
          <t>Mercado Envíos</t>
        </is>
      </c>
      <c r="N85" s="0" t="inlineStr">
        <is>
          <t>A cargo del comprador</t>
        </is>
      </c>
      <c r="O85" s="0" t="inlineStr">
        <is>
          <t>Acepto</t>
        </is>
      </c>
      <c r="P85" s="47" t="inlineStr">
        <is>
          <t>Sin garantía</t>
        </is>
      </c>
      <c r="R85" s="0" t="inlineStr">
        <is>
          <t>Seleccionar</t>
        </is>
      </c>
      <c r="S85" s="0" t="inlineStr">
        <is>
          <t>No ofrezco</t>
        </is>
      </c>
      <c r="T85" t="n">
        <v>1936</v>
      </c>
      <c r="U85" s="0" t="inlineStr">
        <is>
          <t>Argentina</t>
        </is>
      </c>
      <c r="X85" s="0" t="inlineStr">
        <is>
          <t>Níquel</t>
        </is>
      </c>
      <c r="Z85" t="inlineStr">
        <is>
          <t>20 Centavos</t>
        </is>
      </c>
      <c r="AA85" s="0" t="inlineStr">
        <is>
          <t>Peso</t>
        </is>
      </c>
      <c r="AB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 s="53">
        <f>IF(OR(TRIM(INDIRECT("B"&amp;ROW())) &lt;&gt; "",TRIM(INDIRECT("A"&amp;ROW())) &lt;&gt; ""),AND(TRIM(INDIRECT("A"&amp;ROW())) &lt;&gt; "",TRIM(INDIRECT("D"&amp;ROW())) = "nuevo"),"")</f>
        <v/>
      </c>
    </row>
    <row r="86" ht="27.5" customHeight="1" s="62">
      <c r="B86" t="inlineStr">
        <is>
          <t>Moneda Alemania 50 Pfennig 1921</t>
        </is>
      </c>
      <c r="C86" s="0">
        <f>LEN(INDIRECT(ADDRESS(ROW() + (0),COLUMN() + (-1))))</f>
        <v/>
      </c>
      <c r="D86" s="0" t="inlineStr">
        <is>
          <t>Usado</t>
        </is>
      </c>
      <c r="E86" s="38" t="inlineStr">
        <is>
          <t>https://numismaticapopper.com/images/257A.jpeg,https://numismaticapopper.com/images/257B.jpeg</t>
        </is>
      </c>
      <c r="F86" t="inlineStr">
        <is>
          <t>257</t>
        </is>
      </c>
      <c r="G86" s="40" t="n">
        <v>1</v>
      </c>
      <c r="H86" t="n">
        <v>10000</v>
      </c>
      <c r="I86" t="inlineStr">
        <is>
          <t>Estado de conservacion: Sin Circular
Referencia de catalogo: KM# 27
Material: Aluminio
Peso: 1.65 g
Diametro: 23.0 mm
Ceca J.</t>
        </is>
      </c>
      <c r="J86" s="31">
        <f>IF(INDIRECT(ADDRESS(ROW() + (0),COLUMN() + (1)))="Agregar cuotas", IF(("16%")="", "-", "16%"), IF(INDIRECT(ADDRESS(ROW() + (0),COLUMN() + (1)))="No agregar cuotas", IF(("16%")="", "-", "16%"), "-"))</f>
        <v/>
      </c>
      <c r="K86" s="0" t="inlineStr">
        <is>
          <t>No agregar cuotas</t>
        </is>
      </c>
      <c r="L86" s="31">
        <f>IF(INDIRECT(ADDRESS(ROW() + (0),COLUMN() + (-1)))="Agregar cuotas", IF(("13.4%")="", "Sin costo", "13.4%"), IF(INDIRECT(ADDRESS(ROW() + (0),COLUMN() + (-1)))="No agregar cuotas", IF(("")="", "Sin costo", ""), "-"))</f>
        <v/>
      </c>
      <c r="M86" s="0" t="inlineStr">
        <is>
          <t>Mercado Envíos</t>
        </is>
      </c>
      <c r="N86" s="0" t="inlineStr">
        <is>
          <t>A cargo del comprador</t>
        </is>
      </c>
      <c r="O86" s="0" t="inlineStr">
        <is>
          <t>Acepto</t>
        </is>
      </c>
      <c r="P86" s="47" t="inlineStr">
        <is>
          <t>Sin garantía</t>
        </is>
      </c>
      <c r="R86" s="0" t="inlineStr">
        <is>
          <t>Seleccionar</t>
        </is>
      </c>
      <c r="S86" s="0" t="inlineStr">
        <is>
          <t>No ofrezco</t>
        </is>
      </c>
      <c r="T86" t="n">
        <v>1921</v>
      </c>
      <c r="U86" s="0" t="inlineStr">
        <is>
          <t>Alemania</t>
        </is>
      </c>
      <c r="X86" s="0" t="inlineStr">
        <is>
          <t>Níquel</t>
        </is>
      </c>
      <c r="Z86" t="inlineStr">
        <is>
          <t>50 Pfennig</t>
        </is>
      </c>
      <c r="AA86" s="0" t="inlineStr">
        <is>
          <t>Euro</t>
        </is>
      </c>
      <c r="AB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 s="53">
        <f>IF(OR(TRIM(INDIRECT("B"&amp;ROW())) &lt;&gt; "",TRIM(INDIRECT("A"&amp;ROW())) &lt;&gt; ""),AND(TRIM(INDIRECT("A"&amp;ROW())) &lt;&gt; "",TRIM(INDIRECT("D"&amp;ROW())) = "nuevo"),"")</f>
        <v/>
      </c>
    </row>
    <row r="87" ht="27.5" customHeight="1" s="62">
      <c r="B87" t="inlineStr">
        <is>
          <t>Moneda Suiza 10 Rappen 1967</t>
        </is>
      </c>
      <c r="C87" s="0">
        <f>LEN(INDIRECT(ADDRESS(ROW() + (0),COLUMN() + (-1))))</f>
        <v/>
      </c>
      <c r="D87" s="0" t="inlineStr">
        <is>
          <t>Usado</t>
        </is>
      </c>
      <c r="E87" s="38" t="inlineStr">
        <is>
          <t>https://numismaticapopper.com/images/261A.jpeg,https://numismaticapopper.com/images/261B.jpeg</t>
        </is>
      </c>
      <c r="F87" t="inlineStr">
        <is>
          <t>261</t>
        </is>
      </c>
      <c r="G87" s="40" t="n">
        <v>1</v>
      </c>
      <c r="H87" t="n">
        <v>7000</v>
      </c>
      <c r="I87" t="inlineStr">
        <is>
          <t>Estado de conservacion: Excelente +
Referencia de catalogo: KM# 27
Material: Cuproníquel
Peso: 3.0 g
Diametro: 19.15 mm</t>
        </is>
      </c>
      <c r="J87" s="31">
        <f>IF(INDIRECT(ADDRESS(ROW() + (0),COLUMN() + (1)))="Agregar cuotas", IF(("16%")="", "-", "16%"), IF(INDIRECT(ADDRESS(ROW() + (0),COLUMN() + (1)))="No agregar cuotas", IF(("16%")="", "-", "16%"), "-"))</f>
        <v/>
      </c>
      <c r="K87" s="0" t="inlineStr">
        <is>
          <t>No agregar cuotas</t>
        </is>
      </c>
      <c r="L87" s="31">
        <f>IF(INDIRECT(ADDRESS(ROW() + (0),COLUMN() + (-1)))="Agregar cuotas", IF(("13.4%")="", "Sin costo", "13.4%"), IF(INDIRECT(ADDRESS(ROW() + (0),COLUMN() + (-1)))="No agregar cuotas", IF(("")="", "Sin costo", ""), "-"))</f>
        <v/>
      </c>
      <c r="M87" s="0" t="inlineStr">
        <is>
          <t>Mercado Envíos</t>
        </is>
      </c>
      <c r="N87" s="0" t="inlineStr">
        <is>
          <t>A cargo del comprador</t>
        </is>
      </c>
      <c r="O87" s="0" t="inlineStr">
        <is>
          <t>Acepto</t>
        </is>
      </c>
      <c r="P87" s="47" t="inlineStr">
        <is>
          <t>Sin garantía</t>
        </is>
      </c>
      <c r="R87" s="0" t="inlineStr">
        <is>
          <t>Seleccionar</t>
        </is>
      </c>
      <c r="S87" s="0" t="inlineStr">
        <is>
          <t>No ofrezco</t>
        </is>
      </c>
      <c r="T87" t="n">
        <v>1967</v>
      </c>
      <c r="U87" s="0" t="inlineStr">
        <is>
          <t>Alemania</t>
        </is>
      </c>
      <c r="X87" s="0" t="inlineStr">
        <is>
          <t>Níquel</t>
        </is>
      </c>
      <c r="Z87" t="inlineStr">
        <is>
          <t>10 Rappen</t>
        </is>
      </c>
      <c r="AA87" s="0" t="inlineStr">
        <is>
          <t>Euro</t>
        </is>
      </c>
      <c r="AB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 s="53">
        <f>IF(OR(TRIM(INDIRECT("B"&amp;ROW())) &lt;&gt; "",TRIM(INDIRECT("A"&amp;ROW())) &lt;&gt; ""),AND(TRIM(INDIRECT("A"&amp;ROW())) &lt;&gt; "",TRIM(INDIRECT("D"&amp;ROW())) = "nuevo"),"")</f>
        <v/>
      </c>
    </row>
    <row r="88" ht="27.5" customHeight="1" s="62">
      <c r="B88" t="inlineStr">
        <is>
          <t>Moneda Suiza 10 Rappen 1883</t>
        </is>
      </c>
      <c r="C88" s="0">
        <f>LEN(INDIRECT(ADDRESS(ROW() + (0),COLUMN() + (-1))))</f>
        <v/>
      </c>
      <c r="D88" s="0" t="inlineStr">
        <is>
          <t>Usado</t>
        </is>
      </c>
      <c r="E88" s="38" t="inlineStr">
        <is>
          <t>https://numismaticapopper.com/images/262A.jpeg,https://numismaticapopper.com/images/262B.jpeg</t>
        </is>
      </c>
      <c r="F88" t="inlineStr">
        <is>
          <t>262</t>
        </is>
      </c>
      <c r="G88" s="40" t="n">
        <v>1</v>
      </c>
      <c r="H88" t="n">
        <v>15000</v>
      </c>
      <c r="I88" t="inlineStr">
        <is>
          <t>Estado de conservacion: Muy Buena +
Referencia de catalogo: KM# 27
Material: Cuproníquel
Peso: 3.0 g
Diametro: 19.15 mm
Tirada: 2.000.000</t>
        </is>
      </c>
      <c r="J88" s="31">
        <f>IF(INDIRECT(ADDRESS(ROW() + (0),COLUMN() + (1)))="Agregar cuotas", IF(("16%")="", "-", "16%"), IF(INDIRECT(ADDRESS(ROW() + (0),COLUMN() + (1)))="No agregar cuotas", IF(("16%")="", "-", "16%"), "-"))</f>
        <v/>
      </c>
      <c r="K88" s="0" t="inlineStr">
        <is>
          <t>No agregar cuotas</t>
        </is>
      </c>
      <c r="L88" s="31">
        <f>IF(INDIRECT(ADDRESS(ROW() + (0),COLUMN() + (-1)))="Agregar cuotas", IF(("13.4%")="", "Sin costo", "13.4%"), IF(INDIRECT(ADDRESS(ROW() + (0),COLUMN() + (-1)))="No agregar cuotas", IF(("")="", "Sin costo", ""), "-"))</f>
        <v/>
      </c>
      <c r="M88" s="0" t="inlineStr">
        <is>
          <t>Mercado Envíos</t>
        </is>
      </c>
      <c r="N88" s="0" t="inlineStr">
        <is>
          <t>A cargo del comprador</t>
        </is>
      </c>
      <c r="O88" s="0" t="inlineStr">
        <is>
          <t>Acepto</t>
        </is>
      </c>
      <c r="P88" s="47" t="inlineStr">
        <is>
          <t>Sin garantía</t>
        </is>
      </c>
      <c r="R88" s="0" t="inlineStr">
        <is>
          <t>Seleccionar</t>
        </is>
      </c>
      <c r="S88" s="0" t="inlineStr">
        <is>
          <t>No ofrezco</t>
        </is>
      </c>
      <c r="T88" t="n">
        <v>1883</v>
      </c>
      <c r="U88" s="0" t="inlineStr">
        <is>
          <t>Alemania</t>
        </is>
      </c>
      <c r="X88" s="0" t="inlineStr">
        <is>
          <t>Níquel</t>
        </is>
      </c>
      <c r="Z88" t="inlineStr">
        <is>
          <t>10 Rappen</t>
        </is>
      </c>
      <c r="AA88" s="0" t="inlineStr">
        <is>
          <t>Euro</t>
        </is>
      </c>
      <c r="AB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 s="53">
        <f>IF(OR(TRIM(INDIRECT("B"&amp;ROW())) &lt;&gt; "",TRIM(INDIRECT("A"&amp;ROW())) &lt;&gt; ""),AND(TRIM(INDIRECT("A"&amp;ROW())) &lt;&gt; "",TRIM(INDIRECT("D"&amp;ROW())) = "nuevo"),"")</f>
        <v/>
      </c>
    </row>
    <row r="89" ht="27.5" customHeight="1" s="62">
      <c r="B89" t="inlineStr">
        <is>
          <t>Moneda Suiza 10 Rappen 1884</t>
        </is>
      </c>
      <c r="C89" s="0">
        <f>LEN(INDIRECT(ADDRESS(ROW() + (0),COLUMN() + (-1))))</f>
        <v/>
      </c>
      <c r="D89" s="0" t="inlineStr">
        <is>
          <t>Usado</t>
        </is>
      </c>
      <c r="E89" s="38" t="inlineStr">
        <is>
          <t>https://numismaticapopper.com/images/263A.jpeg,https://numismaticapopper.com/images/263B.jpeg</t>
        </is>
      </c>
      <c r="F89" t="inlineStr">
        <is>
          <t>263</t>
        </is>
      </c>
      <c r="G89" s="40" t="n">
        <v>1</v>
      </c>
      <c r="H89" t="n">
        <v>13000</v>
      </c>
      <c r="I89" t="inlineStr">
        <is>
          <t>Estado de conservacion: Muy Buena +
Referencia de catalogo: KM# 27
Material: Cuproníquel
Peso: 3.0 g
Diametro: 19.15 mm
Tirada: 3.000.000</t>
        </is>
      </c>
      <c r="J89" s="31">
        <f>IF(INDIRECT(ADDRESS(ROW() + (0),COLUMN() + (1)))="Agregar cuotas", IF(("16%")="", "-", "16%"), IF(INDIRECT(ADDRESS(ROW() + (0),COLUMN() + (1)))="No agregar cuotas", IF(("16%")="", "-", "16%"), "-"))</f>
        <v/>
      </c>
      <c r="K89" s="0" t="inlineStr">
        <is>
          <t>No agregar cuotas</t>
        </is>
      </c>
      <c r="L89" s="31">
        <f>IF(INDIRECT(ADDRESS(ROW() + (0),COLUMN() + (-1)))="Agregar cuotas", IF(("13.4%")="", "Sin costo", "13.4%"), IF(INDIRECT(ADDRESS(ROW() + (0),COLUMN() + (-1)))="No agregar cuotas", IF(("")="", "Sin costo", ""), "-"))</f>
        <v/>
      </c>
      <c r="M89" s="0" t="inlineStr">
        <is>
          <t>Mercado Envíos</t>
        </is>
      </c>
      <c r="N89" s="0" t="inlineStr">
        <is>
          <t>A cargo del comprador</t>
        </is>
      </c>
      <c r="O89" s="0" t="inlineStr">
        <is>
          <t>Acepto</t>
        </is>
      </c>
      <c r="P89" s="47" t="inlineStr">
        <is>
          <t>Sin garantía</t>
        </is>
      </c>
      <c r="R89" s="0" t="inlineStr">
        <is>
          <t>Seleccionar</t>
        </is>
      </c>
      <c r="S89" s="0" t="inlineStr">
        <is>
          <t>No ofrezco</t>
        </is>
      </c>
      <c r="T89" t="n">
        <v>1884</v>
      </c>
      <c r="U89" s="0" t="inlineStr">
        <is>
          <t>Alemania</t>
        </is>
      </c>
      <c r="X89" s="0" t="inlineStr">
        <is>
          <t>Níquel</t>
        </is>
      </c>
      <c r="Z89" t="inlineStr">
        <is>
          <t>10 Rappen</t>
        </is>
      </c>
      <c r="AA89" s="0" t="inlineStr">
        <is>
          <t>Euro</t>
        </is>
      </c>
      <c r="AB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 s="53">
        <f>IF(OR(TRIM(INDIRECT("B"&amp;ROW())) &lt;&gt; "",TRIM(INDIRECT("A"&amp;ROW())) &lt;&gt; ""),AND(TRIM(INDIRECT("A"&amp;ROW())) &lt;&gt; "",TRIM(INDIRECT("D"&amp;ROW())) = "nuevo"),"")</f>
        <v/>
      </c>
    </row>
    <row r="90" ht="27.5" customHeight="1" s="62">
      <c r="B90" t="inlineStr">
        <is>
          <t>Moneda Suiza 20 Rappen 1883</t>
        </is>
      </c>
      <c r="C90" s="0">
        <f>LEN(INDIRECT(ADDRESS(ROW() + (0),COLUMN() + (-1))))</f>
        <v/>
      </c>
      <c r="D90" s="0" t="inlineStr">
        <is>
          <t>Usado</t>
        </is>
      </c>
      <c r="E90" s="38" t="inlineStr">
        <is>
          <t>https://numismaticapopper.com/images/265A.jpeg,https://numismaticapopper.com/images/265B.jpeg</t>
        </is>
      </c>
      <c r="F90" t="inlineStr">
        <is>
          <t>265</t>
        </is>
      </c>
      <c r="G90" s="40" t="n">
        <v>1</v>
      </c>
      <c r="H90" t="n">
        <v>31000</v>
      </c>
      <c r="I90" t="inlineStr">
        <is>
          <t>Estado de conservacion: Excelente
Referencia de catalogo: KM# 29
Material: Cuproníquel
Peso: 4.0 g
Diametro: 21.05 mm
Tirada: 2.500.000</t>
        </is>
      </c>
      <c r="J90" s="31">
        <f>IF(INDIRECT(ADDRESS(ROW() + (0),COLUMN() + (1)))="Agregar cuotas", IF(("16%")="", "-", "16%"), IF(INDIRECT(ADDRESS(ROW() + (0),COLUMN() + (1)))="No agregar cuotas", IF(("16%")="", "-", "16%"), "-"))</f>
        <v/>
      </c>
      <c r="K90" s="0" t="inlineStr">
        <is>
          <t>No agregar cuotas</t>
        </is>
      </c>
      <c r="L90" s="31">
        <f>IF(INDIRECT(ADDRESS(ROW() + (0),COLUMN() + (-1)))="Agregar cuotas", IF(("13.4%")="", "Sin costo", "13.4%"), IF(INDIRECT(ADDRESS(ROW() + (0),COLUMN() + (-1)))="No agregar cuotas", IF(("")="", "Sin costo", ""), "-"))</f>
        <v/>
      </c>
      <c r="M90" s="0" t="inlineStr">
        <is>
          <t>Mercado Envíos</t>
        </is>
      </c>
      <c r="N90" s="0" t="inlineStr">
        <is>
          <t>A cargo del comprador</t>
        </is>
      </c>
      <c r="O90" s="0" t="inlineStr">
        <is>
          <t>Acepto</t>
        </is>
      </c>
      <c r="P90" s="47" t="inlineStr">
        <is>
          <t>Sin garantía</t>
        </is>
      </c>
      <c r="R90" s="0" t="inlineStr">
        <is>
          <t>Seleccionar</t>
        </is>
      </c>
      <c r="S90" s="0" t="inlineStr">
        <is>
          <t>No ofrezco</t>
        </is>
      </c>
      <c r="T90" t="n">
        <v>1883</v>
      </c>
      <c r="U90" s="0" t="inlineStr">
        <is>
          <t>Alemania</t>
        </is>
      </c>
      <c r="X90" s="0" t="inlineStr">
        <is>
          <t>Níquel</t>
        </is>
      </c>
      <c r="Z90" t="inlineStr">
        <is>
          <t>20 Rappen</t>
        </is>
      </c>
      <c r="AA90" s="0" t="inlineStr">
        <is>
          <t>Euro</t>
        </is>
      </c>
      <c r="AB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 s="53">
        <f>IF(OR(TRIM(INDIRECT("B"&amp;ROW())) &lt;&gt; "",TRIM(INDIRECT("A"&amp;ROW())) &lt;&gt; ""),AND(TRIM(INDIRECT("A"&amp;ROW())) &lt;&gt; "",TRIM(INDIRECT("D"&amp;ROW())) = "nuevo"),"")</f>
        <v/>
      </c>
    </row>
    <row r="91" ht="27.5" customHeight="1" s="62">
      <c r="B91" t="inlineStr">
        <is>
          <t>Moneda Suiza 20 Rappen 1885</t>
        </is>
      </c>
      <c r="C91" s="0">
        <f>LEN(INDIRECT(ADDRESS(ROW() + (0),COLUMN() + (-1))))</f>
        <v/>
      </c>
      <c r="D91" s="0" t="inlineStr">
        <is>
          <t>Usado</t>
        </is>
      </c>
      <c r="E91" s="38" t="inlineStr">
        <is>
          <t>https://numismaticapopper.com/images/266A.jpeg,https://numismaticapopper.com/images/266B.jpeg</t>
        </is>
      </c>
      <c r="F91" t="inlineStr">
        <is>
          <t>266</t>
        </is>
      </c>
      <c r="G91" s="40" t="n">
        <v>1</v>
      </c>
      <c r="H91" t="n">
        <v>18000</v>
      </c>
      <c r="I91" t="inlineStr">
        <is>
          <t>Estado de conservacion: Muy Buena +
Referencia de catalogo: KM# 29
Material: Cuproníquel
Peso: 4.0 g
Diametro: 21.05 mm
Tirada: 3.000.000</t>
        </is>
      </c>
      <c r="J91" s="31">
        <f>IF(INDIRECT(ADDRESS(ROW() + (0),COLUMN() + (1)))="Agregar cuotas", IF(("16%")="", "-", "16%"), IF(INDIRECT(ADDRESS(ROW() + (0),COLUMN() + (1)))="No agregar cuotas", IF(("16%")="", "-", "16%"), "-"))</f>
        <v/>
      </c>
      <c r="K91" s="0" t="inlineStr">
        <is>
          <t>No agregar cuotas</t>
        </is>
      </c>
      <c r="L91" s="31">
        <f>IF(INDIRECT(ADDRESS(ROW() + (0),COLUMN() + (-1)))="Agregar cuotas", IF(("13.4%")="", "Sin costo", "13.4%"), IF(INDIRECT(ADDRESS(ROW() + (0),COLUMN() + (-1)))="No agregar cuotas", IF(("")="", "Sin costo", ""), "-"))</f>
        <v/>
      </c>
      <c r="M91" s="0" t="inlineStr">
        <is>
          <t>Mercado Envíos</t>
        </is>
      </c>
      <c r="N91" s="0" t="inlineStr">
        <is>
          <t>A cargo del comprador</t>
        </is>
      </c>
      <c r="O91" s="0" t="inlineStr">
        <is>
          <t>Acepto</t>
        </is>
      </c>
      <c r="P91" s="47" t="inlineStr">
        <is>
          <t>Sin garantía</t>
        </is>
      </c>
      <c r="R91" s="0" t="inlineStr">
        <is>
          <t>Seleccionar</t>
        </is>
      </c>
      <c r="S91" s="0" t="inlineStr">
        <is>
          <t>No ofrezco</t>
        </is>
      </c>
      <c r="T91" t="n">
        <v>1885</v>
      </c>
      <c r="U91" s="0" t="inlineStr">
        <is>
          <t>Alemania</t>
        </is>
      </c>
      <c r="X91" s="0" t="inlineStr">
        <is>
          <t>Níquel</t>
        </is>
      </c>
      <c r="Z91" t="inlineStr">
        <is>
          <t>20 Rappen</t>
        </is>
      </c>
      <c r="AA91" s="0" t="inlineStr">
        <is>
          <t>Euro</t>
        </is>
      </c>
      <c r="AB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 s="53">
        <f>IF(OR(TRIM(INDIRECT("B"&amp;ROW())) &lt;&gt; "",TRIM(INDIRECT("A"&amp;ROW())) &lt;&gt; ""),AND(TRIM(INDIRECT("A"&amp;ROW())) &lt;&gt; "",TRIM(INDIRECT("D"&amp;ROW())) = "nuevo"),"")</f>
        <v/>
      </c>
    </row>
    <row r="92" ht="27.5" customHeight="1" s="62">
      <c r="B92" t="inlineStr">
        <is>
          <t>Moneda Suiza 20 Rappen 1920</t>
        </is>
      </c>
      <c r="C92" s="0">
        <f>LEN(INDIRECT(ADDRESS(ROW() + (0),COLUMN() + (-1))))</f>
        <v/>
      </c>
      <c r="D92" s="0" t="inlineStr">
        <is>
          <t>Usado</t>
        </is>
      </c>
      <c r="E92" s="38" t="inlineStr">
        <is>
          <t>https://numismaticapopper.com/images/267A.jpeg,https://numismaticapopper.com/images/267B.jpeg</t>
        </is>
      </c>
      <c r="F92" t="inlineStr">
        <is>
          <t>267</t>
        </is>
      </c>
      <c r="G92" s="40" t="n">
        <v>1</v>
      </c>
      <c r="H92" t="n">
        <v>8000</v>
      </c>
      <c r="I92" t="inlineStr">
        <is>
          <t>Estado de conservacion: Sin Circular
Referencia de catalogo: KM# 29
Material: Cuproníquel
Peso: 4.0 g
Diametro: 21.05 mm
Tirada: 3.100.000</t>
        </is>
      </c>
      <c r="J92" s="31">
        <f>IF(INDIRECT(ADDRESS(ROW() + (0),COLUMN() + (1)))="Agregar cuotas", IF(("16%")="", "-", "16%"), IF(INDIRECT(ADDRESS(ROW() + (0),COLUMN() + (1)))="No agregar cuotas", IF(("16%")="", "-", "16%"), "-"))</f>
        <v/>
      </c>
      <c r="K92" s="0" t="inlineStr">
        <is>
          <t>No agregar cuotas</t>
        </is>
      </c>
      <c r="L92" s="31">
        <f>IF(INDIRECT(ADDRESS(ROW() + (0),COLUMN() + (-1)))="Agregar cuotas", IF(("13.4%")="", "Sin costo", "13.4%"), IF(INDIRECT(ADDRESS(ROW() + (0),COLUMN() + (-1)))="No agregar cuotas", IF(("")="", "Sin costo", ""), "-"))</f>
        <v/>
      </c>
      <c r="M92" s="0" t="inlineStr">
        <is>
          <t>Mercado Envíos</t>
        </is>
      </c>
      <c r="N92" s="0" t="inlineStr">
        <is>
          <t>A cargo del comprador</t>
        </is>
      </c>
      <c r="O92" s="0" t="inlineStr">
        <is>
          <t>Acepto</t>
        </is>
      </c>
      <c r="P92" s="47" t="inlineStr">
        <is>
          <t>Sin garantía</t>
        </is>
      </c>
      <c r="R92" s="0" t="inlineStr">
        <is>
          <t>Seleccionar</t>
        </is>
      </c>
      <c r="S92" s="0" t="inlineStr">
        <is>
          <t>No ofrezco</t>
        </is>
      </c>
      <c r="T92" t="n">
        <v>1920</v>
      </c>
      <c r="U92" s="0" t="inlineStr">
        <is>
          <t>Alemania</t>
        </is>
      </c>
      <c r="X92" s="0" t="inlineStr">
        <is>
          <t>Níquel</t>
        </is>
      </c>
      <c r="Z92" t="inlineStr">
        <is>
          <t>20 Rappen</t>
        </is>
      </c>
      <c r="AA92" s="0" t="inlineStr">
        <is>
          <t>Euro</t>
        </is>
      </c>
      <c r="AB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 s="53">
        <f>IF(OR(TRIM(INDIRECT("B"&amp;ROW())) &lt;&gt; "",TRIM(INDIRECT("A"&amp;ROW())) &lt;&gt; ""),AND(TRIM(INDIRECT("A"&amp;ROW())) &lt;&gt; "",TRIM(INDIRECT("D"&amp;ROW())) = "nuevo"),"")</f>
        <v/>
      </c>
    </row>
    <row r="93" ht="27.5" customHeight="1" s="62">
      <c r="B93" t="inlineStr">
        <is>
          <t>Moneda Suiza 5 Rappen 1889</t>
        </is>
      </c>
      <c r="C93" s="0">
        <f>LEN(INDIRECT(ADDRESS(ROW() + (0),COLUMN() + (-1))))</f>
        <v/>
      </c>
      <c r="D93" s="0" t="inlineStr">
        <is>
          <t>Usado</t>
        </is>
      </c>
      <c r="E93" s="38" t="inlineStr">
        <is>
          <t>https://numismaticapopper.com/images/269A.jpeg,https://numismaticapopper.com/images/269B.jpeg</t>
        </is>
      </c>
      <c r="F93" t="inlineStr">
        <is>
          <t>269</t>
        </is>
      </c>
      <c r="G93" s="40" t="n">
        <v>1</v>
      </c>
      <c r="H93" t="n">
        <v>68000</v>
      </c>
      <c r="I93" t="inlineStr">
        <is>
          <t>Estado de conservacion: Muy Buena +
Referencia de catalogo: KM# 26
Material: Cobre
Peso: 2.0 g
Diametro: 17.15 mm
Tirada: 500.000
Muy escasa.</t>
        </is>
      </c>
      <c r="J93" s="31">
        <f>IF(INDIRECT(ADDRESS(ROW() + (0),COLUMN() + (1)))="Agregar cuotas", IF(("16%")="", "-", "16%"), IF(INDIRECT(ADDRESS(ROW() + (0),COLUMN() + (1)))="No agregar cuotas", IF(("16%")="", "-", "16%"), "-"))</f>
        <v/>
      </c>
      <c r="K93" s="0" t="inlineStr">
        <is>
          <t>No agregar cuotas</t>
        </is>
      </c>
      <c r="L93" s="31">
        <f>IF(INDIRECT(ADDRESS(ROW() + (0),COLUMN() + (-1)))="Agregar cuotas", IF(("13.4%")="", "Sin costo", "13.4%"), IF(INDIRECT(ADDRESS(ROW() + (0),COLUMN() + (-1)))="No agregar cuotas", IF(("")="", "Sin costo", ""), "-"))</f>
        <v/>
      </c>
      <c r="M93" s="0" t="inlineStr">
        <is>
          <t>Mercado Envíos</t>
        </is>
      </c>
      <c r="N93" s="0" t="inlineStr">
        <is>
          <t>A cargo del comprador</t>
        </is>
      </c>
      <c r="O93" s="0" t="inlineStr">
        <is>
          <t>Acepto</t>
        </is>
      </c>
      <c r="P93" s="47" t="inlineStr">
        <is>
          <t>Sin garantía</t>
        </is>
      </c>
      <c r="R93" s="0" t="inlineStr">
        <is>
          <t>Seleccionar</t>
        </is>
      </c>
      <c r="S93" s="0" t="inlineStr">
        <is>
          <t>No ofrezco</t>
        </is>
      </c>
      <c r="T93" t="n">
        <v>1889</v>
      </c>
      <c r="U93" s="0" t="inlineStr">
        <is>
          <t>Alemania</t>
        </is>
      </c>
      <c r="X93" s="0" t="inlineStr">
        <is>
          <t>Cobre</t>
        </is>
      </c>
      <c r="Z93" t="inlineStr">
        <is>
          <t>5 Rappen</t>
        </is>
      </c>
      <c r="AA93" s="0" t="inlineStr">
        <is>
          <t>Euro</t>
        </is>
      </c>
      <c r="AB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 s="53">
        <f>IF(OR(TRIM(INDIRECT("B"&amp;ROW())) &lt;&gt; "",TRIM(INDIRECT("A"&amp;ROW())) &lt;&gt; ""),AND(TRIM(INDIRECT("A"&amp;ROW())) &lt;&gt; "",TRIM(INDIRECT("D"&amp;ROW())) = "nuevo"),"")</f>
        <v/>
      </c>
    </row>
    <row r="94" ht="27.5" customHeight="1" s="62">
      <c r="B94" t="inlineStr">
        <is>
          <t>Moneda Perú 10 Centavos 1940</t>
        </is>
      </c>
      <c r="C94" s="0">
        <f>LEN(INDIRECT(ADDRESS(ROW() + (0),COLUMN() + (-1))))</f>
        <v/>
      </c>
      <c r="D94" s="0" t="inlineStr">
        <is>
          <t>Usado</t>
        </is>
      </c>
      <c r="E94" s="38" t="inlineStr">
        <is>
          <t>https://numismaticapopper.com/images/271A.jpeg,https://numismaticapopper.com/images/271B.jpeg</t>
        </is>
      </c>
      <c r="F94" t="inlineStr">
        <is>
          <t>271</t>
        </is>
      </c>
      <c r="G94" s="40" t="n">
        <v>1</v>
      </c>
      <c r="H94" t="n">
        <v>9000</v>
      </c>
      <c r="I94" t="inlineStr">
        <is>
          <t>Estado de conservacion: Muy Buena
Referencia de catalogo: KM# 214.2
Material: Cuproníquel
Peso: 3.86 g
Diametro: 20.0 mm
Tirada: 2.000.000</t>
        </is>
      </c>
      <c r="J94" s="31">
        <f>IF(INDIRECT(ADDRESS(ROW() + (0),COLUMN() + (1)))="Agregar cuotas", IF(("16%")="", "-", "16%"), IF(INDIRECT(ADDRESS(ROW() + (0),COLUMN() + (1)))="No agregar cuotas", IF(("16%")="", "-", "16%"), "-"))</f>
        <v/>
      </c>
      <c r="K94" s="0" t="inlineStr">
        <is>
          <t>No agregar cuotas</t>
        </is>
      </c>
      <c r="L94" s="31">
        <f>IF(INDIRECT(ADDRESS(ROW() + (0),COLUMN() + (-1)))="Agregar cuotas", IF(("13.4%")="", "Sin costo", "13.4%"), IF(INDIRECT(ADDRESS(ROW() + (0),COLUMN() + (-1)))="No agregar cuotas", IF(("")="", "Sin costo", ""), "-"))</f>
        <v/>
      </c>
      <c r="M94" s="0" t="inlineStr">
        <is>
          <t>Mercado Envíos</t>
        </is>
      </c>
      <c r="N94" s="0" t="inlineStr">
        <is>
          <t>A cargo del comprador</t>
        </is>
      </c>
      <c r="O94" s="0" t="inlineStr">
        <is>
          <t>Acepto</t>
        </is>
      </c>
      <c r="P94" s="47" t="inlineStr">
        <is>
          <t>Sin garantía</t>
        </is>
      </c>
      <c r="R94" s="0" t="inlineStr">
        <is>
          <t>Seleccionar</t>
        </is>
      </c>
      <c r="S94" s="0" t="inlineStr">
        <is>
          <t>No ofrezco</t>
        </is>
      </c>
      <c r="T94" t="n">
        <v>1940</v>
      </c>
      <c r="U94" s="0" t="inlineStr">
        <is>
          <t>Perú</t>
        </is>
      </c>
      <c r="X94" s="0" t="inlineStr">
        <is>
          <t>Níquel</t>
        </is>
      </c>
      <c r="Z94" t="inlineStr">
        <is>
          <t>10 Centavos</t>
        </is>
      </c>
      <c r="AA94" s="0" t="inlineStr">
        <is>
          <t>Peso</t>
        </is>
      </c>
      <c r="AB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 s="53">
        <f>IF(OR(TRIM(INDIRECT("B"&amp;ROW())) &lt;&gt; "",TRIM(INDIRECT("A"&amp;ROW())) &lt;&gt; ""),AND(TRIM(INDIRECT("A"&amp;ROW())) &lt;&gt; "",TRIM(INDIRECT("D"&amp;ROW())) = "nuevo"),"")</f>
        <v/>
      </c>
    </row>
    <row r="95" ht="27.5" customHeight="1" s="62">
      <c r="B95" t="inlineStr">
        <is>
          <t>Moneda Arabia Saudita 10 Halalat 1972</t>
        </is>
      </c>
      <c r="C95" s="0">
        <f>LEN(INDIRECT(ADDRESS(ROW() + (0),COLUMN() + (-1))))</f>
        <v/>
      </c>
      <c r="D95" s="0" t="inlineStr">
        <is>
          <t>Usado</t>
        </is>
      </c>
      <c r="E95" s="38" t="inlineStr">
        <is>
          <t>https://numismaticapopper.com/images/274A.jpeg,https://numismaticapopper.com/images/274B.jpeg</t>
        </is>
      </c>
      <c r="F95" t="inlineStr">
        <is>
          <t>274</t>
        </is>
      </c>
      <c r="G95" s="40" t="n">
        <v>1</v>
      </c>
      <c r="H95" t="n">
        <v>12000</v>
      </c>
      <c r="I95" t="inlineStr">
        <is>
          <t>Estado de conservacion: Muy Buena +
Referencia de catalogo: KM# 46
Material: Cuproníquel
Peso: 4.0 g
Diametro: 21.0 mm
Año único.</t>
        </is>
      </c>
      <c r="J95" s="31">
        <f>IF(INDIRECT(ADDRESS(ROW() + (0),COLUMN() + (1)))="Agregar cuotas", IF(("16%")="", "-", "16%"), IF(INDIRECT(ADDRESS(ROW() + (0),COLUMN() + (1)))="No agregar cuotas", IF(("16%")="", "-", "16%"), "-"))</f>
        <v/>
      </c>
      <c r="K95" s="0" t="inlineStr">
        <is>
          <t>No agregar cuotas</t>
        </is>
      </c>
      <c r="L95" s="31">
        <f>IF(INDIRECT(ADDRESS(ROW() + (0),COLUMN() + (-1)))="Agregar cuotas", IF(("13.4%")="", "Sin costo", "13.4%"), IF(INDIRECT(ADDRESS(ROW() + (0),COLUMN() + (-1)))="No agregar cuotas", IF(("")="", "Sin costo", ""), "-"))</f>
        <v/>
      </c>
      <c r="M95" s="0" t="inlineStr">
        <is>
          <t>Mercado Envíos</t>
        </is>
      </c>
      <c r="N95" s="0" t="inlineStr">
        <is>
          <t>A cargo del comprador</t>
        </is>
      </c>
      <c r="O95" s="0" t="inlineStr">
        <is>
          <t>Acepto</t>
        </is>
      </c>
      <c r="P95" s="47" t="inlineStr">
        <is>
          <t>Sin garantía</t>
        </is>
      </c>
      <c r="R95" s="0" t="inlineStr">
        <is>
          <t>Seleccionar</t>
        </is>
      </c>
      <c r="S95" s="0" t="inlineStr">
        <is>
          <t>No ofrezco</t>
        </is>
      </c>
      <c r="T95" t="n">
        <v>1972</v>
      </c>
      <c r="U95" s="0" t="inlineStr">
        <is>
          <t>Israel</t>
        </is>
      </c>
      <c r="X95" s="0" t="inlineStr">
        <is>
          <t>Níquel</t>
        </is>
      </c>
      <c r="Z95" t="inlineStr">
        <is>
          <t>10 Halalat</t>
        </is>
      </c>
      <c r="AA95" s="0" t="inlineStr">
        <is>
          <t>Sheqel</t>
        </is>
      </c>
      <c r="AB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 s="53">
        <f>IF(OR(TRIM(INDIRECT("B"&amp;ROW())) &lt;&gt; "",TRIM(INDIRECT("A"&amp;ROW())) &lt;&gt; ""),AND(TRIM(INDIRECT("A"&amp;ROW())) &lt;&gt; "",TRIM(INDIRECT("D"&amp;ROW())) = "nuevo"),"")</f>
        <v/>
      </c>
    </row>
    <row r="96" ht="27.5" customHeight="1" s="62">
      <c r="B96" t="inlineStr">
        <is>
          <t>Moneda Arabia Saudita 10 Halalat 1980</t>
        </is>
      </c>
      <c r="C96" s="0">
        <f>LEN(INDIRECT(ADDRESS(ROW() + (0),COLUMN() + (-1))))</f>
        <v/>
      </c>
      <c r="D96" s="0" t="inlineStr">
        <is>
          <t>Usado</t>
        </is>
      </c>
      <c r="E96" s="38" t="inlineStr">
        <is>
          <t>https://numismaticapopper.com/images/281A.jpeg,https://numismaticapopper.com/images/281B.jpeg</t>
        </is>
      </c>
      <c r="F96" t="inlineStr">
        <is>
          <t>281</t>
        </is>
      </c>
      <c r="G96" s="40" t="n">
        <v>1</v>
      </c>
      <c r="H96" t="n">
        <v>12000</v>
      </c>
      <c r="I96" t="inlineStr">
        <is>
          <t>Estado de conservacion: Excelente
Referencia de catalogo: KM# 54
Material: Cuproníquel
Peso: 4.0 g
Diametro: 21.0 mm</t>
        </is>
      </c>
      <c r="J96" s="31">
        <f>IF(INDIRECT(ADDRESS(ROW() + (0),COLUMN() + (1)))="Agregar cuotas", IF(("16%")="", "-", "16%"), IF(INDIRECT(ADDRESS(ROW() + (0),COLUMN() + (1)))="No agregar cuotas", IF(("16%")="", "-", "16%"), "-"))</f>
        <v/>
      </c>
      <c r="K96" s="0" t="inlineStr">
        <is>
          <t>No agregar cuotas</t>
        </is>
      </c>
      <c r="L96" s="31">
        <f>IF(INDIRECT(ADDRESS(ROW() + (0),COLUMN() + (-1)))="Agregar cuotas", IF(("13.4%")="", "Sin costo", "13.4%"), IF(INDIRECT(ADDRESS(ROW() + (0),COLUMN() + (-1)))="No agregar cuotas", IF(("")="", "Sin costo", ""), "-"))</f>
        <v/>
      </c>
      <c r="M96" s="0" t="inlineStr">
        <is>
          <t>Mercado Envíos</t>
        </is>
      </c>
      <c r="N96" s="0" t="inlineStr">
        <is>
          <t>A cargo del comprador</t>
        </is>
      </c>
      <c r="O96" s="0" t="inlineStr">
        <is>
          <t>Acepto</t>
        </is>
      </c>
      <c r="P96" s="47" t="inlineStr">
        <is>
          <t>Sin garantía</t>
        </is>
      </c>
      <c r="R96" s="0" t="inlineStr">
        <is>
          <t>Seleccionar</t>
        </is>
      </c>
      <c r="S96" s="0" t="inlineStr">
        <is>
          <t>No ofrezco</t>
        </is>
      </c>
      <c r="T96" t="n">
        <v>1980</v>
      </c>
      <c r="U96" s="0" t="inlineStr">
        <is>
          <t>Israel</t>
        </is>
      </c>
      <c r="X96" s="0" t="inlineStr">
        <is>
          <t>Níquel</t>
        </is>
      </c>
      <c r="Z96" t="inlineStr">
        <is>
          <t>10 Halalat</t>
        </is>
      </c>
      <c r="AA96" s="0" t="inlineStr">
        <is>
          <t>Sheqel</t>
        </is>
      </c>
      <c r="AB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 s="53">
        <f>IF(OR(TRIM(INDIRECT("B"&amp;ROW())) &lt;&gt; "",TRIM(INDIRECT("A"&amp;ROW())) &lt;&gt; ""),AND(TRIM(INDIRECT("A"&amp;ROW())) &lt;&gt; "",TRIM(INDIRECT("D"&amp;ROW())) = "nuevo"),"")</f>
        <v/>
      </c>
    </row>
    <row r="97" ht="27.5" customHeight="1" s="62">
      <c r="B97" t="inlineStr">
        <is>
          <t>Moneda Tailandia 2 Baht 2015</t>
        </is>
      </c>
      <c r="C97" s="0">
        <f>LEN(INDIRECT(ADDRESS(ROW() + (0),COLUMN() + (-1))))</f>
        <v/>
      </c>
      <c r="D97" s="0" t="inlineStr">
        <is>
          <t>Usado</t>
        </is>
      </c>
      <c r="E97" s="38" t="inlineStr">
        <is>
          <t>https://numismaticapopper.com/images/282A.jpeg,https://numismaticapopper.com/images/282B.jpeg</t>
        </is>
      </c>
      <c r="F97" t="inlineStr">
        <is>
          <t>282</t>
        </is>
      </c>
      <c r="G97" s="40" t="n">
        <v>1</v>
      </c>
      <c r="H97" t="n">
        <v>9000</v>
      </c>
      <c r="I97" t="inlineStr">
        <is>
          <t>Estado de conservacion: Excelente +
Referencia de catalogo: Y# 445
Material: Bronce-aluminio
Peso: 4.0 g
Diametro: 21.75 mm
Rama IX.</t>
        </is>
      </c>
      <c r="J97" s="31">
        <f>IF(INDIRECT(ADDRESS(ROW() + (0),COLUMN() + (1)))="Agregar cuotas", IF(("16%")="", "-", "16%"), IF(INDIRECT(ADDRESS(ROW() + (0),COLUMN() + (1)))="No agregar cuotas", IF(("16%")="", "-", "16%"), "-"))</f>
        <v/>
      </c>
      <c r="K97" s="0" t="inlineStr">
        <is>
          <t>No agregar cuotas</t>
        </is>
      </c>
      <c r="L97" s="31">
        <f>IF(INDIRECT(ADDRESS(ROW() + (0),COLUMN() + (-1)))="Agregar cuotas", IF(("13.4%")="", "Sin costo", "13.4%"), IF(INDIRECT(ADDRESS(ROW() + (0),COLUMN() + (-1)))="No agregar cuotas", IF(("")="", "Sin costo", ""), "-"))</f>
        <v/>
      </c>
      <c r="M97" s="0" t="inlineStr">
        <is>
          <t>Mercado Envíos</t>
        </is>
      </c>
      <c r="N97" s="0" t="inlineStr">
        <is>
          <t>A cargo del comprador</t>
        </is>
      </c>
      <c r="O97" s="0" t="inlineStr">
        <is>
          <t>Acepto</t>
        </is>
      </c>
      <c r="P97" s="47" t="inlineStr">
        <is>
          <t>Sin garantía</t>
        </is>
      </c>
      <c r="R97" s="0" t="inlineStr">
        <is>
          <t>Seleccionar</t>
        </is>
      </c>
      <c r="S97" s="0" t="inlineStr">
        <is>
          <t>No ofrezco</t>
        </is>
      </c>
      <c r="T97" t="n">
        <v>2015</v>
      </c>
      <c r="U97" s="0" t="inlineStr">
        <is>
          <t>China</t>
        </is>
      </c>
      <c r="X97" s="0" t="inlineStr">
        <is>
          <t>Bronce</t>
        </is>
      </c>
      <c r="Z97" t="inlineStr">
        <is>
          <t>2 Baht</t>
        </is>
      </c>
      <c r="AA97" s="0" t="inlineStr">
        <is>
          <t>Yuan</t>
        </is>
      </c>
      <c r="AB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 s="53">
        <f>IF(OR(TRIM(INDIRECT("B"&amp;ROW())) &lt;&gt; "",TRIM(INDIRECT("A"&amp;ROW())) &lt;&gt; ""),AND(TRIM(INDIRECT("A"&amp;ROW())) &lt;&gt; "",TRIM(INDIRECT("D"&amp;ROW())) = "nuevo"),"")</f>
        <v/>
      </c>
    </row>
    <row r="98" ht="27.5" customHeight="1" s="62">
      <c r="B98" t="inlineStr">
        <is>
          <t>Moneda Malasia 10 Sen 1973</t>
        </is>
      </c>
      <c r="C98" s="0">
        <f>LEN(INDIRECT(ADDRESS(ROW() + (0),COLUMN() + (-1))))</f>
        <v/>
      </c>
      <c r="D98" s="0" t="inlineStr">
        <is>
          <t>Usado</t>
        </is>
      </c>
      <c r="E98" s="38" t="inlineStr">
        <is>
          <t>https://numismaticapopper.com/images/285A.jpeg,https://numismaticapopper.com/images/285B.jpeg</t>
        </is>
      </c>
      <c r="F98" t="inlineStr">
        <is>
          <t>285</t>
        </is>
      </c>
      <c r="G98" s="40" t="n">
        <v>1</v>
      </c>
      <c r="H98" t="n">
        <v>8000</v>
      </c>
      <c r="I98" t="inlineStr">
        <is>
          <t>Estado de conservacion: Muy Buena +
Referencia de catalogo: KM# 2
Material: Cuproníquel
Peso: 1.41 g
Diametro: 16.2 mm</t>
        </is>
      </c>
      <c r="J98" s="31">
        <f>IF(INDIRECT(ADDRESS(ROW() + (0),COLUMN() + (1)))="Agregar cuotas", IF(("16%")="", "-", "16%"), IF(INDIRECT(ADDRESS(ROW() + (0),COLUMN() + (1)))="No agregar cuotas", IF(("16%")="", "-", "16%"), "-"))</f>
        <v/>
      </c>
      <c r="K98" s="0" t="inlineStr">
        <is>
          <t>No agregar cuotas</t>
        </is>
      </c>
      <c r="L98" s="31">
        <f>IF(INDIRECT(ADDRESS(ROW() + (0),COLUMN() + (-1)))="Agregar cuotas", IF(("13.4%")="", "Sin costo", "13.4%"), IF(INDIRECT(ADDRESS(ROW() + (0),COLUMN() + (-1)))="No agregar cuotas", IF(("")="", "Sin costo", ""), "-"))</f>
        <v/>
      </c>
      <c r="M98" s="0" t="inlineStr">
        <is>
          <t>Mercado Envíos</t>
        </is>
      </c>
      <c r="N98" s="0" t="inlineStr">
        <is>
          <t>A cargo del comprador</t>
        </is>
      </c>
      <c r="O98" s="0" t="inlineStr">
        <is>
          <t>Acepto</t>
        </is>
      </c>
      <c r="P98" s="47" t="inlineStr">
        <is>
          <t>Sin garantía</t>
        </is>
      </c>
      <c r="R98" s="0" t="inlineStr">
        <is>
          <t>Seleccionar</t>
        </is>
      </c>
      <c r="S98" s="0" t="inlineStr">
        <is>
          <t>No ofrezco</t>
        </is>
      </c>
      <c r="T98" t="n">
        <v>1973</v>
      </c>
      <c r="U98" s="0" t="inlineStr">
        <is>
          <t>Inglaterra</t>
        </is>
      </c>
      <c r="X98" s="0" t="inlineStr">
        <is>
          <t>Níquel</t>
        </is>
      </c>
      <c r="Z98" t="inlineStr">
        <is>
          <t>10 Sen</t>
        </is>
      </c>
      <c r="AA98" s="0" t="inlineStr">
        <is>
          <t>Dólar</t>
        </is>
      </c>
      <c r="AB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 s="53">
        <f>IF(OR(TRIM(INDIRECT("B"&amp;ROW())) &lt;&gt; "",TRIM(INDIRECT("A"&amp;ROW())) &lt;&gt; ""),AND(TRIM(INDIRECT("A"&amp;ROW())) &lt;&gt; "",TRIM(INDIRECT("D"&amp;ROW())) = "nuevo"),"")</f>
        <v/>
      </c>
    </row>
    <row r="99" ht="27.5" customHeight="1" s="62">
      <c r="B99" t="inlineStr">
        <is>
          <t>Moneda Austria 2 Euro 2016</t>
        </is>
      </c>
      <c r="C99" s="0">
        <f>LEN(INDIRECT(ADDRESS(ROW() + (0),COLUMN() + (-1))))</f>
        <v/>
      </c>
      <c r="D99" s="0" t="inlineStr">
        <is>
          <t>Usado</t>
        </is>
      </c>
      <c r="E99" s="38" t="inlineStr">
        <is>
          <t>https://numismaticapopper.com/images/287A.jpeg,https://numismaticapopper.com/images/287B.jpeg</t>
        </is>
      </c>
      <c r="F99" t="inlineStr">
        <is>
          <t>287</t>
        </is>
      </c>
      <c r="G99" s="40" t="n">
        <v>1</v>
      </c>
      <c r="H99" t="n">
        <v>13000</v>
      </c>
      <c r="I99" t="inlineStr">
        <is>
          <t>Estado de conservacion: Excelente +
Referencia de catalogo: KM# 3248
Material: Bimetálica
Peso: 8.5 g
Diametro: 25.75 mm
Tirada: 15.000.000
Bicentenario del banco nacional.</t>
        </is>
      </c>
      <c r="J99" s="31">
        <f>IF(INDIRECT(ADDRESS(ROW() + (0),COLUMN() + (1)))="Agregar cuotas", IF(("16%")="", "-", "16%"), IF(INDIRECT(ADDRESS(ROW() + (0),COLUMN() + (1)))="No agregar cuotas", IF(("16%")="", "-", "16%"), "-"))</f>
        <v/>
      </c>
      <c r="K99" s="0" t="inlineStr">
        <is>
          <t>No agregar cuotas</t>
        </is>
      </c>
      <c r="L99" s="31">
        <f>IF(INDIRECT(ADDRESS(ROW() + (0),COLUMN() + (-1)))="Agregar cuotas", IF(("13.4%")="", "Sin costo", "13.4%"), IF(INDIRECT(ADDRESS(ROW() + (0),COLUMN() + (-1)))="No agregar cuotas", IF(("")="", "Sin costo", ""), "-"))</f>
        <v/>
      </c>
      <c r="M99" s="0" t="inlineStr">
        <is>
          <t>Mercado Envíos</t>
        </is>
      </c>
      <c r="N99" s="0" t="inlineStr">
        <is>
          <t>A cargo del comprador</t>
        </is>
      </c>
      <c r="O99" s="0" t="inlineStr">
        <is>
          <t>Acepto</t>
        </is>
      </c>
      <c r="P99" s="47" t="inlineStr">
        <is>
          <t>Sin garantía</t>
        </is>
      </c>
      <c r="R99" s="0" t="inlineStr">
        <is>
          <t>Seleccionar</t>
        </is>
      </c>
      <c r="S99" s="0" t="inlineStr">
        <is>
          <t>No ofrezco</t>
        </is>
      </c>
      <c r="T99" t="n">
        <v>2016</v>
      </c>
      <c r="U99" s="0" t="inlineStr">
        <is>
          <t>Austria</t>
        </is>
      </c>
      <c r="X99" s="0" t="inlineStr">
        <is>
          <t>Níquel</t>
        </is>
      </c>
      <c r="Z99" t="inlineStr">
        <is>
          <t>2 Euro</t>
        </is>
      </c>
      <c r="AA99" s="0" t="inlineStr">
        <is>
          <t>Euro</t>
        </is>
      </c>
      <c r="AB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 s="53">
        <f>IF(OR(TRIM(INDIRECT("B"&amp;ROW())) &lt;&gt; "",TRIM(INDIRECT("A"&amp;ROW())) &lt;&gt; ""),AND(TRIM(INDIRECT("A"&amp;ROW())) &lt;&gt; "",TRIM(INDIRECT("D"&amp;ROW())) = "nuevo"),"")</f>
        <v/>
      </c>
    </row>
    <row r="100" ht="27.5" customHeight="1" s="62">
      <c r="B100" t="inlineStr">
        <is>
          <t>Moneda Islandia 10 Aurar 1981</t>
        </is>
      </c>
      <c r="C100" s="0">
        <f>LEN(INDIRECT(ADDRESS(ROW() + (0),COLUMN() + (-1))))</f>
        <v/>
      </c>
      <c r="D100" s="0" t="inlineStr">
        <is>
          <t>Usado</t>
        </is>
      </c>
      <c r="E100" s="38" t="inlineStr">
        <is>
          <t>https://numismaticapopper.com/images/292A.jpeg,https://numismaticapopper.com/images/292B.jpeg</t>
        </is>
      </c>
      <c r="F100" t="inlineStr">
        <is>
          <t>292</t>
        </is>
      </c>
      <c r="G100" s="40" t="n">
        <v>1</v>
      </c>
      <c r="H100" t="n">
        <v>9000</v>
      </c>
      <c r="I100" t="inlineStr">
        <is>
          <t>Estado de conservacion: Sin Circular
Referencia de catalogo: KM# 23
Material: Bronce
Peso: 0.61 g
Diametro: 17.0 mm</t>
        </is>
      </c>
      <c r="J100" s="31">
        <f>IF(INDIRECT(ADDRESS(ROW() + (0),COLUMN() + (1)))="Agregar cuotas", IF(("16%")="", "-", "16%"), IF(INDIRECT(ADDRESS(ROW() + (0),COLUMN() + (1)))="No agregar cuotas", IF(("16%")="", "-", "16%"), "-"))</f>
        <v/>
      </c>
      <c r="K100" s="0" t="inlineStr">
        <is>
          <t>No agregar cuotas</t>
        </is>
      </c>
      <c r="L100" s="31">
        <f>IF(INDIRECT(ADDRESS(ROW() + (0),COLUMN() + (-1)))="Agregar cuotas", IF(("13.4%")="", "Sin costo", "13.4%"), IF(INDIRECT(ADDRESS(ROW() + (0),COLUMN() + (-1)))="No agregar cuotas", IF(("")="", "Sin costo", ""), "-"))</f>
        <v/>
      </c>
      <c r="M100" s="0" t="inlineStr">
        <is>
          <t>Mercado Envíos</t>
        </is>
      </c>
      <c r="N100" s="0" t="inlineStr">
        <is>
          <t>A cargo del comprador</t>
        </is>
      </c>
      <c r="O100" s="0" t="inlineStr">
        <is>
          <t>Acepto</t>
        </is>
      </c>
      <c r="P100" s="47" t="inlineStr">
        <is>
          <t>Sin garantía</t>
        </is>
      </c>
      <c r="R100" s="0" t="inlineStr">
        <is>
          <t>Seleccionar</t>
        </is>
      </c>
      <c r="S100" s="0" t="inlineStr">
        <is>
          <t>No ofrezco</t>
        </is>
      </c>
      <c r="T100" t="n">
        <v>1981</v>
      </c>
      <c r="U100" s="0" t="inlineStr">
        <is>
          <t>Dinamarca</t>
        </is>
      </c>
      <c r="X100" s="0" t="inlineStr">
        <is>
          <t>Bronce</t>
        </is>
      </c>
      <c r="Z100" t="inlineStr">
        <is>
          <t>10 Aurar</t>
        </is>
      </c>
      <c r="AA100" s="0" t="inlineStr">
        <is>
          <t>Euro</t>
        </is>
      </c>
      <c r="AB1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0" s="53">
        <f>IF(OR(TRIM(INDIRECT("B"&amp;ROW())) &lt;&gt; "",TRIM(INDIRECT("A"&amp;ROW())) &lt;&gt; ""),AND(TRIM(INDIRECT("A"&amp;ROW())) &lt;&gt; "",TRIM(INDIRECT("D"&amp;ROW())) = "nuevo"),"")</f>
        <v/>
      </c>
    </row>
    <row r="101" ht="27.5" customHeight="1" s="62">
      <c r="B101" t="inlineStr">
        <is>
          <t>Moneda Perú 1 Inti 1988</t>
        </is>
      </c>
      <c r="C101" s="0">
        <f>LEN(INDIRECT(ADDRESS(ROW() + (0),COLUMN() + (-1))))</f>
        <v/>
      </c>
      <c r="D101" s="0" t="inlineStr">
        <is>
          <t>Usado</t>
        </is>
      </c>
      <c r="E101" s="38" t="inlineStr">
        <is>
          <t>https://numismaticapopper.com/images/295A.jpeg,https://numismaticapopper.com/images/295B.jpeg</t>
        </is>
      </c>
      <c r="F101" t="inlineStr">
        <is>
          <t>295</t>
        </is>
      </c>
      <c r="G101" s="40" t="n">
        <v>1</v>
      </c>
      <c r="H101" t="n">
        <v>9000</v>
      </c>
      <c r="I101" t="inlineStr">
        <is>
          <t>Estado de conservacion: Sin Circular
Referencia de catalogo: KM# 294
Material: Cuproníquel
Peso: 4.06 g
Diametro: 20.8 mm</t>
        </is>
      </c>
      <c r="J101" s="31">
        <f>IF(INDIRECT(ADDRESS(ROW() + (0),COLUMN() + (1)))="Agregar cuotas", IF(("16%")="", "-", "16%"), IF(INDIRECT(ADDRESS(ROW() + (0),COLUMN() + (1)))="No agregar cuotas", IF(("16%")="", "-", "16%"), "-"))</f>
        <v/>
      </c>
      <c r="K101" s="0" t="inlineStr">
        <is>
          <t>No agregar cuotas</t>
        </is>
      </c>
      <c r="L101" s="31">
        <f>IF(INDIRECT(ADDRESS(ROW() + (0),COLUMN() + (-1)))="Agregar cuotas", IF(("13.4%")="", "Sin costo", "13.4%"), IF(INDIRECT(ADDRESS(ROW() + (0),COLUMN() + (-1)))="No agregar cuotas", IF(("")="", "Sin costo", ""), "-"))</f>
        <v/>
      </c>
      <c r="M101" s="0" t="inlineStr">
        <is>
          <t>Mercado Envíos</t>
        </is>
      </c>
      <c r="N101" s="0" t="inlineStr">
        <is>
          <t>A cargo del comprador</t>
        </is>
      </c>
      <c r="O101" s="0" t="inlineStr">
        <is>
          <t>Acepto</t>
        </is>
      </c>
      <c r="P101" s="47" t="inlineStr">
        <is>
          <t>Sin garantía</t>
        </is>
      </c>
      <c r="R101" s="0" t="inlineStr">
        <is>
          <t>Seleccionar</t>
        </is>
      </c>
      <c r="S101" s="0" t="inlineStr">
        <is>
          <t>No ofrezco</t>
        </is>
      </c>
      <c r="T101" t="n">
        <v>1988</v>
      </c>
      <c r="U101" s="0" t="inlineStr">
        <is>
          <t>Perú</t>
        </is>
      </c>
      <c r="X101" s="0" t="inlineStr">
        <is>
          <t>Níquel</t>
        </is>
      </c>
      <c r="Z101" t="inlineStr">
        <is>
          <t>1 Inti</t>
        </is>
      </c>
      <c r="AA101" s="0" t="inlineStr">
        <is>
          <t>Peso</t>
        </is>
      </c>
      <c r="AB1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1" s="53">
        <f>IF(OR(TRIM(INDIRECT("B"&amp;ROW())) &lt;&gt; "",TRIM(INDIRECT("A"&amp;ROW())) &lt;&gt; ""),AND(TRIM(INDIRECT("A"&amp;ROW())) &lt;&gt; "",TRIM(INDIRECT("D"&amp;ROW())) = "nuevo"),"")</f>
        <v/>
      </c>
    </row>
    <row r="102" ht="27.5" customHeight="1" s="62">
      <c r="B102" t="inlineStr">
        <is>
          <t>Moneda Perú 1/2 Sol 1965</t>
        </is>
      </c>
      <c r="C102" s="0">
        <f>LEN(INDIRECT(ADDRESS(ROW() + (0),COLUMN() + (-1))))</f>
        <v/>
      </c>
      <c r="D102" s="0" t="inlineStr">
        <is>
          <t>Usado</t>
        </is>
      </c>
      <c r="E102" s="38" t="inlineStr">
        <is>
          <t>https://numismaticapopper.com/images/296A.jpeg,https://numismaticapopper.com/images/296B.jpeg</t>
        </is>
      </c>
      <c r="F102" t="inlineStr">
        <is>
          <t>296</t>
        </is>
      </c>
      <c r="G102" s="40" t="n">
        <v>1</v>
      </c>
      <c r="H102" t="n">
        <v>8000</v>
      </c>
      <c r="I102" t="inlineStr">
        <is>
          <t>Estado de conservacion: Sin Circular
Referencia de catalogo: KM# 242
Material: Latón
Peso: 23.406 g
Diametro: 29.0 mm</t>
        </is>
      </c>
      <c r="J102" s="31">
        <f>IF(INDIRECT(ADDRESS(ROW() + (0),COLUMN() + (1)))="Agregar cuotas", IF(("16%")="", "-", "16%"), IF(INDIRECT(ADDRESS(ROW() + (0),COLUMN() + (1)))="No agregar cuotas", IF(("16%")="", "-", "16%"), "-"))</f>
        <v/>
      </c>
      <c r="K102" s="0" t="inlineStr">
        <is>
          <t>No agregar cuotas</t>
        </is>
      </c>
      <c r="L102" s="31">
        <f>IF(INDIRECT(ADDRESS(ROW() + (0),COLUMN() + (-1)))="Agregar cuotas", IF(("13.4%")="", "Sin costo", "13.4%"), IF(INDIRECT(ADDRESS(ROW() + (0),COLUMN() + (-1)))="No agregar cuotas", IF(("")="", "Sin costo", ""), "-"))</f>
        <v/>
      </c>
      <c r="M102" s="0" t="inlineStr">
        <is>
          <t>Mercado Envíos</t>
        </is>
      </c>
      <c r="N102" s="0" t="inlineStr">
        <is>
          <t>A cargo del comprador</t>
        </is>
      </c>
      <c r="O102" s="0" t="inlineStr">
        <is>
          <t>Acepto</t>
        </is>
      </c>
      <c r="P102" s="47" t="inlineStr">
        <is>
          <t>Sin garantía</t>
        </is>
      </c>
      <c r="R102" s="0" t="inlineStr">
        <is>
          <t>Seleccionar</t>
        </is>
      </c>
      <c r="S102" s="0" t="inlineStr">
        <is>
          <t>No ofrezco</t>
        </is>
      </c>
      <c r="T102" t="n">
        <v>1965</v>
      </c>
      <c r="U102" s="0" t="inlineStr">
        <is>
          <t>Perú</t>
        </is>
      </c>
      <c r="X102" s="0" t="inlineStr">
        <is>
          <t>Bronce</t>
        </is>
      </c>
      <c r="Z102" t="inlineStr">
        <is>
          <t>1/2 Sol</t>
        </is>
      </c>
      <c r="AA102" s="0" t="inlineStr">
        <is>
          <t>Peso</t>
        </is>
      </c>
      <c r="AB1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2" s="53">
        <f>IF(OR(TRIM(INDIRECT("B"&amp;ROW())) &lt;&gt; "",TRIM(INDIRECT("A"&amp;ROW())) &lt;&gt; ""),AND(TRIM(INDIRECT("A"&amp;ROW())) &lt;&gt; "",TRIM(INDIRECT("D"&amp;ROW())) = "nuevo"),"")</f>
        <v/>
      </c>
    </row>
    <row r="103" ht="27.5" customHeight="1" s="62">
      <c r="B103" t="inlineStr">
        <is>
          <t>Moneda Reino Unido 2 Shillings 1949</t>
        </is>
      </c>
      <c r="C103" s="0">
        <f>LEN(INDIRECT(ADDRESS(ROW() + (0),COLUMN() + (-1))))</f>
        <v/>
      </c>
      <c r="D103" s="0" t="inlineStr">
        <is>
          <t>Usado</t>
        </is>
      </c>
      <c r="E103" s="38" t="inlineStr">
        <is>
          <t>https://numismaticapopper.com/images/297A.jpeg,https://numismaticapopper.com/images/297B.jpeg</t>
        </is>
      </c>
      <c r="F103" t="inlineStr">
        <is>
          <t>297</t>
        </is>
      </c>
      <c r="G103" s="40" t="n">
        <v>1</v>
      </c>
      <c r="H103" t="n">
        <v>10000</v>
      </c>
      <c r="I103" t="inlineStr">
        <is>
          <t>Estado de conservacion: Sin Circular
Referencia de catalogo: KM# 879
Material: Cuproníquel
Peso: 14.14 g
Diametro: 32.3 mm
Jorge VI</t>
        </is>
      </c>
      <c r="J103" s="31">
        <f>IF(INDIRECT(ADDRESS(ROW() + (0),COLUMN() + (1)))="Agregar cuotas", IF(("16%")="", "-", "16%"), IF(INDIRECT(ADDRESS(ROW() + (0),COLUMN() + (1)))="No agregar cuotas", IF(("16%")="", "-", "16%"), "-"))</f>
        <v/>
      </c>
      <c r="K103" s="0" t="inlineStr">
        <is>
          <t>No agregar cuotas</t>
        </is>
      </c>
      <c r="L103" s="31">
        <f>IF(INDIRECT(ADDRESS(ROW() + (0),COLUMN() + (-1)))="Agregar cuotas", IF(("13.4%")="", "Sin costo", "13.4%"), IF(INDIRECT(ADDRESS(ROW() + (0),COLUMN() + (-1)))="No agregar cuotas", IF(("")="", "Sin costo", ""), "-"))</f>
        <v/>
      </c>
      <c r="M103" s="0" t="inlineStr">
        <is>
          <t>Mercado Envíos</t>
        </is>
      </c>
      <c r="N103" s="0" t="inlineStr">
        <is>
          <t>A cargo del comprador</t>
        </is>
      </c>
      <c r="O103" s="0" t="inlineStr">
        <is>
          <t>Acepto</t>
        </is>
      </c>
      <c r="P103" s="47" t="inlineStr">
        <is>
          <t>Sin garantía</t>
        </is>
      </c>
      <c r="R103" s="0" t="inlineStr">
        <is>
          <t>Seleccionar</t>
        </is>
      </c>
      <c r="S103" s="0" t="inlineStr">
        <is>
          <t>No ofrezco</t>
        </is>
      </c>
      <c r="T103" t="n">
        <v>1949</v>
      </c>
      <c r="U103" s="0" t="inlineStr">
        <is>
          <t>Inglaterra</t>
        </is>
      </c>
      <c r="X103" s="0" t="inlineStr">
        <is>
          <t>Níquel</t>
        </is>
      </c>
      <c r="Z103" t="inlineStr">
        <is>
          <t>2 Shillings</t>
        </is>
      </c>
      <c r="AA103" s="0" t="inlineStr">
        <is>
          <t>Dólar</t>
        </is>
      </c>
      <c r="AB1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3" s="53">
        <f>IF(OR(TRIM(INDIRECT("B"&amp;ROW())) &lt;&gt; "",TRIM(INDIRECT("A"&amp;ROW())) &lt;&gt; ""),AND(TRIM(INDIRECT("A"&amp;ROW())) &lt;&gt; "",TRIM(INDIRECT("D"&amp;ROW())) = "nuevo"),"")</f>
        <v/>
      </c>
    </row>
    <row r="104" ht="27.5" customHeight="1" s="62">
      <c r="B104" t="inlineStr">
        <is>
          <t>Moneda Perú 1 Sol 1961</t>
        </is>
      </c>
      <c r="C104" s="0">
        <f>LEN(INDIRECT(ADDRESS(ROW() + (0),COLUMN() + (-1))))</f>
        <v/>
      </c>
      <c r="D104" s="0" t="inlineStr">
        <is>
          <t>Usado</t>
        </is>
      </c>
      <c r="E104" s="38" t="inlineStr">
        <is>
          <t>https://numismaticapopper.com/images/299A.jpeg,https://numismaticapopper.com/images/299B.jpeg</t>
        </is>
      </c>
      <c r="F104" t="inlineStr">
        <is>
          <t>299</t>
        </is>
      </c>
      <c r="G104" s="40" t="n">
        <v>1</v>
      </c>
      <c r="H104" t="n">
        <v>8000</v>
      </c>
      <c r="I104" t="inlineStr">
        <is>
          <t>Estado de conservacion: Excelente -
Referencia de catalogo: KM 222
Material: Latón
Peso: 13.8 g
Diametro: 33.0 mm
Gran tamaño</t>
        </is>
      </c>
      <c r="J104" s="31">
        <f>IF(INDIRECT(ADDRESS(ROW() + (0),COLUMN() + (1)))="Agregar cuotas", IF(("16%")="", "-", "16%"), IF(INDIRECT(ADDRESS(ROW() + (0),COLUMN() + (1)))="No agregar cuotas", IF(("16%")="", "-", "16%"), "-"))</f>
        <v/>
      </c>
      <c r="K104" s="0" t="inlineStr">
        <is>
          <t>No agregar cuotas</t>
        </is>
      </c>
      <c r="L104" s="31">
        <f>IF(INDIRECT(ADDRESS(ROW() + (0),COLUMN() + (-1)))="Agregar cuotas", IF(("13.4%")="", "Sin costo", "13.4%"), IF(INDIRECT(ADDRESS(ROW() + (0),COLUMN() + (-1)))="No agregar cuotas", IF(("")="", "Sin costo", ""), "-"))</f>
        <v/>
      </c>
      <c r="M104" s="0" t="inlineStr">
        <is>
          <t>Mercado Envíos</t>
        </is>
      </c>
      <c r="N104" s="0" t="inlineStr">
        <is>
          <t>A cargo del comprador</t>
        </is>
      </c>
      <c r="O104" s="0" t="inlineStr">
        <is>
          <t>Acepto</t>
        </is>
      </c>
      <c r="P104" s="47" t="inlineStr">
        <is>
          <t>Sin garantía</t>
        </is>
      </c>
      <c r="R104" s="0" t="inlineStr">
        <is>
          <t>Seleccionar</t>
        </is>
      </c>
      <c r="S104" s="0" t="inlineStr">
        <is>
          <t>No ofrezco</t>
        </is>
      </c>
      <c r="T104" t="n">
        <v>1961</v>
      </c>
      <c r="U104" s="0" t="inlineStr">
        <is>
          <t>Perú</t>
        </is>
      </c>
      <c r="X104" s="0" t="inlineStr">
        <is>
          <t>Bronce</t>
        </is>
      </c>
      <c r="Z104" t="inlineStr">
        <is>
          <t>1 Sol</t>
        </is>
      </c>
      <c r="AA104" s="0" t="inlineStr">
        <is>
          <t>Peso</t>
        </is>
      </c>
      <c r="AB1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4" s="53">
        <f>IF(OR(TRIM(INDIRECT("B"&amp;ROW())) &lt;&gt; "",TRIM(INDIRECT("A"&amp;ROW())) &lt;&gt; ""),AND(TRIM(INDIRECT("A"&amp;ROW())) &lt;&gt; "",TRIM(INDIRECT("D"&amp;ROW())) = "nuevo"),"")</f>
        <v/>
      </c>
    </row>
    <row r="105" ht="27.5" customHeight="1" s="62">
      <c r="B105" t="inlineStr">
        <is>
          <t>Moneda Jamaica 5 Dolares 2017</t>
        </is>
      </c>
      <c r="C105" s="0">
        <f>LEN(INDIRECT(ADDRESS(ROW() + (0),COLUMN() + (-1))))</f>
        <v/>
      </c>
      <c r="D105" s="0" t="inlineStr">
        <is>
          <t>Usado</t>
        </is>
      </c>
      <c r="E105" s="38" t="inlineStr">
        <is>
          <t>https://numismaticapopper.com/images/303A.jpeg,https://numismaticapopper.com/images/303B.jpeg</t>
        </is>
      </c>
      <c r="F105" t="inlineStr">
        <is>
          <t>303</t>
        </is>
      </c>
      <c r="G105" s="40" t="n">
        <v>1</v>
      </c>
      <c r="H105" t="n">
        <v>8000</v>
      </c>
      <c r="I105" t="inlineStr">
        <is>
          <t>Estado de conservacion: Excelente +
Referencia de catalogo: KM. 163
Material: Acero niquelado
Peso: 4.3 g
Diametro: 21.5 mm</t>
        </is>
      </c>
      <c r="J105" s="31">
        <f>IF(INDIRECT(ADDRESS(ROW() + (0),COLUMN() + (1)))="Agregar cuotas", IF(("16%")="", "-", "16%"), IF(INDIRECT(ADDRESS(ROW() + (0),COLUMN() + (1)))="No agregar cuotas", IF(("16%")="", "-", "16%"), "-"))</f>
        <v/>
      </c>
      <c r="K105" s="0" t="inlineStr">
        <is>
          <t>No agregar cuotas</t>
        </is>
      </c>
      <c r="L105" s="31">
        <f>IF(INDIRECT(ADDRESS(ROW() + (0),COLUMN() + (-1)))="Agregar cuotas", IF(("13.4%")="", "Sin costo", "13.4%"), IF(INDIRECT(ADDRESS(ROW() + (0),COLUMN() + (-1)))="No agregar cuotas", IF(("")="", "Sin costo", ""), "-"))</f>
        <v/>
      </c>
      <c r="M105" s="0" t="inlineStr">
        <is>
          <t>Mercado Envíos</t>
        </is>
      </c>
      <c r="N105" s="0" t="inlineStr">
        <is>
          <t>A cargo del comprador</t>
        </is>
      </c>
      <c r="O105" s="0" t="inlineStr">
        <is>
          <t>Acepto</t>
        </is>
      </c>
      <c r="P105" s="47" t="inlineStr">
        <is>
          <t>Sin garantía</t>
        </is>
      </c>
      <c r="R105" s="0" t="inlineStr">
        <is>
          <t>Seleccionar</t>
        </is>
      </c>
      <c r="S105" s="0" t="inlineStr">
        <is>
          <t>No ofrezco</t>
        </is>
      </c>
      <c r="T105" t="n">
        <v>2017</v>
      </c>
      <c r="U105" s="0" t="inlineStr">
        <is>
          <t>Inglaterra</t>
        </is>
      </c>
      <c r="X105" s="0" t="inlineStr">
        <is>
          <t>Níquel</t>
        </is>
      </c>
      <c r="Z105" t="inlineStr">
        <is>
          <t>5 Dolares</t>
        </is>
      </c>
      <c r="AA105" s="0" t="inlineStr">
        <is>
          <t>Dólar</t>
        </is>
      </c>
      <c r="AB1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5" s="53">
        <f>IF(OR(TRIM(INDIRECT("B"&amp;ROW())) &lt;&gt; "",TRIM(INDIRECT("A"&amp;ROW())) &lt;&gt; ""),AND(TRIM(INDIRECT("A"&amp;ROW())) &lt;&gt; "",TRIM(INDIRECT("D"&amp;ROW())) = "nuevo"),"")</f>
        <v/>
      </c>
    </row>
    <row r="106" ht="27.5" customHeight="1" s="62">
      <c r="B106" t="inlineStr">
        <is>
          <t>Moneda Suecia 25 Ore 1979</t>
        </is>
      </c>
      <c r="C106" s="0">
        <f>LEN(INDIRECT(ADDRESS(ROW() + (0),COLUMN() + (-1))))</f>
        <v/>
      </c>
      <c r="D106" s="0" t="inlineStr">
        <is>
          <t>Usado</t>
        </is>
      </c>
      <c r="E106" s="38" t="inlineStr">
        <is>
          <t>https://numismaticapopper.com/images/304A.jpeg,https://numismaticapopper.com/images/304B.jpeg</t>
        </is>
      </c>
      <c r="F106" t="inlineStr">
        <is>
          <t>304</t>
        </is>
      </c>
      <c r="G106" s="40" t="n">
        <v>1</v>
      </c>
      <c r="H106" t="n">
        <v>7000</v>
      </c>
      <c r="I106" t="inlineStr">
        <is>
          <t>Estado de conservacion: Excelente
Referencia de catalogo: KM# 852
Material: Cuproníquel
Peso: 7.0 g
Diametro: 25.0 mm</t>
        </is>
      </c>
      <c r="J106" s="31">
        <f>IF(INDIRECT(ADDRESS(ROW() + (0),COLUMN() + (1)))="Agregar cuotas", IF(("16%")="", "-", "16%"), IF(INDIRECT(ADDRESS(ROW() + (0),COLUMN() + (1)))="No agregar cuotas", IF(("16%")="", "-", "16%"), "-"))</f>
        <v/>
      </c>
      <c r="K106" s="0" t="inlineStr">
        <is>
          <t>No agregar cuotas</t>
        </is>
      </c>
      <c r="L106" s="31">
        <f>IF(INDIRECT(ADDRESS(ROW() + (0),COLUMN() + (-1)))="Agregar cuotas", IF(("13.4%")="", "Sin costo", "13.4%"), IF(INDIRECT(ADDRESS(ROW() + (0),COLUMN() + (-1)))="No agregar cuotas", IF(("")="", "Sin costo", ""), "-"))</f>
        <v/>
      </c>
      <c r="M106" s="0" t="inlineStr">
        <is>
          <t>Mercado Envíos</t>
        </is>
      </c>
      <c r="N106" s="0" t="inlineStr">
        <is>
          <t>A cargo del comprador</t>
        </is>
      </c>
      <c r="O106" s="0" t="inlineStr">
        <is>
          <t>Acepto</t>
        </is>
      </c>
      <c r="P106" s="47" t="inlineStr">
        <is>
          <t>Sin garantía</t>
        </is>
      </c>
      <c r="R106" s="0" t="inlineStr">
        <is>
          <t>Seleccionar</t>
        </is>
      </c>
      <c r="S106" s="0" t="inlineStr">
        <is>
          <t>No ofrezco</t>
        </is>
      </c>
      <c r="T106" t="n">
        <v>1979</v>
      </c>
      <c r="U106" s="0" t="inlineStr">
        <is>
          <t>Dinamarca</t>
        </is>
      </c>
      <c r="X106" s="0" t="inlineStr">
        <is>
          <t>Níquel</t>
        </is>
      </c>
      <c r="Z106" t="inlineStr">
        <is>
          <t>25 Ore</t>
        </is>
      </c>
      <c r="AA106" s="0" t="inlineStr">
        <is>
          <t>Euro</t>
        </is>
      </c>
      <c r="AB1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6" s="53">
        <f>IF(OR(TRIM(INDIRECT("B"&amp;ROW())) &lt;&gt; "",TRIM(INDIRECT("A"&amp;ROW())) &lt;&gt; ""),AND(TRIM(INDIRECT("A"&amp;ROW())) &lt;&gt; "",TRIM(INDIRECT("D"&amp;ROW())) = "nuevo"),"")</f>
        <v/>
      </c>
    </row>
    <row r="107" ht="27.5" customHeight="1" s="62">
      <c r="B107" t="inlineStr">
        <is>
          <t>Moneda Colombia 10 Centavos 1976</t>
        </is>
      </c>
      <c r="C107" s="0">
        <f>LEN(INDIRECT(ADDRESS(ROW() + (0),COLUMN() + (-1))))</f>
        <v/>
      </c>
      <c r="D107" s="0" t="inlineStr">
        <is>
          <t>Usado</t>
        </is>
      </c>
      <c r="E107" s="38" t="inlineStr">
        <is>
          <t>https://numismaticapopper.com/images/306A.jpeg,https://numismaticapopper.com/images/306B.jpeg</t>
        </is>
      </c>
      <c r="F107" t="inlineStr">
        <is>
          <t>306</t>
        </is>
      </c>
      <c r="G107" s="40" t="n">
        <v>1</v>
      </c>
      <c r="H107" t="n">
        <v>8000</v>
      </c>
      <c r="I107" t="inlineStr">
        <is>
          <t>Estado de conservacion: Sin Circular
Referencia de catalogo: KM. 253
Material: Acero niquelado
Peso: 2.52 g
Diametro: 18.4 mm</t>
        </is>
      </c>
      <c r="J107" s="31">
        <f>IF(INDIRECT(ADDRESS(ROW() + (0),COLUMN() + (1)))="Agregar cuotas", IF(("16%")="", "-", "16%"), IF(INDIRECT(ADDRESS(ROW() + (0),COLUMN() + (1)))="No agregar cuotas", IF(("16%")="", "-", "16%"), "-"))</f>
        <v/>
      </c>
      <c r="K107" s="0" t="inlineStr">
        <is>
          <t>No agregar cuotas</t>
        </is>
      </c>
      <c r="L107" s="31">
        <f>IF(INDIRECT(ADDRESS(ROW() + (0),COLUMN() + (-1)))="Agregar cuotas", IF(("13.4%")="", "Sin costo", "13.4%"), IF(INDIRECT(ADDRESS(ROW() + (0),COLUMN() + (-1)))="No agregar cuotas", IF(("")="", "Sin costo", ""), "-"))</f>
        <v/>
      </c>
      <c r="M107" s="0" t="inlineStr">
        <is>
          <t>Mercado Envíos</t>
        </is>
      </c>
      <c r="N107" s="0" t="inlineStr">
        <is>
          <t>A cargo del comprador</t>
        </is>
      </c>
      <c r="O107" s="0" t="inlineStr">
        <is>
          <t>Acepto</t>
        </is>
      </c>
      <c r="P107" s="47" t="inlineStr">
        <is>
          <t>Sin garantía</t>
        </is>
      </c>
      <c r="R107" s="0" t="inlineStr">
        <is>
          <t>Seleccionar</t>
        </is>
      </c>
      <c r="S107" s="0" t="inlineStr">
        <is>
          <t>No ofrezco</t>
        </is>
      </c>
      <c r="T107" t="n">
        <v>1976</v>
      </c>
      <c r="U107" s="0" t="inlineStr">
        <is>
          <t>Perú</t>
        </is>
      </c>
      <c r="X107" s="0" t="inlineStr">
        <is>
          <t>Níquel</t>
        </is>
      </c>
      <c r="Z107" t="inlineStr">
        <is>
          <t>10 Centavos</t>
        </is>
      </c>
      <c r="AA107" s="0" t="inlineStr">
        <is>
          <t>Peso</t>
        </is>
      </c>
      <c r="AB1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7" s="53">
        <f>IF(OR(TRIM(INDIRECT("B"&amp;ROW())) &lt;&gt; "",TRIM(INDIRECT("A"&amp;ROW())) &lt;&gt; ""),AND(TRIM(INDIRECT("A"&amp;ROW())) &lt;&gt; "",TRIM(INDIRECT("D"&amp;ROW())) = "nuevo"),"")</f>
        <v/>
      </c>
    </row>
    <row r="108" ht="27.5" customHeight="1" s="62">
      <c r="B108" t="inlineStr">
        <is>
          <t>Moneda Suiza 10 Rappen 1970</t>
        </is>
      </c>
      <c r="C108" s="0">
        <f>LEN(INDIRECT(ADDRESS(ROW() + (0),COLUMN() + (-1))))</f>
        <v/>
      </c>
      <c r="D108" s="0" t="inlineStr">
        <is>
          <t>Usado</t>
        </is>
      </c>
      <c r="E108" s="38" t="inlineStr">
        <is>
          <t>https://numismaticapopper.com/images/309A.jpeg,https://numismaticapopper.com/images/309B.jpeg</t>
        </is>
      </c>
      <c r="F108" t="inlineStr">
        <is>
          <t>309</t>
        </is>
      </c>
      <c r="G108" s="40" t="n">
        <v>1</v>
      </c>
      <c r="H108" t="n">
        <v>7000</v>
      </c>
      <c r="I108" t="inlineStr">
        <is>
          <t>Estado de conservacion: Excelente +
Referencia de catalogo: KM# 27
Material: Cuproníquel
Peso: 3.0 g
Diametro: 19.15 mm</t>
        </is>
      </c>
      <c r="J108" s="31">
        <f>IF(INDIRECT(ADDRESS(ROW() + (0),COLUMN() + (1)))="Agregar cuotas", IF(("16%")="", "-", "16%"), IF(INDIRECT(ADDRESS(ROW() + (0),COLUMN() + (1)))="No agregar cuotas", IF(("16%")="", "-", "16%"), "-"))</f>
        <v/>
      </c>
      <c r="K108" s="0" t="inlineStr">
        <is>
          <t>No agregar cuotas</t>
        </is>
      </c>
      <c r="L108" s="31">
        <f>IF(INDIRECT(ADDRESS(ROW() + (0),COLUMN() + (-1)))="Agregar cuotas", IF(("13.4%")="", "Sin costo", "13.4%"), IF(INDIRECT(ADDRESS(ROW() + (0),COLUMN() + (-1)))="No agregar cuotas", IF(("")="", "Sin costo", ""), "-"))</f>
        <v/>
      </c>
      <c r="M108" s="0" t="inlineStr">
        <is>
          <t>Mercado Envíos</t>
        </is>
      </c>
      <c r="N108" s="0" t="inlineStr">
        <is>
          <t>A cargo del comprador</t>
        </is>
      </c>
      <c r="O108" s="0" t="inlineStr">
        <is>
          <t>Acepto</t>
        </is>
      </c>
      <c r="P108" s="47" t="inlineStr">
        <is>
          <t>Sin garantía</t>
        </is>
      </c>
      <c r="R108" s="0" t="inlineStr">
        <is>
          <t>Seleccionar</t>
        </is>
      </c>
      <c r="S108" s="0" t="inlineStr">
        <is>
          <t>No ofrezco</t>
        </is>
      </c>
      <c r="T108" t="n">
        <v>1970</v>
      </c>
      <c r="U108" s="0" t="inlineStr">
        <is>
          <t>Alemania</t>
        </is>
      </c>
      <c r="X108" s="0" t="inlineStr">
        <is>
          <t>Níquel</t>
        </is>
      </c>
      <c r="Z108" t="inlineStr">
        <is>
          <t>10 Rappen</t>
        </is>
      </c>
      <c r="AA108" s="0" t="inlineStr">
        <is>
          <t>Euro</t>
        </is>
      </c>
      <c r="AB1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8" s="53">
        <f>IF(OR(TRIM(INDIRECT("B"&amp;ROW())) &lt;&gt; "",TRIM(INDIRECT("A"&amp;ROW())) &lt;&gt; ""),AND(TRIM(INDIRECT("A"&amp;ROW())) &lt;&gt; "",TRIM(INDIRECT("D"&amp;ROW())) = "nuevo"),"")</f>
        <v/>
      </c>
    </row>
    <row r="109" ht="27.5" customHeight="1" s="62">
      <c r="B109" t="inlineStr">
        <is>
          <t>Moneda Austria 10 Groschen 1949</t>
        </is>
      </c>
      <c r="C109" s="0">
        <f>LEN(INDIRECT(ADDRESS(ROW() + (0),COLUMN() + (-1))))</f>
        <v/>
      </c>
      <c r="D109" s="0" t="inlineStr">
        <is>
          <t>Usado</t>
        </is>
      </c>
      <c r="E109" s="38" t="inlineStr">
        <is>
          <t>https://numismaticapopper.com/images/316A.jpeg,https://numismaticapopper.com/images/316B.jpeg</t>
        </is>
      </c>
      <c r="F109" t="inlineStr">
        <is>
          <t>316</t>
        </is>
      </c>
      <c r="G109" s="40" t="n">
        <v>1</v>
      </c>
      <c r="H109" t="n">
        <v>10000</v>
      </c>
      <c r="I109" t="inlineStr">
        <is>
          <t>Estado de conservacion: Excelente
Referencia de catalogo: KM 2874
Material: Zinc
Peso: 3.5 g
Diametro: 21.0 mm
Post Guerra</t>
        </is>
      </c>
      <c r="J109" s="31">
        <f>IF(INDIRECT(ADDRESS(ROW() + (0),COLUMN() + (1)))="Agregar cuotas", IF(("16%")="", "-", "16%"), IF(INDIRECT(ADDRESS(ROW() + (0),COLUMN() + (1)))="No agregar cuotas", IF(("16%")="", "-", "16%"), "-"))</f>
        <v/>
      </c>
      <c r="K109" s="0" t="inlineStr">
        <is>
          <t>No agregar cuotas</t>
        </is>
      </c>
      <c r="L109" s="31">
        <f>IF(INDIRECT(ADDRESS(ROW() + (0),COLUMN() + (-1)))="Agregar cuotas", IF(("13.4%")="", "Sin costo", "13.4%"), IF(INDIRECT(ADDRESS(ROW() + (0),COLUMN() + (-1)))="No agregar cuotas", IF(("")="", "Sin costo", ""), "-"))</f>
        <v/>
      </c>
      <c r="M109" s="0" t="inlineStr">
        <is>
          <t>Mercado Envíos</t>
        </is>
      </c>
      <c r="N109" s="0" t="inlineStr">
        <is>
          <t>A cargo del comprador</t>
        </is>
      </c>
      <c r="O109" s="0" t="inlineStr">
        <is>
          <t>Acepto</t>
        </is>
      </c>
      <c r="P109" s="47" t="inlineStr">
        <is>
          <t>Sin garantía</t>
        </is>
      </c>
      <c r="R109" s="0" t="inlineStr">
        <is>
          <t>Seleccionar</t>
        </is>
      </c>
      <c r="S109" s="0" t="inlineStr">
        <is>
          <t>No ofrezco</t>
        </is>
      </c>
      <c r="T109" t="n">
        <v>1949</v>
      </c>
      <c r="U109" s="0" t="inlineStr">
        <is>
          <t>Austria</t>
        </is>
      </c>
      <c r="X109" s="0" t="inlineStr">
        <is>
          <t>Níquel</t>
        </is>
      </c>
      <c r="Z109" t="inlineStr">
        <is>
          <t>10 Groschen</t>
        </is>
      </c>
      <c r="AA109" s="0" t="inlineStr">
        <is>
          <t>Euro</t>
        </is>
      </c>
      <c r="AB1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9" s="53">
        <f>IF(OR(TRIM(INDIRECT("B"&amp;ROW())) &lt;&gt; "",TRIM(INDIRECT("A"&amp;ROW())) &lt;&gt; ""),AND(TRIM(INDIRECT("A"&amp;ROW())) &lt;&gt; "",TRIM(INDIRECT("D"&amp;ROW())) = "nuevo"),"")</f>
        <v/>
      </c>
    </row>
    <row r="110" ht="27.5" customHeight="1" s="62">
      <c r="B110" t="inlineStr">
        <is>
          <t>Moneda Francia 10 Francos 1955</t>
        </is>
      </c>
      <c r="C110" s="0">
        <f>LEN(INDIRECT(ADDRESS(ROW() + (0),COLUMN() + (-1))))</f>
        <v/>
      </c>
      <c r="D110" s="0" t="inlineStr">
        <is>
          <t>Usado</t>
        </is>
      </c>
      <c r="E110" s="38" t="inlineStr">
        <is>
          <t>https://numismaticapopper.com/images/317A.jpeg,https://numismaticapopper.com/images/317B.jpeg</t>
        </is>
      </c>
      <c r="F110" t="inlineStr">
        <is>
          <t>317</t>
        </is>
      </c>
      <c r="G110" s="40" t="n">
        <v>1</v>
      </c>
      <c r="H110" t="n">
        <v>8000</v>
      </c>
      <c r="I110" t="inlineStr">
        <is>
          <t>Estado de conservacion: Muy Buena +
Referencia de catalogo: KM# 915.1
Material: Bronce aluminio
Peso: 3.0 g
Diametro: 20.0 mm</t>
        </is>
      </c>
      <c r="J110" s="31">
        <f>IF(INDIRECT(ADDRESS(ROW() + (0),COLUMN() + (1)))="Agregar cuotas", IF(("16%")="", "-", "16%"), IF(INDIRECT(ADDRESS(ROW() + (0),COLUMN() + (1)))="No agregar cuotas", IF(("16%")="", "-", "16%"), "-"))</f>
        <v/>
      </c>
      <c r="K110" s="0" t="inlineStr">
        <is>
          <t>No agregar cuotas</t>
        </is>
      </c>
      <c r="L110" s="31">
        <f>IF(INDIRECT(ADDRESS(ROW() + (0),COLUMN() + (-1)))="Agregar cuotas", IF(("13.4%")="", "Sin costo", "13.4%"), IF(INDIRECT(ADDRESS(ROW() + (0),COLUMN() + (-1)))="No agregar cuotas", IF(("")="", "Sin costo", ""), "-"))</f>
        <v/>
      </c>
      <c r="M110" s="0" t="inlineStr">
        <is>
          <t>Mercado Envíos</t>
        </is>
      </c>
      <c r="N110" s="0" t="inlineStr">
        <is>
          <t>A cargo del comprador</t>
        </is>
      </c>
      <c r="O110" s="0" t="inlineStr">
        <is>
          <t>Acepto</t>
        </is>
      </c>
      <c r="P110" s="47" t="inlineStr">
        <is>
          <t>Sin garantía</t>
        </is>
      </c>
      <c r="R110" s="0" t="inlineStr">
        <is>
          <t>Seleccionar</t>
        </is>
      </c>
      <c r="S110" s="0" t="inlineStr">
        <is>
          <t>No ofrezco</t>
        </is>
      </c>
      <c r="T110" t="n">
        <v>1955</v>
      </c>
      <c r="U110" s="0" t="inlineStr">
        <is>
          <t>Francia</t>
        </is>
      </c>
      <c r="X110" s="0" t="inlineStr">
        <is>
          <t>Bronce</t>
        </is>
      </c>
      <c r="Z110" t="inlineStr">
        <is>
          <t>10 Francos</t>
        </is>
      </c>
      <c r="AA110" s="0" t="inlineStr">
        <is>
          <t>Euro</t>
        </is>
      </c>
      <c r="AB1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0" s="53">
        <f>IF(OR(TRIM(INDIRECT("B"&amp;ROW())) &lt;&gt; "",TRIM(INDIRECT("A"&amp;ROW())) &lt;&gt; ""),AND(TRIM(INDIRECT("A"&amp;ROW())) &lt;&gt; "",TRIM(INDIRECT("D"&amp;ROW())) = "nuevo"),"")</f>
        <v/>
      </c>
    </row>
    <row r="111" ht="27.5" customHeight="1" s="62">
      <c r="B111" t="inlineStr">
        <is>
          <t>Moneda Polonia 10 Groszy 1923</t>
        </is>
      </c>
      <c r="C111" s="0">
        <f>LEN(INDIRECT(ADDRESS(ROW() + (0),COLUMN() + (-1))))</f>
        <v/>
      </c>
      <c r="D111" s="0" t="inlineStr">
        <is>
          <t>Usado</t>
        </is>
      </c>
      <c r="E111" s="38" t="inlineStr">
        <is>
          <t>https://numismaticapopper.com/images/318A.jpeg,https://numismaticapopper.com/images/318B.jpeg</t>
        </is>
      </c>
      <c r="F111" t="inlineStr">
        <is>
          <t>318</t>
        </is>
      </c>
      <c r="G111" s="40" t="n">
        <v>1</v>
      </c>
      <c r="H111" t="n">
        <v>10000</v>
      </c>
      <c r="I111" t="inlineStr">
        <is>
          <t>Estado de conservacion: Muy Buena +
Referencia de catalogo: Y# 10
Material: Níquel
Peso: 3.5 g
Diametro: 20.0 mm</t>
        </is>
      </c>
      <c r="J111" s="31">
        <f>IF(INDIRECT(ADDRESS(ROW() + (0),COLUMN() + (1)))="Agregar cuotas", IF(("16%")="", "-", "16%"), IF(INDIRECT(ADDRESS(ROW() + (0),COLUMN() + (1)))="No agregar cuotas", IF(("16%")="", "-", "16%"), "-"))</f>
        <v/>
      </c>
      <c r="K111" s="0" t="inlineStr">
        <is>
          <t>No agregar cuotas</t>
        </is>
      </c>
      <c r="L111" s="31">
        <f>IF(INDIRECT(ADDRESS(ROW() + (0),COLUMN() + (-1)))="Agregar cuotas", IF(("13.4%")="", "Sin costo", "13.4%"), IF(INDIRECT(ADDRESS(ROW() + (0),COLUMN() + (-1)))="No agregar cuotas", IF(("")="", "Sin costo", ""), "-"))</f>
        <v/>
      </c>
      <c r="M111" s="0" t="inlineStr">
        <is>
          <t>Mercado Envíos</t>
        </is>
      </c>
      <c r="N111" s="0" t="inlineStr">
        <is>
          <t>A cargo del comprador</t>
        </is>
      </c>
      <c r="O111" s="0" t="inlineStr">
        <is>
          <t>Acepto</t>
        </is>
      </c>
      <c r="P111" s="47" t="inlineStr">
        <is>
          <t>Sin garantía</t>
        </is>
      </c>
      <c r="R111" s="0" t="inlineStr">
        <is>
          <t>Seleccionar</t>
        </is>
      </c>
      <c r="S111" s="0" t="inlineStr">
        <is>
          <t>No ofrezco</t>
        </is>
      </c>
      <c r="T111" t="n">
        <v>1923</v>
      </c>
      <c r="U111" s="0" t="inlineStr">
        <is>
          <t>Polonia</t>
        </is>
      </c>
      <c r="X111" s="0" t="inlineStr">
        <is>
          <t>Níquel</t>
        </is>
      </c>
      <c r="Z111" t="inlineStr">
        <is>
          <t>10 Groszy</t>
        </is>
      </c>
      <c r="AA111" s="0" t="inlineStr">
        <is>
          <t>Zloty</t>
        </is>
      </c>
      <c r="AB1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1" s="53">
        <f>IF(OR(TRIM(INDIRECT("B"&amp;ROW())) &lt;&gt; "",TRIM(INDIRECT("A"&amp;ROW())) &lt;&gt; ""),AND(TRIM(INDIRECT("A"&amp;ROW())) &lt;&gt; "",TRIM(INDIRECT("D"&amp;ROW())) = "nuevo"),"")</f>
        <v/>
      </c>
    </row>
    <row r="112" ht="27.5" customHeight="1" s="62">
      <c r="B112" t="inlineStr">
        <is>
          <t>Moneda Nueva Zelanda 2 Cents 1987</t>
        </is>
      </c>
      <c r="C112" s="0">
        <f>LEN(INDIRECT(ADDRESS(ROW() + (0),COLUMN() + (-1))))</f>
        <v/>
      </c>
      <c r="D112" s="0" t="inlineStr">
        <is>
          <t>Usado</t>
        </is>
      </c>
      <c r="E112" s="38" t="inlineStr">
        <is>
          <t>https://numismaticapopper.com/images/322A.jpeg,https://numismaticapopper.com/images/322B.jpeg</t>
        </is>
      </c>
      <c r="F112" t="inlineStr">
        <is>
          <t>322</t>
        </is>
      </c>
      <c r="G112" s="40" t="n">
        <v>1</v>
      </c>
      <c r="H112" t="n">
        <v>8000</v>
      </c>
      <c r="I112" t="inlineStr">
        <is>
          <t>Estado de conservacion: Excelente
Referencia de catalogo: KM# 58
Material: Bronce
Peso: 2.05 g
Diametro: 17.5 mm</t>
        </is>
      </c>
      <c r="J112" s="31">
        <f>IF(INDIRECT(ADDRESS(ROW() + (0),COLUMN() + (1)))="Agregar cuotas", IF(("16%")="", "-", "16%"), IF(INDIRECT(ADDRESS(ROW() + (0),COLUMN() + (1)))="No agregar cuotas", IF(("16%")="", "-", "16%"), "-"))</f>
        <v/>
      </c>
      <c r="K112" s="0" t="inlineStr">
        <is>
          <t>No agregar cuotas</t>
        </is>
      </c>
      <c r="L112" s="31">
        <f>IF(INDIRECT(ADDRESS(ROW() + (0),COLUMN() + (-1)))="Agregar cuotas", IF(("13.4%")="", "Sin costo", "13.4%"), IF(INDIRECT(ADDRESS(ROW() + (0),COLUMN() + (-1)))="No agregar cuotas", IF(("")="", "Sin costo", ""), "-"))</f>
        <v/>
      </c>
      <c r="M112" s="0" t="inlineStr">
        <is>
          <t>Mercado Envíos</t>
        </is>
      </c>
      <c r="N112" s="0" t="inlineStr">
        <is>
          <t>A cargo del comprador</t>
        </is>
      </c>
      <c r="O112" s="0" t="inlineStr">
        <is>
          <t>Acepto</t>
        </is>
      </c>
      <c r="P112" s="47" t="inlineStr">
        <is>
          <t>Sin garantía</t>
        </is>
      </c>
      <c r="R112" s="0" t="inlineStr">
        <is>
          <t>Seleccionar</t>
        </is>
      </c>
      <c r="S112" s="0" t="inlineStr">
        <is>
          <t>No ofrezco</t>
        </is>
      </c>
      <c r="T112" t="n">
        <v>1987</v>
      </c>
      <c r="U112" s="0" t="inlineStr">
        <is>
          <t>Inglaterra</t>
        </is>
      </c>
      <c r="X112" s="0" t="inlineStr">
        <is>
          <t>Bronce</t>
        </is>
      </c>
      <c r="Z112" t="inlineStr">
        <is>
          <t>2 Cents</t>
        </is>
      </c>
      <c r="AA112" s="0" t="inlineStr">
        <is>
          <t>Dólar</t>
        </is>
      </c>
      <c r="AB1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2" s="53">
        <f>IF(OR(TRIM(INDIRECT("B"&amp;ROW())) &lt;&gt; "",TRIM(INDIRECT("A"&amp;ROW())) &lt;&gt; ""),AND(TRIM(INDIRECT("A"&amp;ROW())) &lt;&gt; "",TRIM(INDIRECT("D"&amp;ROW())) = "nuevo"),"")</f>
        <v/>
      </c>
    </row>
    <row r="113" ht="27.5" customHeight="1" s="62">
      <c r="B113" t="inlineStr">
        <is>
          <t>Moneda Hong Kong Dólar 2015</t>
        </is>
      </c>
      <c r="C113" s="0">
        <f>LEN(INDIRECT(ADDRESS(ROW() + (0),COLUMN() + (-1))))</f>
        <v/>
      </c>
      <c r="D113" s="0" t="inlineStr">
        <is>
          <t>Usado</t>
        </is>
      </c>
      <c r="E113" s="38" t="inlineStr">
        <is>
          <t>https://numismaticapopper.com/images/323A.jpeg,https://numismaticapopper.com/images/323B.jpeg</t>
        </is>
      </c>
      <c r="F113" t="inlineStr">
        <is>
          <t>323</t>
        </is>
      </c>
      <c r="G113" s="40" t="n">
        <v>1</v>
      </c>
      <c r="H113" t="n">
        <v>8000</v>
      </c>
      <c r="I113" t="inlineStr">
        <is>
          <t>Estado de conservacion: Excelente
Referencia de catalogo: KM# 69
Material: Cuproníquel
Peso: 7.1 g
Diametro: 25.5 mm</t>
        </is>
      </c>
      <c r="J113" s="31">
        <f>IF(INDIRECT(ADDRESS(ROW() + (0),COLUMN() + (1)))="Agregar cuotas", IF(("16%")="", "-", "16%"), IF(INDIRECT(ADDRESS(ROW() + (0),COLUMN() + (1)))="No agregar cuotas", IF(("16%")="", "-", "16%"), "-"))</f>
        <v/>
      </c>
      <c r="K113" s="0" t="inlineStr">
        <is>
          <t>No agregar cuotas</t>
        </is>
      </c>
      <c r="L113" s="31">
        <f>IF(INDIRECT(ADDRESS(ROW() + (0),COLUMN() + (-1)))="Agregar cuotas", IF(("13.4%")="", "Sin costo", "13.4%"), IF(INDIRECT(ADDRESS(ROW() + (0),COLUMN() + (-1)))="No agregar cuotas", IF(("")="", "Sin costo", ""), "-"))</f>
        <v/>
      </c>
      <c r="M113" s="0" t="inlineStr">
        <is>
          <t>Mercado Envíos</t>
        </is>
      </c>
      <c r="N113" s="0" t="inlineStr">
        <is>
          <t>A cargo del comprador</t>
        </is>
      </c>
      <c r="O113" s="0" t="inlineStr">
        <is>
          <t>Acepto</t>
        </is>
      </c>
      <c r="P113" s="47" t="inlineStr">
        <is>
          <t>Sin garantía</t>
        </is>
      </c>
      <c r="R113" s="0" t="inlineStr">
        <is>
          <t>Seleccionar</t>
        </is>
      </c>
      <c r="S113" s="0" t="inlineStr">
        <is>
          <t>No ofrezco</t>
        </is>
      </c>
      <c r="T113" t="n">
        <v>2015</v>
      </c>
      <c r="U113" s="0" t="inlineStr">
        <is>
          <t>Inglaterra</t>
        </is>
      </c>
      <c r="X113" s="0" t="inlineStr">
        <is>
          <t>Níquel</t>
        </is>
      </c>
      <c r="Z113" t="inlineStr">
        <is>
          <t>Dólar</t>
        </is>
      </c>
      <c r="AA113" s="0" t="inlineStr">
        <is>
          <t>Dólar</t>
        </is>
      </c>
      <c r="AB1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3" s="53">
        <f>IF(OR(TRIM(INDIRECT("B"&amp;ROW())) &lt;&gt; "",TRIM(INDIRECT("A"&amp;ROW())) &lt;&gt; ""),AND(TRIM(INDIRECT("A"&amp;ROW())) &lt;&gt; "",TRIM(INDIRECT("D"&amp;ROW())) = "nuevo"),"")</f>
        <v/>
      </c>
    </row>
    <row r="114" ht="27.5" customHeight="1" s="62">
      <c r="B114" t="inlineStr">
        <is>
          <t>Moneda Países Bajos Cent 1878</t>
        </is>
      </c>
      <c r="C114" s="0">
        <f>LEN(INDIRECT(ADDRESS(ROW() + (0),COLUMN() + (-1))))</f>
        <v/>
      </c>
      <c r="D114" s="0" t="inlineStr">
        <is>
          <t>Usado</t>
        </is>
      </c>
      <c r="E114" s="38" t="inlineStr">
        <is>
          <t>https://numismaticapopper.com/images/325A.jpeg,https://numismaticapopper.com/images/325B.jpeg</t>
        </is>
      </c>
      <c r="F114" t="inlineStr">
        <is>
          <t>325</t>
        </is>
      </c>
      <c r="G114" s="40" t="n">
        <v>1</v>
      </c>
      <c r="H114" t="n">
        <v>12000</v>
      </c>
      <c r="I114" t="inlineStr">
        <is>
          <t>Estado de conservacion: Buena +
Referencia de catalogo: KM# 107.1
Material: Bronce
Peso: 2.5 g
Diametro: 19.0 mm</t>
        </is>
      </c>
      <c r="J114" s="31">
        <f>IF(INDIRECT(ADDRESS(ROW() + (0),COLUMN() + (1)))="Agregar cuotas", IF(("16%")="", "-", "16%"), IF(INDIRECT(ADDRESS(ROW() + (0),COLUMN() + (1)))="No agregar cuotas", IF(("16%")="", "-", "16%"), "-"))</f>
        <v/>
      </c>
      <c r="K114" s="0" t="inlineStr">
        <is>
          <t>No agregar cuotas</t>
        </is>
      </c>
      <c r="L114" s="31">
        <f>IF(INDIRECT(ADDRESS(ROW() + (0),COLUMN() + (-1)))="Agregar cuotas", IF(("13.4%")="", "Sin costo", "13.4%"), IF(INDIRECT(ADDRESS(ROW() + (0),COLUMN() + (-1)))="No agregar cuotas", IF(("")="", "Sin costo", ""), "-"))</f>
        <v/>
      </c>
      <c r="M114" s="0" t="inlineStr">
        <is>
          <t>Mercado Envíos</t>
        </is>
      </c>
      <c r="N114" s="0" t="inlineStr">
        <is>
          <t>A cargo del comprador</t>
        </is>
      </c>
      <c r="O114" s="0" t="inlineStr">
        <is>
          <t>Acepto</t>
        </is>
      </c>
      <c r="P114" s="47" t="inlineStr">
        <is>
          <t>Sin garantía</t>
        </is>
      </c>
      <c r="R114" s="0" t="inlineStr">
        <is>
          <t>Seleccionar</t>
        </is>
      </c>
      <c r="S114" s="0" t="inlineStr">
        <is>
          <t>No ofrezco</t>
        </is>
      </c>
      <c r="T114" t="n">
        <v>1878</v>
      </c>
      <c r="U114" s="0" t="inlineStr">
        <is>
          <t>Holanda</t>
        </is>
      </c>
      <c r="X114" s="0" t="inlineStr">
        <is>
          <t>Bronce</t>
        </is>
      </c>
      <c r="Z114" t="inlineStr">
        <is>
          <t>Cent</t>
        </is>
      </c>
      <c r="AA114" s="0" t="inlineStr">
        <is>
          <t>Dólar</t>
        </is>
      </c>
      <c r="AB1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4" s="53">
        <f>IF(OR(TRIM(INDIRECT("B"&amp;ROW())) &lt;&gt; "",TRIM(INDIRECT("A"&amp;ROW())) &lt;&gt; ""),AND(TRIM(INDIRECT("A"&amp;ROW())) &lt;&gt; "",TRIM(INDIRECT("D"&amp;ROW())) = "nuevo"),"")</f>
        <v/>
      </c>
    </row>
    <row r="115" ht="27.5" customHeight="1" s="62">
      <c r="B115" t="inlineStr">
        <is>
          <t>Moneda Portugal 50 Centavos 1929</t>
        </is>
      </c>
      <c r="C115" s="0">
        <f>LEN(INDIRECT(ADDRESS(ROW() + (0),COLUMN() + (-1))))</f>
        <v/>
      </c>
      <c r="D115" s="0" t="inlineStr">
        <is>
          <t>Usado</t>
        </is>
      </c>
      <c r="E115" s="38" t="inlineStr">
        <is>
          <t>https://numismaticapopper.com/images/329A.jpeg,https://numismaticapopper.com/images/329B.jpeg</t>
        </is>
      </c>
      <c r="F115" t="inlineStr">
        <is>
          <t>329</t>
        </is>
      </c>
      <c r="G115" s="40" t="n">
        <v>1</v>
      </c>
      <c r="H115" t="n">
        <v>15000</v>
      </c>
      <c r="I115" t="inlineStr">
        <is>
          <t>Estado de conservacion: Sin Circular
Referencia de catalogo: KM# 577
Material: Cuproníquel
Peso: 4.5 g
Diametro: 23.0 mm
Pátina exclusiva</t>
        </is>
      </c>
      <c r="J115" s="31">
        <f>IF(INDIRECT(ADDRESS(ROW() + (0),COLUMN() + (1)))="Agregar cuotas", IF(("16%")="", "-", "16%"), IF(INDIRECT(ADDRESS(ROW() + (0),COLUMN() + (1)))="No agregar cuotas", IF(("16%")="", "-", "16%"), "-"))</f>
        <v/>
      </c>
      <c r="K115" s="0" t="inlineStr">
        <is>
          <t>No agregar cuotas</t>
        </is>
      </c>
      <c r="L115" s="31">
        <f>IF(INDIRECT(ADDRESS(ROW() + (0),COLUMN() + (-1)))="Agregar cuotas", IF(("13.4%")="", "Sin costo", "13.4%"), IF(INDIRECT(ADDRESS(ROW() + (0),COLUMN() + (-1)))="No agregar cuotas", IF(("")="", "Sin costo", ""), "-"))</f>
        <v/>
      </c>
      <c r="M115" s="0" t="inlineStr">
        <is>
          <t>Mercado Envíos</t>
        </is>
      </c>
      <c r="N115" s="0" t="inlineStr">
        <is>
          <t>A cargo del comprador</t>
        </is>
      </c>
      <c r="O115" s="0" t="inlineStr">
        <is>
          <t>Acepto</t>
        </is>
      </c>
      <c r="P115" s="47" t="inlineStr">
        <is>
          <t>Sin garantía</t>
        </is>
      </c>
      <c r="R115" s="0" t="inlineStr">
        <is>
          <t>Seleccionar</t>
        </is>
      </c>
      <c r="S115" s="0" t="inlineStr">
        <is>
          <t>No ofrezco</t>
        </is>
      </c>
      <c r="T115" t="n">
        <v>1929</v>
      </c>
      <c r="U115" s="0" t="inlineStr">
        <is>
          <t>Portugal</t>
        </is>
      </c>
      <c r="X115" s="0" t="inlineStr">
        <is>
          <t>Níquel</t>
        </is>
      </c>
      <c r="Z115" t="inlineStr">
        <is>
          <t>50 Centavos</t>
        </is>
      </c>
      <c r="AA115" s="0" t="inlineStr">
        <is>
          <t>Peso</t>
        </is>
      </c>
      <c r="AB1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5" s="53">
        <f>IF(OR(TRIM(INDIRECT("B"&amp;ROW())) &lt;&gt; "",TRIM(INDIRECT("A"&amp;ROW())) &lt;&gt; ""),AND(TRIM(INDIRECT("A"&amp;ROW())) &lt;&gt; "",TRIM(INDIRECT("D"&amp;ROW())) = "nuevo"),"")</f>
        <v/>
      </c>
    </row>
    <row r="116" ht="27.5" customHeight="1" s="62">
      <c r="B116" t="inlineStr">
        <is>
          <t>Moneda Portugal 50 Centavos 1929</t>
        </is>
      </c>
      <c r="C116" s="0">
        <f>LEN(INDIRECT(ADDRESS(ROW() + (0),COLUMN() + (-1))))</f>
        <v/>
      </c>
      <c r="D116" s="0" t="inlineStr">
        <is>
          <t>Usado</t>
        </is>
      </c>
      <c r="E116" s="38" t="inlineStr">
        <is>
          <t>https://numismaticapopper.com/images/330A.jpeg,https://numismaticapopper.com/images/330B.jpeg</t>
        </is>
      </c>
      <c r="F116" t="inlineStr">
        <is>
          <t>330</t>
        </is>
      </c>
      <c r="G116" s="40" t="n">
        <v>1</v>
      </c>
      <c r="H116" t="n">
        <v>8000</v>
      </c>
      <c r="I116" t="inlineStr">
        <is>
          <t>Estado de conservacion: Buena
Referencia de catalogo: KM# 576
Material: Cuproníquel
Peso: 8.0 g
Diametro: 26.8 mm</t>
        </is>
      </c>
      <c r="J116" s="31">
        <f>IF(INDIRECT(ADDRESS(ROW() + (0),COLUMN() + (1)))="Agregar cuotas", IF(("16%")="", "-", "16%"), IF(INDIRECT(ADDRESS(ROW() + (0),COLUMN() + (1)))="No agregar cuotas", IF(("16%")="", "-", "16%"), "-"))</f>
        <v/>
      </c>
      <c r="K116" s="0" t="inlineStr">
        <is>
          <t>No agregar cuotas</t>
        </is>
      </c>
      <c r="L116" s="31">
        <f>IF(INDIRECT(ADDRESS(ROW() + (0),COLUMN() + (-1)))="Agregar cuotas", IF(("13.4%")="", "Sin costo", "13.4%"), IF(INDIRECT(ADDRESS(ROW() + (0),COLUMN() + (-1)))="No agregar cuotas", IF(("")="", "Sin costo", ""), "-"))</f>
        <v/>
      </c>
      <c r="M116" s="0" t="inlineStr">
        <is>
          <t>Mercado Envíos</t>
        </is>
      </c>
      <c r="N116" s="0" t="inlineStr">
        <is>
          <t>A cargo del comprador</t>
        </is>
      </c>
      <c r="O116" s="0" t="inlineStr">
        <is>
          <t>Acepto</t>
        </is>
      </c>
      <c r="P116" s="47" t="inlineStr">
        <is>
          <t>Sin garantía</t>
        </is>
      </c>
      <c r="R116" s="0" t="inlineStr">
        <is>
          <t>Seleccionar</t>
        </is>
      </c>
      <c r="S116" s="0" t="inlineStr">
        <is>
          <t>No ofrezco</t>
        </is>
      </c>
      <c r="T116" t="n">
        <v>1929</v>
      </c>
      <c r="U116" s="0" t="inlineStr">
        <is>
          <t>Portugal</t>
        </is>
      </c>
      <c r="X116" s="0" t="inlineStr">
        <is>
          <t>Níquel</t>
        </is>
      </c>
      <c r="Z116" t="inlineStr">
        <is>
          <t>50 Centavos</t>
        </is>
      </c>
      <c r="AA116" s="0" t="inlineStr">
        <is>
          <t>Peso</t>
        </is>
      </c>
      <c r="AB1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6" s="53">
        <f>IF(OR(TRIM(INDIRECT("B"&amp;ROW())) &lt;&gt; "",TRIM(INDIRECT("A"&amp;ROW())) &lt;&gt; ""),AND(TRIM(INDIRECT("A"&amp;ROW())) &lt;&gt; "",TRIM(INDIRECT("D"&amp;ROW())) = "nuevo"),"")</f>
        <v/>
      </c>
    </row>
    <row r="117" ht="27.5" customHeight="1" s="62">
      <c r="B117" t="inlineStr">
        <is>
          <t>Moneda Estados Unidos Cent 2009</t>
        </is>
      </c>
      <c r="C117" s="0">
        <f>LEN(INDIRECT(ADDRESS(ROW() + (0),COLUMN() + (-1))))</f>
        <v/>
      </c>
      <c r="D117" s="0" t="inlineStr">
        <is>
          <t>Usado</t>
        </is>
      </c>
      <c r="E117" s="38" t="inlineStr">
        <is>
          <t>https://numismaticapopper.com/images/332A.jpeg,https://numismaticapopper.com/images/332B.jpeg</t>
        </is>
      </c>
      <c r="F117" t="inlineStr">
        <is>
          <t>332</t>
        </is>
      </c>
      <c r="G117" s="40" t="n">
        <v>1</v>
      </c>
      <c r="H117" t="n">
        <v>7000</v>
      </c>
      <c r="I117" t="inlineStr">
        <is>
          <t>Estado de conservacion: Excelente
Referencia de catalogo: KM# 441
Material: Zinc chapado en cobre
Peso: 2.5 g
Diametro: 19.05 mm
Nacimiento e infancia de Lincoln</t>
        </is>
      </c>
      <c r="J117" s="31">
        <f>IF(INDIRECT(ADDRESS(ROW() + (0),COLUMN() + (1)))="Agregar cuotas", IF(("16%")="", "-", "16%"), IF(INDIRECT(ADDRESS(ROW() + (0),COLUMN() + (1)))="No agregar cuotas", IF(("16%")="", "-", "16%"), "-"))</f>
        <v/>
      </c>
      <c r="K117" s="0" t="inlineStr">
        <is>
          <t>No agregar cuotas</t>
        </is>
      </c>
      <c r="L117" s="31">
        <f>IF(INDIRECT(ADDRESS(ROW() + (0),COLUMN() + (-1)))="Agregar cuotas", IF(("13.4%")="", "Sin costo", "13.4%"), IF(INDIRECT(ADDRESS(ROW() + (0),COLUMN() + (-1)))="No agregar cuotas", IF(("")="", "Sin costo", ""), "-"))</f>
        <v/>
      </c>
      <c r="M117" s="0" t="inlineStr">
        <is>
          <t>Mercado Envíos</t>
        </is>
      </c>
      <c r="N117" s="0" t="inlineStr">
        <is>
          <t>A cargo del comprador</t>
        </is>
      </c>
      <c r="O117" s="0" t="inlineStr">
        <is>
          <t>Acepto</t>
        </is>
      </c>
      <c r="P117" s="47" t="inlineStr">
        <is>
          <t>Sin garantía</t>
        </is>
      </c>
      <c r="R117" s="0" t="inlineStr">
        <is>
          <t>Seleccionar</t>
        </is>
      </c>
      <c r="S117" s="0" t="inlineStr">
        <is>
          <t>No ofrezco</t>
        </is>
      </c>
      <c r="T117" t="n">
        <v>2009</v>
      </c>
      <c r="U117" s="0" t="inlineStr">
        <is>
          <t>Estados Unidos</t>
        </is>
      </c>
      <c r="X117" s="0" t="inlineStr">
        <is>
          <t>Cobre</t>
        </is>
      </c>
      <c r="Z117" t="inlineStr">
        <is>
          <t>Cent</t>
        </is>
      </c>
      <c r="AA117" s="0" t="inlineStr">
        <is>
          <t>Dólar</t>
        </is>
      </c>
      <c r="AB1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7" s="53">
        <f>IF(OR(TRIM(INDIRECT("B"&amp;ROW())) &lt;&gt; "",TRIM(INDIRECT("A"&amp;ROW())) &lt;&gt; ""),AND(TRIM(INDIRECT("A"&amp;ROW())) &lt;&gt; "",TRIM(INDIRECT("D"&amp;ROW())) = "nuevo"),"")</f>
        <v/>
      </c>
    </row>
    <row r="118" ht="27.5" customHeight="1" s="62">
      <c r="B118" t="inlineStr">
        <is>
          <t>Moneda Reino Unido 5 Pence 2016</t>
        </is>
      </c>
      <c r="C118" s="0">
        <f>LEN(INDIRECT(ADDRESS(ROW() + (0),COLUMN() + (-1))))</f>
        <v/>
      </c>
      <c r="D118" s="0" t="inlineStr">
        <is>
          <t>Usado</t>
        </is>
      </c>
      <c r="E118" s="38" t="inlineStr">
        <is>
          <t>https://numismaticapopper.com/images/339A.jpeg,https://numismaticapopper.com/images/339B.jpeg</t>
        </is>
      </c>
      <c r="F118" t="inlineStr">
        <is>
          <t>339</t>
        </is>
      </c>
      <c r="G118" s="40" t="n">
        <v>1</v>
      </c>
      <c r="H118" t="n">
        <v>7000</v>
      </c>
      <c r="I118" t="inlineStr">
        <is>
          <t>Estado de conservacion: Excelente
Referencia de catalogo: KM# 1334
Material: Acero niquelado</t>
        </is>
      </c>
      <c r="J118" s="31">
        <f>IF(INDIRECT(ADDRESS(ROW() + (0),COLUMN() + (1)))="Agregar cuotas", IF(("16%")="", "-", "16%"), IF(INDIRECT(ADDRESS(ROW() + (0),COLUMN() + (1)))="No agregar cuotas", IF(("16%")="", "-", "16%"), "-"))</f>
        <v/>
      </c>
      <c r="K118" s="0" t="inlineStr">
        <is>
          <t>No agregar cuotas</t>
        </is>
      </c>
      <c r="L118" s="31">
        <f>IF(INDIRECT(ADDRESS(ROW() + (0),COLUMN() + (-1)))="Agregar cuotas", IF(("13.4%")="", "Sin costo", "13.4%"), IF(INDIRECT(ADDRESS(ROW() + (0),COLUMN() + (-1)))="No agregar cuotas", IF(("")="", "Sin costo", ""), "-"))</f>
        <v/>
      </c>
      <c r="M118" s="0" t="inlineStr">
        <is>
          <t>Mercado Envíos</t>
        </is>
      </c>
      <c r="N118" s="0" t="inlineStr">
        <is>
          <t>A cargo del comprador</t>
        </is>
      </c>
      <c r="O118" s="0" t="inlineStr">
        <is>
          <t>Acepto</t>
        </is>
      </c>
      <c r="P118" s="47" t="inlineStr">
        <is>
          <t>Sin garantía</t>
        </is>
      </c>
      <c r="R118" s="0" t="inlineStr">
        <is>
          <t>Seleccionar</t>
        </is>
      </c>
      <c r="S118" s="0" t="inlineStr">
        <is>
          <t>No ofrezco</t>
        </is>
      </c>
      <c r="T118" t="n">
        <v>2016</v>
      </c>
      <c r="U118" s="0" t="inlineStr">
        <is>
          <t>Inglaterra</t>
        </is>
      </c>
      <c r="X118" s="0" t="inlineStr">
        <is>
          <t>Níquel</t>
        </is>
      </c>
      <c r="Z118" t="inlineStr">
        <is>
          <t>5 Pence</t>
        </is>
      </c>
      <c r="AA118" s="0" t="inlineStr">
        <is>
          <t>Dólar</t>
        </is>
      </c>
      <c r="AB1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8" s="53">
        <f>IF(OR(TRIM(INDIRECT("B"&amp;ROW())) &lt;&gt; "",TRIM(INDIRECT("A"&amp;ROW())) &lt;&gt; ""),AND(TRIM(INDIRECT("A"&amp;ROW())) &lt;&gt; "",TRIM(INDIRECT("D"&amp;ROW())) = "nuevo"),"")</f>
        <v/>
      </c>
    </row>
    <row r="119" ht="27.5" customHeight="1" s="62">
      <c r="B119" t="inlineStr">
        <is>
          <t>Moneda República Dominicana Centavos 1986</t>
        </is>
      </c>
      <c r="C119" s="0">
        <f>LEN(INDIRECT(ADDRESS(ROW() + (0),COLUMN() + (-1))))</f>
        <v/>
      </c>
      <c r="D119" s="0" t="inlineStr">
        <is>
          <t>Usado</t>
        </is>
      </c>
      <c r="E119" s="38" t="inlineStr">
        <is>
          <t>https://numismaticapopper.com/images/342A.jpeg,https://numismaticapopper.com/images/342B.jpeg</t>
        </is>
      </c>
      <c r="F119" t="inlineStr">
        <is>
          <t>342</t>
        </is>
      </c>
      <c r="G119" s="40" t="n">
        <v>1</v>
      </c>
      <c r="H119" t="n">
        <v>8000</v>
      </c>
      <c r="I119" t="inlineStr">
        <is>
          <t>Estado de conservacion: Excelente
Referencia de catalogo: KM# 64
Material: Bronce</t>
        </is>
      </c>
      <c r="J119" s="31">
        <f>IF(INDIRECT(ADDRESS(ROW() + (0),COLUMN() + (1)))="Agregar cuotas", IF(("16%")="", "-", "16%"), IF(INDIRECT(ADDRESS(ROW() + (0),COLUMN() + (1)))="No agregar cuotas", IF(("16%")="", "-", "16%"), "-"))</f>
        <v/>
      </c>
      <c r="K119" s="0" t="inlineStr">
        <is>
          <t>No agregar cuotas</t>
        </is>
      </c>
      <c r="L119" s="31">
        <f>IF(INDIRECT(ADDRESS(ROW() + (0),COLUMN() + (-1)))="Agregar cuotas", IF(("13.4%")="", "Sin costo", "13.4%"), IF(INDIRECT(ADDRESS(ROW() + (0),COLUMN() + (-1)))="No agregar cuotas", IF(("")="", "Sin costo", ""), "-"))</f>
        <v/>
      </c>
      <c r="M119" s="0" t="inlineStr">
        <is>
          <t>Mercado Envíos</t>
        </is>
      </c>
      <c r="N119" s="0" t="inlineStr">
        <is>
          <t>A cargo del comprador</t>
        </is>
      </c>
      <c r="O119" s="0" t="inlineStr">
        <is>
          <t>Acepto</t>
        </is>
      </c>
      <c r="P119" s="47" t="inlineStr">
        <is>
          <t>Sin garantía</t>
        </is>
      </c>
      <c r="R119" s="0" t="inlineStr">
        <is>
          <t>Seleccionar</t>
        </is>
      </c>
      <c r="S119" s="0" t="inlineStr">
        <is>
          <t>No ofrezco</t>
        </is>
      </c>
      <c r="T119" t="n">
        <v>1986</v>
      </c>
      <c r="U119" s="0" t="inlineStr">
        <is>
          <t>México</t>
        </is>
      </c>
      <c r="X119" s="0" t="inlineStr">
        <is>
          <t>Bronce</t>
        </is>
      </c>
      <c r="Z119" t="inlineStr">
        <is>
          <t>Centavos</t>
        </is>
      </c>
      <c r="AA119" s="0" t="inlineStr">
        <is>
          <t>Peso</t>
        </is>
      </c>
      <c r="AB1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19" s="53">
        <f>IF(OR(TRIM(INDIRECT("B"&amp;ROW())) &lt;&gt; "",TRIM(INDIRECT("A"&amp;ROW())) &lt;&gt; ""),AND(TRIM(INDIRECT("A"&amp;ROW())) &lt;&gt; "",TRIM(INDIRECT("D"&amp;ROW())) = "nuevo"),"")</f>
        <v/>
      </c>
    </row>
    <row r="120" ht="27.5" customHeight="1" s="62">
      <c r="B120" t="inlineStr">
        <is>
          <t>Moneda Tailandia 50 Satang 2018</t>
        </is>
      </c>
      <c r="C120" s="0">
        <f>LEN(INDIRECT(ADDRESS(ROW() + (0),COLUMN() + (-1))))</f>
        <v/>
      </c>
      <c r="D120" s="0" t="inlineStr">
        <is>
          <t>Usado</t>
        </is>
      </c>
      <c r="E120" s="38" t="inlineStr">
        <is>
          <t>https://numismaticapopper.com/images/344A.jpeg,https://numismaticapopper.com/images/344B.jpeg</t>
        </is>
      </c>
      <c r="F120" t="inlineStr">
        <is>
          <t>344</t>
        </is>
      </c>
      <c r="G120" s="40" t="n">
        <v>1</v>
      </c>
      <c r="H120" t="n">
        <v>9000</v>
      </c>
      <c r="I120" t="inlineStr">
        <is>
          <t>Estado de conservacion: Sin Circular
Referencia de catalogo: Y# 573
Material: Acero chapado en cobre</t>
        </is>
      </c>
      <c r="J120" s="31">
        <f>IF(INDIRECT(ADDRESS(ROW() + (0),COLUMN() + (1)))="Agregar cuotas", IF(("16%")="", "-", "16%"), IF(INDIRECT(ADDRESS(ROW() + (0),COLUMN() + (1)))="No agregar cuotas", IF(("16%")="", "-", "16%"), "-"))</f>
        <v/>
      </c>
      <c r="K120" s="0" t="inlineStr">
        <is>
          <t>No agregar cuotas</t>
        </is>
      </c>
      <c r="L120" s="31">
        <f>IF(INDIRECT(ADDRESS(ROW() + (0),COLUMN() + (-1)))="Agregar cuotas", IF(("13.4%")="", "Sin costo", "13.4%"), IF(INDIRECT(ADDRESS(ROW() + (0),COLUMN() + (-1)))="No agregar cuotas", IF(("")="", "Sin costo", ""), "-"))</f>
        <v/>
      </c>
      <c r="M120" s="0" t="inlineStr">
        <is>
          <t>Mercado Envíos</t>
        </is>
      </c>
      <c r="N120" s="0" t="inlineStr">
        <is>
          <t>A cargo del comprador</t>
        </is>
      </c>
      <c r="O120" s="0" t="inlineStr">
        <is>
          <t>Acepto</t>
        </is>
      </c>
      <c r="P120" s="47" t="inlineStr">
        <is>
          <t>Sin garantía</t>
        </is>
      </c>
      <c r="R120" s="0" t="inlineStr">
        <is>
          <t>Seleccionar</t>
        </is>
      </c>
      <c r="S120" s="0" t="inlineStr">
        <is>
          <t>No ofrezco</t>
        </is>
      </c>
      <c r="T120" t="n">
        <v>2018</v>
      </c>
      <c r="U120" s="0" t="inlineStr">
        <is>
          <t>China</t>
        </is>
      </c>
      <c r="X120" s="0" t="inlineStr">
        <is>
          <t>Cobre</t>
        </is>
      </c>
      <c r="Z120" t="inlineStr">
        <is>
          <t>50 Satang</t>
        </is>
      </c>
      <c r="AA120" s="0" t="inlineStr">
        <is>
          <t>Yuan</t>
        </is>
      </c>
      <c r="AB1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0" s="53">
        <f>IF(OR(TRIM(INDIRECT("B"&amp;ROW())) &lt;&gt; "",TRIM(INDIRECT("A"&amp;ROW())) &lt;&gt; ""),AND(TRIM(INDIRECT("A"&amp;ROW())) &lt;&gt; "",TRIM(INDIRECT("D"&amp;ROW())) = "nuevo"),"")</f>
        <v/>
      </c>
    </row>
    <row r="121" ht="27.5" customHeight="1" s="62">
      <c r="B121" t="inlineStr">
        <is>
          <t>Moneda Francia 5 Centimes 1916</t>
        </is>
      </c>
      <c r="C121" s="0">
        <f>LEN(INDIRECT(ADDRESS(ROW() + (0),COLUMN() + (-1))))</f>
        <v/>
      </c>
      <c r="D121" s="0" t="inlineStr">
        <is>
          <t>Usado</t>
        </is>
      </c>
      <c r="E121" s="38" t="inlineStr">
        <is>
          <t>https://numismaticapopper.com/images/346A.jpeg,https://numismaticapopper.com/images/346B.jpeg</t>
        </is>
      </c>
      <c r="F121" t="inlineStr">
        <is>
          <t>346</t>
        </is>
      </c>
      <c r="G121" s="40" t="n">
        <v>1</v>
      </c>
      <c r="H121" t="n">
        <v>10000</v>
      </c>
      <c r="I121" t="inlineStr">
        <is>
          <t>Estado de conservacion: Buena -
Referencia de catalogo: KM# 842
Material: Bronce</t>
        </is>
      </c>
      <c r="J121" s="31">
        <f>IF(INDIRECT(ADDRESS(ROW() + (0),COLUMN() + (1)))="Agregar cuotas", IF(("16%")="", "-", "16%"), IF(INDIRECT(ADDRESS(ROW() + (0),COLUMN() + (1)))="No agregar cuotas", IF(("16%")="", "-", "16%"), "-"))</f>
        <v/>
      </c>
      <c r="K121" s="0" t="inlineStr">
        <is>
          <t>No agregar cuotas</t>
        </is>
      </c>
      <c r="L121" s="31">
        <f>IF(INDIRECT(ADDRESS(ROW() + (0),COLUMN() + (-1)))="Agregar cuotas", IF(("13.4%")="", "Sin costo", "13.4%"), IF(INDIRECT(ADDRESS(ROW() + (0),COLUMN() + (-1)))="No agregar cuotas", IF(("")="", "Sin costo", ""), "-"))</f>
        <v/>
      </c>
      <c r="M121" s="0" t="inlineStr">
        <is>
          <t>Mercado Envíos</t>
        </is>
      </c>
      <c r="N121" s="0" t="inlineStr">
        <is>
          <t>A cargo del comprador</t>
        </is>
      </c>
      <c r="O121" s="0" t="inlineStr">
        <is>
          <t>Acepto</t>
        </is>
      </c>
      <c r="P121" s="47" t="inlineStr">
        <is>
          <t>Sin garantía</t>
        </is>
      </c>
      <c r="R121" s="0" t="inlineStr">
        <is>
          <t>Seleccionar</t>
        </is>
      </c>
      <c r="S121" s="0" t="inlineStr">
        <is>
          <t>No ofrezco</t>
        </is>
      </c>
      <c r="T121" t="n">
        <v>1916</v>
      </c>
      <c r="U121" s="0" t="inlineStr">
        <is>
          <t>Francia</t>
        </is>
      </c>
      <c r="X121" s="0" t="inlineStr">
        <is>
          <t>Bronce</t>
        </is>
      </c>
      <c r="Z121" t="inlineStr">
        <is>
          <t>5 Centimes</t>
        </is>
      </c>
      <c r="AA121" s="0" t="inlineStr">
        <is>
          <t>Euro</t>
        </is>
      </c>
      <c r="AB1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1" s="53">
        <f>IF(OR(TRIM(INDIRECT("B"&amp;ROW())) &lt;&gt; "",TRIM(INDIRECT("A"&amp;ROW())) &lt;&gt; ""),AND(TRIM(INDIRECT("A"&amp;ROW())) &lt;&gt; "",TRIM(INDIRECT("D"&amp;ROW())) = "nuevo"),"")</f>
        <v/>
      </c>
    </row>
    <row r="122" ht="27.5" customHeight="1" s="62">
      <c r="B122" t="inlineStr">
        <is>
          <t>Moneda Francia 10 Francos 1949</t>
        </is>
      </c>
      <c r="C122" s="0">
        <f>LEN(INDIRECT(ADDRESS(ROW() + (0),COLUMN() + (-1))))</f>
        <v/>
      </c>
      <c r="D122" s="0" t="inlineStr">
        <is>
          <t>Usado</t>
        </is>
      </c>
      <c r="E122" s="38" t="inlineStr">
        <is>
          <t>https://numismaticapopper.com/images/347A.jpeg,https://numismaticapopper.com/images/347B.jpeg</t>
        </is>
      </c>
      <c r="F122" t="inlineStr">
        <is>
          <t>347</t>
        </is>
      </c>
      <c r="G122" s="40" t="n">
        <v>1</v>
      </c>
      <c r="H122" t="n">
        <v>10000</v>
      </c>
      <c r="I122" t="inlineStr">
        <is>
          <t>Estado de conservacion: Excelente +
Referencia de catalogo: K. 1909
Material: Cuproníquel
cabeza chica</t>
        </is>
      </c>
      <c r="J122" s="31">
        <f>IF(INDIRECT(ADDRESS(ROW() + (0),COLUMN() + (1)))="Agregar cuotas", IF(("16%")="", "-", "16%"), IF(INDIRECT(ADDRESS(ROW() + (0),COLUMN() + (1)))="No agregar cuotas", IF(("16%")="", "-", "16%"), "-"))</f>
        <v/>
      </c>
      <c r="K122" s="0" t="inlineStr">
        <is>
          <t>No agregar cuotas</t>
        </is>
      </c>
      <c r="L122" s="31">
        <f>IF(INDIRECT(ADDRESS(ROW() + (0),COLUMN() + (-1)))="Agregar cuotas", IF(("13.4%")="", "Sin costo", "13.4%"), IF(INDIRECT(ADDRESS(ROW() + (0),COLUMN() + (-1)))="No agregar cuotas", IF(("")="", "Sin costo", ""), "-"))</f>
        <v/>
      </c>
      <c r="M122" s="0" t="inlineStr">
        <is>
          <t>Mercado Envíos</t>
        </is>
      </c>
      <c r="N122" s="0" t="inlineStr">
        <is>
          <t>A cargo del comprador</t>
        </is>
      </c>
      <c r="O122" s="0" t="inlineStr">
        <is>
          <t>Acepto</t>
        </is>
      </c>
      <c r="P122" s="47" t="inlineStr">
        <is>
          <t>Sin garantía</t>
        </is>
      </c>
      <c r="R122" s="0" t="inlineStr">
        <is>
          <t>Seleccionar</t>
        </is>
      </c>
      <c r="S122" s="0" t="inlineStr">
        <is>
          <t>No ofrezco</t>
        </is>
      </c>
      <c r="T122" t="n">
        <v>1949</v>
      </c>
      <c r="U122" s="0" t="inlineStr">
        <is>
          <t>Francia</t>
        </is>
      </c>
      <c r="X122" s="0" t="inlineStr">
        <is>
          <t>Níquel</t>
        </is>
      </c>
      <c r="Z122" t="inlineStr">
        <is>
          <t>10 Francos</t>
        </is>
      </c>
      <c r="AA122" s="0" t="inlineStr">
        <is>
          <t>Euro</t>
        </is>
      </c>
      <c r="AB1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2" s="53">
        <f>IF(OR(TRIM(INDIRECT("B"&amp;ROW())) &lt;&gt; "",TRIM(INDIRECT("A"&amp;ROW())) &lt;&gt; ""),AND(TRIM(INDIRECT("A"&amp;ROW())) &lt;&gt; "",TRIM(INDIRECT("D"&amp;ROW())) = "nuevo"),"")</f>
        <v/>
      </c>
    </row>
    <row r="123" ht="27.5" customHeight="1" s="62">
      <c r="B123" t="inlineStr">
        <is>
          <t>Moneda Países Bajos Cent 1928</t>
        </is>
      </c>
      <c r="C123" s="0">
        <f>LEN(INDIRECT(ADDRESS(ROW() + (0),COLUMN() + (-1))))</f>
        <v/>
      </c>
      <c r="D123" s="0" t="inlineStr">
        <is>
          <t>Usado</t>
        </is>
      </c>
      <c r="E123" s="38" t="inlineStr">
        <is>
          <t>https://numismaticapopper.com/images/350A.jpeg,https://numismaticapopper.com/images/350B.jpeg</t>
        </is>
      </c>
      <c r="F123" t="inlineStr">
        <is>
          <t>350</t>
        </is>
      </c>
      <c r="G123" s="40" t="n">
        <v>1</v>
      </c>
      <c r="H123" t="n">
        <v>12000</v>
      </c>
      <c r="I123" t="inlineStr">
        <is>
          <t>Estado de conservacion: Excelente
Referencia de catalogo: KM# 152
Material: Bronce
Tirada: 10 millones</t>
        </is>
      </c>
      <c r="J123" s="31">
        <f>IF(INDIRECT(ADDRESS(ROW() + (0),COLUMN() + (1)))="Agregar cuotas", IF(("16%")="", "-", "16%"), IF(INDIRECT(ADDRESS(ROW() + (0),COLUMN() + (1)))="No agregar cuotas", IF(("16%")="", "-", "16%"), "-"))</f>
        <v/>
      </c>
      <c r="K123" s="0" t="inlineStr">
        <is>
          <t>No agregar cuotas</t>
        </is>
      </c>
      <c r="L123" s="31">
        <f>IF(INDIRECT(ADDRESS(ROW() + (0),COLUMN() + (-1)))="Agregar cuotas", IF(("13.4%")="", "Sin costo", "13.4%"), IF(INDIRECT(ADDRESS(ROW() + (0),COLUMN() + (-1)))="No agregar cuotas", IF(("")="", "Sin costo", ""), "-"))</f>
        <v/>
      </c>
      <c r="M123" s="0" t="inlineStr">
        <is>
          <t>Mercado Envíos</t>
        </is>
      </c>
      <c r="N123" s="0" t="inlineStr">
        <is>
          <t>A cargo del comprador</t>
        </is>
      </c>
      <c r="O123" s="0" t="inlineStr">
        <is>
          <t>Acepto</t>
        </is>
      </c>
      <c r="P123" s="47" t="inlineStr">
        <is>
          <t>Sin garantía</t>
        </is>
      </c>
      <c r="R123" s="0" t="inlineStr">
        <is>
          <t>Seleccionar</t>
        </is>
      </c>
      <c r="S123" s="0" t="inlineStr">
        <is>
          <t>No ofrezco</t>
        </is>
      </c>
      <c r="T123" t="n">
        <v>1928</v>
      </c>
      <c r="U123" s="0" t="inlineStr">
        <is>
          <t>Holanda</t>
        </is>
      </c>
      <c r="X123" s="0" t="inlineStr">
        <is>
          <t>Bronce</t>
        </is>
      </c>
      <c r="Z123" t="inlineStr">
        <is>
          <t>Cent</t>
        </is>
      </c>
      <c r="AA123" s="0" t="inlineStr">
        <is>
          <t>Dólar</t>
        </is>
      </c>
      <c r="AB1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3" s="53">
        <f>IF(OR(TRIM(INDIRECT("B"&amp;ROW())) &lt;&gt; "",TRIM(INDIRECT("A"&amp;ROW())) &lt;&gt; ""),AND(TRIM(INDIRECT("A"&amp;ROW())) &lt;&gt; "",TRIM(INDIRECT("D"&amp;ROW())) = "nuevo"),"")</f>
        <v/>
      </c>
    </row>
    <row r="124" ht="27.5" customHeight="1" s="62">
      <c r="B124" t="inlineStr">
        <is>
          <t>Moneda Egipto Qirsh 1984</t>
        </is>
      </c>
      <c r="C124" s="0">
        <f>LEN(INDIRECT(ADDRESS(ROW() + (0),COLUMN() + (-1))))</f>
        <v/>
      </c>
      <c r="D124" s="0" t="inlineStr">
        <is>
          <t>Usado</t>
        </is>
      </c>
      <c r="E124" s="38" t="inlineStr">
        <is>
          <t>https://numismaticapopper.com/images/351A.jpeg,https://numismaticapopper.com/images/351B.jpeg</t>
        </is>
      </c>
      <c r="F124" t="inlineStr">
        <is>
          <t>351</t>
        </is>
      </c>
      <c r="G124" s="40" t="n">
        <v>1</v>
      </c>
      <c r="H124" t="n">
        <v>11000</v>
      </c>
      <c r="I124" t="inlineStr">
        <is>
          <t>Estado de conservacion: Sin Circular
Referencia de catalogo: KM# 553
Material: Bronce-aluminio</t>
        </is>
      </c>
      <c r="J124" s="31">
        <f>IF(INDIRECT(ADDRESS(ROW() + (0),COLUMN() + (1)))="Agregar cuotas", IF(("16%")="", "-", "16%"), IF(INDIRECT(ADDRESS(ROW() + (0),COLUMN() + (1)))="No agregar cuotas", IF(("16%")="", "-", "16%"), "-"))</f>
        <v/>
      </c>
      <c r="K124" s="0" t="inlineStr">
        <is>
          <t>No agregar cuotas</t>
        </is>
      </c>
      <c r="L124" s="31">
        <f>IF(INDIRECT(ADDRESS(ROW() + (0),COLUMN() + (-1)))="Agregar cuotas", IF(("13.4%")="", "Sin costo", "13.4%"), IF(INDIRECT(ADDRESS(ROW() + (0),COLUMN() + (-1)))="No agregar cuotas", IF(("")="", "Sin costo", ""), "-"))</f>
        <v/>
      </c>
      <c r="M124" s="0" t="inlineStr">
        <is>
          <t>Mercado Envíos</t>
        </is>
      </c>
      <c r="N124" s="0" t="inlineStr">
        <is>
          <t>A cargo del comprador</t>
        </is>
      </c>
      <c r="O124" s="0" t="inlineStr">
        <is>
          <t>Acepto</t>
        </is>
      </c>
      <c r="P124" s="47" t="inlineStr">
        <is>
          <t>Sin garantía</t>
        </is>
      </c>
      <c r="R124" s="0" t="inlineStr">
        <is>
          <t>Seleccionar</t>
        </is>
      </c>
      <c r="S124" s="0" t="inlineStr">
        <is>
          <t>No ofrezco</t>
        </is>
      </c>
      <c r="T124" t="n">
        <v>1984</v>
      </c>
      <c r="U124" s="0" t="inlineStr">
        <is>
          <t>Israel</t>
        </is>
      </c>
      <c r="X124" s="0" t="inlineStr">
        <is>
          <t>Bronce</t>
        </is>
      </c>
      <c r="Z124" t="inlineStr">
        <is>
          <t>Qirsh</t>
        </is>
      </c>
      <c r="AA124" s="0" t="inlineStr">
        <is>
          <t>Sheqel</t>
        </is>
      </c>
      <c r="AB1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4" s="53">
        <f>IF(OR(TRIM(INDIRECT("B"&amp;ROW())) &lt;&gt; "",TRIM(INDIRECT("A"&amp;ROW())) &lt;&gt; ""),AND(TRIM(INDIRECT("A"&amp;ROW())) &lt;&gt; "",TRIM(INDIRECT("D"&amp;ROW())) = "nuevo"),"")</f>
        <v/>
      </c>
    </row>
    <row r="125" ht="27.5" customHeight="1" s="62">
      <c r="B125" t="inlineStr">
        <is>
          <t>Moneda México 20 Centavos 1946</t>
        </is>
      </c>
      <c r="C125" s="0">
        <f>LEN(INDIRECT(ADDRESS(ROW() + (0),COLUMN() + (-1))))</f>
        <v/>
      </c>
      <c r="D125" s="0" t="inlineStr">
        <is>
          <t>Usado</t>
        </is>
      </c>
      <c r="E125" s="38" t="inlineStr">
        <is>
          <t>https://numismaticapopper.com/images/361A.jpeg,https://numismaticapopper.com/images/361B.jpeg</t>
        </is>
      </c>
      <c r="F125" t="inlineStr">
        <is>
          <t>361</t>
        </is>
      </c>
      <c r="G125" s="40" t="n">
        <v>1</v>
      </c>
      <c r="H125" t="n">
        <v>8000</v>
      </c>
      <c r="I125" t="inlineStr">
        <is>
          <t>Estado de conservacion: Muy Buena -
Referencia de catalogo: KM# 439
Material: Bronce
patina hermosa</t>
        </is>
      </c>
      <c r="J125" s="31">
        <f>IF(INDIRECT(ADDRESS(ROW() + (0),COLUMN() + (1)))="Agregar cuotas", IF(("16%")="", "-", "16%"), IF(INDIRECT(ADDRESS(ROW() + (0),COLUMN() + (1)))="No agregar cuotas", IF(("16%")="", "-", "16%"), "-"))</f>
        <v/>
      </c>
      <c r="K125" s="0" t="inlineStr">
        <is>
          <t>No agregar cuotas</t>
        </is>
      </c>
      <c r="L125" s="31">
        <f>IF(INDIRECT(ADDRESS(ROW() + (0),COLUMN() + (-1)))="Agregar cuotas", IF(("13.4%")="", "Sin costo", "13.4%"), IF(INDIRECT(ADDRESS(ROW() + (0),COLUMN() + (-1)))="No agregar cuotas", IF(("")="", "Sin costo", ""), "-"))</f>
        <v/>
      </c>
      <c r="M125" s="0" t="inlineStr">
        <is>
          <t>Mercado Envíos</t>
        </is>
      </c>
      <c r="N125" s="0" t="inlineStr">
        <is>
          <t>A cargo del comprador</t>
        </is>
      </c>
      <c r="O125" s="0" t="inlineStr">
        <is>
          <t>Acepto</t>
        </is>
      </c>
      <c r="P125" s="47" t="inlineStr">
        <is>
          <t>Sin garantía</t>
        </is>
      </c>
      <c r="R125" s="0" t="inlineStr">
        <is>
          <t>Seleccionar</t>
        </is>
      </c>
      <c r="S125" s="0" t="inlineStr">
        <is>
          <t>No ofrezco</t>
        </is>
      </c>
      <c r="T125" t="n">
        <v>1946</v>
      </c>
      <c r="U125" s="0" t="inlineStr">
        <is>
          <t>México</t>
        </is>
      </c>
      <c r="X125" s="0" t="inlineStr">
        <is>
          <t>Bronce</t>
        </is>
      </c>
      <c r="Z125" t="inlineStr">
        <is>
          <t>20 Centavos</t>
        </is>
      </c>
      <c r="AA125" s="0" t="inlineStr">
        <is>
          <t>Peso</t>
        </is>
      </c>
      <c r="AB1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5" s="53">
        <f>IF(OR(TRIM(INDIRECT("B"&amp;ROW())) &lt;&gt; "",TRIM(INDIRECT("A"&amp;ROW())) &lt;&gt; ""),AND(TRIM(INDIRECT("A"&amp;ROW())) &lt;&gt; "",TRIM(INDIRECT("D"&amp;ROW())) = "nuevo"),"")</f>
        <v/>
      </c>
    </row>
    <row r="126" ht="27.5" customHeight="1" s="62">
      <c r="B126" t="inlineStr">
        <is>
          <t>Moneda España 5 Céntimos 1870</t>
        </is>
      </c>
      <c r="C126" s="0">
        <f>LEN(INDIRECT(ADDRESS(ROW() + (0),COLUMN() + (-1))))</f>
        <v/>
      </c>
      <c r="D126" s="0" t="inlineStr">
        <is>
          <t>Usado</t>
        </is>
      </c>
      <c r="E126" s="38" t="inlineStr">
        <is>
          <t>https://numismaticapopper.com/images/362A.jpeg,https://numismaticapopper.com/images/362B.jpeg</t>
        </is>
      </c>
      <c r="F126" t="inlineStr">
        <is>
          <t>362</t>
        </is>
      </c>
      <c r="G126" s="40" t="n">
        <v>1</v>
      </c>
      <c r="H126" t="n">
        <v>10000</v>
      </c>
      <c r="I126" t="inlineStr">
        <is>
          <t>Estado de conservacion: Buena +
Referencia de catalogo: KM# 662
Material: Bronce</t>
        </is>
      </c>
      <c r="J126" s="31">
        <f>IF(INDIRECT(ADDRESS(ROW() + (0),COLUMN() + (1)))="Agregar cuotas", IF(("16%")="", "-", "16%"), IF(INDIRECT(ADDRESS(ROW() + (0),COLUMN() + (1)))="No agregar cuotas", IF(("16%")="", "-", "16%"), "-"))</f>
        <v/>
      </c>
      <c r="K126" s="0" t="inlineStr">
        <is>
          <t>No agregar cuotas</t>
        </is>
      </c>
      <c r="L126" s="31">
        <f>IF(INDIRECT(ADDRESS(ROW() + (0),COLUMN() + (-1)))="Agregar cuotas", IF(("13.4%")="", "Sin costo", "13.4%"), IF(INDIRECT(ADDRESS(ROW() + (0),COLUMN() + (-1)))="No agregar cuotas", IF(("")="", "Sin costo", ""), "-"))</f>
        <v/>
      </c>
      <c r="M126" s="0" t="inlineStr">
        <is>
          <t>Mercado Envíos</t>
        </is>
      </c>
      <c r="N126" s="0" t="inlineStr">
        <is>
          <t>A cargo del comprador</t>
        </is>
      </c>
      <c r="O126" s="0" t="inlineStr">
        <is>
          <t>Acepto</t>
        </is>
      </c>
      <c r="P126" s="47" t="inlineStr">
        <is>
          <t>Sin garantía</t>
        </is>
      </c>
      <c r="R126" s="0" t="inlineStr">
        <is>
          <t>Seleccionar</t>
        </is>
      </c>
      <c r="S126" s="0" t="inlineStr">
        <is>
          <t>No ofrezco</t>
        </is>
      </c>
      <c r="T126" t="n">
        <v>1870</v>
      </c>
      <c r="U126" s="0" t="inlineStr">
        <is>
          <t>España</t>
        </is>
      </c>
      <c r="X126" s="0" t="inlineStr">
        <is>
          <t>Bronce</t>
        </is>
      </c>
      <c r="Z126" t="inlineStr">
        <is>
          <t>5 Céntimos</t>
        </is>
      </c>
      <c r="AA126" s="0" t="inlineStr">
        <is>
          <t>Euro</t>
        </is>
      </c>
      <c r="AB1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6" s="53">
        <f>IF(OR(TRIM(INDIRECT("B"&amp;ROW())) &lt;&gt; "",TRIM(INDIRECT("A"&amp;ROW())) &lt;&gt; ""),AND(TRIM(INDIRECT("A"&amp;ROW())) &lt;&gt; "",TRIM(INDIRECT("D"&amp;ROW())) = "nuevo"),"")</f>
        <v/>
      </c>
    </row>
    <row r="127" ht="27.5" customHeight="1" s="62">
      <c r="B127" t="inlineStr">
        <is>
          <t>Moneda Yugoslavia 20 Para 1976</t>
        </is>
      </c>
      <c r="C127" s="0">
        <f>LEN(INDIRECT(ADDRESS(ROW() + (0),COLUMN() + (-1))))</f>
        <v/>
      </c>
      <c r="D127" s="0" t="inlineStr">
        <is>
          <t>Usado</t>
        </is>
      </c>
      <c r="E127" s="38" t="inlineStr">
        <is>
          <t>https://numismaticapopper.com/images/363A.jpeg,https://numismaticapopper.com/images/363B.jpeg</t>
        </is>
      </c>
      <c r="F127" t="inlineStr">
        <is>
          <t>363</t>
        </is>
      </c>
      <c r="G127" s="40" t="n">
        <v>1</v>
      </c>
      <c r="H127" t="n">
        <v>9000</v>
      </c>
      <c r="I127" t="inlineStr">
        <is>
          <t>Estado de conservacion: Muy Buena
Referencia de catalogo: KM# 45
Material: Latón de aluminio</t>
        </is>
      </c>
      <c r="J127" s="31">
        <f>IF(INDIRECT(ADDRESS(ROW() + (0),COLUMN() + (1)))="Agregar cuotas", IF(("16%")="", "-", "16%"), IF(INDIRECT(ADDRESS(ROW() + (0),COLUMN() + (1)))="No agregar cuotas", IF(("16%")="", "-", "16%"), "-"))</f>
        <v/>
      </c>
      <c r="K127" s="0" t="inlineStr">
        <is>
          <t>No agregar cuotas</t>
        </is>
      </c>
      <c r="L127" s="31">
        <f>IF(INDIRECT(ADDRESS(ROW() + (0),COLUMN() + (-1)))="Agregar cuotas", IF(("13.4%")="", "Sin costo", "13.4%"), IF(INDIRECT(ADDRESS(ROW() + (0),COLUMN() + (-1)))="No agregar cuotas", IF(("")="", "Sin costo", ""), "-"))</f>
        <v/>
      </c>
      <c r="M127" s="0" t="inlineStr">
        <is>
          <t>Mercado Envíos</t>
        </is>
      </c>
      <c r="N127" s="0" t="inlineStr">
        <is>
          <t>A cargo del comprador</t>
        </is>
      </c>
      <c r="O127" s="0" t="inlineStr">
        <is>
          <t>Acepto</t>
        </is>
      </c>
      <c r="P127" s="47" t="inlineStr">
        <is>
          <t>Sin garantía</t>
        </is>
      </c>
      <c r="R127" s="0" t="inlineStr">
        <is>
          <t>Seleccionar</t>
        </is>
      </c>
      <c r="S127" s="0" t="inlineStr">
        <is>
          <t>No ofrezco</t>
        </is>
      </c>
      <c r="T127" t="n">
        <v>1976</v>
      </c>
      <c r="U127" s="0" t="inlineStr">
        <is>
          <t>Austria</t>
        </is>
      </c>
      <c r="X127" s="0" t="inlineStr">
        <is>
          <t>Bronce</t>
        </is>
      </c>
      <c r="Z127" t="inlineStr">
        <is>
          <t>20 Para</t>
        </is>
      </c>
      <c r="AA127" s="0" t="inlineStr">
        <is>
          <t>Euro</t>
        </is>
      </c>
      <c r="AB1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7" s="53">
        <f>IF(OR(TRIM(INDIRECT("B"&amp;ROW())) &lt;&gt; "",TRIM(INDIRECT("A"&amp;ROW())) &lt;&gt; ""),AND(TRIM(INDIRECT("A"&amp;ROW())) &lt;&gt; "",TRIM(INDIRECT("D"&amp;ROW())) = "nuevo"),"")</f>
        <v/>
      </c>
    </row>
    <row r="128" ht="27.5" customHeight="1" s="62">
      <c r="B128" t="inlineStr">
        <is>
          <t>Moneda Argentina 20 Centavos 1882</t>
        </is>
      </c>
      <c r="C128" s="0">
        <f>LEN(INDIRECT(ADDRESS(ROW() + (0),COLUMN() + (-1))))</f>
        <v/>
      </c>
      <c r="D128" s="0" t="inlineStr">
        <is>
          <t>Usado</t>
        </is>
      </c>
      <c r="E128" s="38" t="inlineStr">
        <is>
          <t>https://numismaticapopper.com/images/365A.jpeg,https://numismaticapopper.com/images/365B.jpeg</t>
        </is>
      </c>
      <c r="F128" t="inlineStr">
        <is>
          <t>365</t>
        </is>
      </c>
      <c r="G128" s="40" t="n">
        <v>1</v>
      </c>
      <c r="H128" t="n">
        <v>77000</v>
      </c>
      <c r="I128" t="inlineStr">
        <is>
          <t>Estado de conservacion: Sin Circular -
Referencia de catalogo: CJ# 19
Material: Plata .900
Tirada: 762.027
Escasa</t>
        </is>
      </c>
      <c r="J128" s="31">
        <f>IF(INDIRECT(ADDRESS(ROW() + (0),COLUMN() + (1)))="Agregar cuotas", IF(("16%")="", "-", "16%"), IF(INDIRECT(ADDRESS(ROW() + (0),COLUMN() + (1)))="No agregar cuotas", IF(("16%")="", "-", "16%"), "-"))</f>
        <v/>
      </c>
      <c r="K128" s="0" t="inlineStr">
        <is>
          <t>No agregar cuotas</t>
        </is>
      </c>
      <c r="L128" s="31">
        <f>IF(INDIRECT(ADDRESS(ROW() + (0),COLUMN() + (-1)))="Agregar cuotas", IF(("13.4%")="", "Sin costo", "13.4%"), IF(INDIRECT(ADDRESS(ROW() + (0),COLUMN() + (-1)))="No agregar cuotas", IF(("")="", "Sin costo", ""), "-"))</f>
        <v/>
      </c>
      <c r="M128" s="0" t="inlineStr">
        <is>
          <t>Mercado Envíos</t>
        </is>
      </c>
      <c r="N128" s="0" t="inlineStr">
        <is>
          <t>A cargo del comprador</t>
        </is>
      </c>
      <c r="O128" s="0" t="inlineStr">
        <is>
          <t>Acepto</t>
        </is>
      </c>
      <c r="P128" s="47" t="inlineStr">
        <is>
          <t>Sin garantía</t>
        </is>
      </c>
      <c r="R128" s="0" t="inlineStr">
        <is>
          <t>Seleccionar</t>
        </is>
      </c>
      <c r="S128" s="0" t="inlineStr">
        <is>
          <t>No ofrezco</t>
        </is>
      </c>
      <c r="T128" t="n">
        <v>1882</v>
      </c>
      <c r="U128" s="0" t="inlineStr">
        <is>
          <t>Argentina</t>
        </is>
      </c>
      <c r="X128" s="0" t="inlineStr">
        <is>
          <t>Plata</t>
        </is>
      </c>
      <c r="Z128" t="inlineStr">
        <is>
          <t>20 Centavos</t>
        </is>
      </c>
      <c r="AA128" s="0" t="inlineStr">
        <is>
          <t>Peso</t>
        </is>
      </c>
      <c r="AB1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8" s="53">
        <f>IF(OR(TRIM(INDIRECT("B"&amp;ROW())) &lt;&gt; "",TRIM(INDIRECT("A"&amp;ROW())) &lt;&gt; ""),AND(TRIM(INDIRECT("A"&amp;ROW())) &lt;&gt; "",TRIM(INDIRECT("D"&amp;ROW())) = "nuevo"),"")</f>
        <v/>
      </c>
    </row>
    <row r="129" ht="27.5" customHeight="1" s="62">
      <c r="B129" t="inlineStr">
        <is>
          <t>Moneda Estados Unidos Cent 1904</t>
        </is>
      </c>
      <c r="C129" s="0">
        <f>LEN(INDIRECT(ADDRESS(ROW() + (0),COLUMN() + (-1))))</f>
        <v/>
      </c>
      <c r="D129" s="0" t="inlineStr">
        <is>
          <t>Usado</t>
        </is>
      </c>
      <c r="E129" s="38" t="inlineStr">
        <is>
          <t>https://numismaticapopper.com/images/368A.jpeg,https://numismaticapopper.com/images/368B.jpeg</t>
        </is>
      </c>
      <c r="F129" t="inlineStr">
        <is>
          <t>368</t>
        </is>
      </c>
      <c r="G129" s="40" t="n">
        <v>1</v>
      </c>
      <c r="H129" t="n">
        <v>16000</v>
      </c>
      <c r="I129" t="inlineStr">
        <is>
          <t>Referencia de catalogo: KM# 90
Material: Cuproníquel
Peso: 4.67 g
Diametro: 19.0 mm
Indian Head</t>
        </is>
      </c>
      <c r="J129" s="31">
        <f>IF(INDIRECT(ADDRESS(ROW() + (0),COLUMN() + (1)))="Agregar cuotas", IF(("16%")="", "-", "16%"), IF(INDIRECT(ADDRESS(ROW() + (0),COLUMN() + (1)))="No agregar cuotas", IF(("16%")="", "-", "16%"), "-"))</f>
        <v/>
      </c>
      <c r="K129" s="0" t="inlineStr">
        <is>
          <t>No agregar cuotas</t>
        </is>
      </c>
      <c r="L129" s="31">
        <f>IF(INDIRECT(ADDRESS(ROW() + (0),COLUMN() + (-1)))="Agregar cuotas", IF(("13.4%")="", "Sin costo", "13.4%"), IF(INDIRECT(ADDRESS(ROW() + (0),COLUMN() + (-1)))="No agregar cuotas", IF(("")="", "Sin costo", ""), "-"))</f>
        <v/>
      </c>
      <c r="M129" s="0" t="inlineStr">
        <is>
          <t>Mercado Envíos</t>
        </is>
      </c>
      <c r="N129" s="0" t="inlineStr">
        <is>
          <t>A cargo del comprador</t>
        </is>
      </c>
      <c r="O129" s="0" t="inlineStr">
        <is>
          <t>Acepto</t>
        </is>
      </c>
      <c r="P129" s="47" t="inlineStr">
        <is>
          <t>Sin garantía</t>
        </is>
      </c>
      <c r="R129" s="0" t="inlineStr">
        <is>
          <t>Seleccionar</t>
        </is>
      </c>
      <c r="S129" s="0" t="inlineStr">
        <is>
          <t>No ofrezco</t>
        </is>
      </c>
      <c r="T129" t="n">
        <v>1904</v>
      </c>
      <c r="U129" s="0" t="inlineStr">
        <is>
          <t>Estados Unidos</t>
        </is>
      </c>
      <c r="X129" s="0" t="inlineStr">
        <is>
          <t>Níquel</t>
        </is>
      </c>
      <c r="Z129" t="inlineStr">
        <is>
          <t>Cent</t>
        </is>
      </c>
      <c r="AA129" s="0" t="inlineStr">
        <is>
          <t>Dólar</t>
        </is>
      </c>
      <c r="AB1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29" s="53">
        <f>IF(OR(TRIM(INDIRECT("B"&amp;ROW())) &lt;&gt; "",TRIM(INDIRECT("A"&amp;ROW())) &lt;&gt; ""),AND(TRIM(INDIRECT("A"&amp;ROW())) &lt;&gt; "",TRIM(INDIRECT("D"&amp;ROW())) = "nuevo"),"")</f>
        <v/>
      </c>
    </row>
    <row r="130" ht="27.5" customHeight="1" s="62">
      <c r="B130" t="inlineStr">
        <is>
          <t>Moneda Estados Unidos Cent 1907</t>
        </is>
      </c>
      <c r="C130" s="0">
        <f>LEN(INDIRECT(ADDRESS(ROW() + (0),COLUMN() + (-1))))</f>
        <v/>
      </c>
      <c r="D130" s="0" t="inlineStr">
        <is>
          <t>Usado</t>
        </is>
      </c>
      <c r="E130" s="38" t="inlineStr">
        <is>
          <t>https://numismaticapopper.com/images/370A.jpeg,https://numismaticapopper.com/images/370B.jpeg</t>
        </is>
      </c>
      <c r="F130" t="inlineStr">
        <is>
          <t>370</t>
        </is>
      </c>
      <c r="G130" s="40" t="n">
        <v>1</v>
      </c>
      <c r="H130" t="n">
        <v>20000</v>
      </c>
      <c r="I130" t="inlineStr">
        <is>
          <t>Referencia de catalogo: KM# 90
Material: Cuproníquel
Peso: 4.67 g
Diametro: 19.0 mm
Indian Head</t>
        </is>
      </c>
      <c r="J130" s="31">
        <f>IF(INDIRECT(ADDRESS(ROW() + (0),COLUMN() + (1)))="Agregar cuotas", IF(("16%")="", "-", "16%"), IF(INDIRECT(ADDRESS(ROW() + (0),COLUMN() + (1)))="No agregar cuotas", IF(("16%")="", "-", "16%"), "-"))</f>
        <v/>
      </c>
      <c r="K130" s="0" t="inlineStr">
        <is>
          <t>No agregar cuotas</t>
        </is>
      </c>
      <c r="L130" s="31">
        <f>IF(INDIRECT(ADDRESS(ROW() + (0),COLUMN() + (-1)))="Agregar cuotas", IF(("13.4%")="", "Sin costo", "13.4%"), IF(INDIRECT(ADDRESS(ROW() + (0),COLUMN() + (-1)))="No agregar cuotas", IF(("")="", "Sin costo", ""), "-"))</f>
        <v/>
      </c>
      <c r="M130" s="0" t="inlineStr">
        <is>
          <t>Mercado Envíos</t>
        </is>
      </c>
      <c r="N130" s="0" t="inlineStr">
        <is>
          <t>A cargo del comprador</t>
        </is>
      </c>
      <c r="O130" s="0" t="inlineStr">
        <is>
          <t>Acepto</t>
        </is>
      </c>
      <c r="P130" s="47" t="inlineStr">
        <is>
          <t>Sin garantía</t>
        </is>
      </c>
      <c r="R130" s="0" t="inlineStr">
        <is>
          <t>Seleccionar</t>
        </is>
      </c>
      <c r="S130" s="0" t="inlineStr">
        <is>
          <t>No ofrezco</t>
        </is>
      </c>
      <c r="T130" t="n">
        <v>1907</v>
      </c>
      <c r="U130" s="0" t="inlineStr">
        <is>
          <t>Estados Unidos</t>
        </is>
      </c>
      <c r="X130" s="0" t="inlineStr">
        <is>
          <t>Níquel</t>
        </is>
      </c>
      <c r="Z130" t="inlineStr">
        <is>
          <t>Cent</t>
        </is>
      </c>
      <c r="AA130" s="0" t="inlineStr">
        <is>
          <t>Dólar</t>
        </is>
      </c>
      <c r="AB1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0" s="53">
        <f>IF(OR(TRIM(INDIRECT("B"&amp;ROW())) &lt;&gt; "",TRIM(INDIRECT("A"&amp;ROW())) &lt;&gt; ""),AND(TRIM(INDIRECT("A"&amp;ROW())) &lt;&gt; "",TRIM(INDIRECT("D"&amp;ROW())) = "nuevo"),"")</f>
        <v/>
      </c>
    </row>
    <row r="131" ht="27.5" customHeight="1" s="62">
      <c r="B131" t="inlineStr">
        <is>
          <t>Moneda Estados Unidos Cent 1905</t>
        </is>
      </c>
      <c r="C131" s="0">
        <f>LEN(INDIRECT(ADDRESS(ROW() + (0),COLUMN() + (-1))))</f>
        <v/>
      </c>
      <c r="D131" s="0" t="inlineStr">
        <is>
          <t>Usado</t>
        </is>
      </c>
      <c r="E131" s="38" t="inlineStr">
        <is>
          <t>https://numismaticapopper.com/images/371A.jpeg,https://numismaticapopper.com/images/371B.jpeg</t>
        </is>
      </c>
      <c r="F131" t="inlineStr">
        <is>
          <t>371</t>
        </is>
      </c>
      <c r="G131" s="40" t="n">
        <v>1</v>
      </c>
      <c r="H131" t="n">
        <v>16000</v>
      </c>
      <c r="I131" t="inlineStr">
        <is>
          <t>Referencia de catalogo: KM# 90
Material: Cuproníquel
Peso: 4.67 g
Diametro: 19.0 mm
Indian Head</t>
        </is>
      </c>
      <c r="J131" s="31">
        <f>IF(INDIRECT(ADDRESS(ROW() + (0),COLUMN() + (1)))="Agregar cuotas", IF(("16%")="", "-", "16%"), IF(INDIRECT(ADDRESS(ROW() + (0),COLUMN() + (1)))="No agregar cuotas", IF(("16%")="", "-", "16%"), "-"))</f>
        <v/>
      </c>
      <c r="K131" s="0" t="inlineStr">
        <is>
          <t>No agregar cuotas</t>
        </is>
      </c>
      <c r="L131" s="31">
        <f>IF(INDIRECT(ADDRESS(ROW() + (0),COLUMN() + (-1)))="Agregar cuotas", IF(("13.4%")="", "Sin costo", "13.4%"), IF(INDIRECT(ADDRESS(ROW() + (0),COLUMN() + (-1)))="No agregar cuotas", IF(("")="", "Sin costo", ""), "-"))</f>
        <v/>
      </c>
      <c r="M131" s="0" t="inlineStr">
        <is>
          <t>Mercado Envíos</t>
        </is>
      </c>
      <c r="N131" s="0" t="inlineStr">
        <is>
          <t>A cargo del comprador</t>
        </is>
      </c>
      <c r="O131" s="0" t="inlineStr">
        <is>
          <t>Acepto</t>
        </is>
      </c>
      <c r="P131" s="47" t="inlineStr">
        <is>
          <t>Sin garantía</t>
        </is>
      </c>
      <c r="R131" s="0" t="inlineStr">
        <is>
          <t>Seleccionar</t>
        </is>
      </c>
      <c r="S131" s="0" t="inlineStr">
        <is>
          <t>No ofrezco</t>
        </is>
      </c>
      <c r="T131" t="n">
        <v>1905</v>
      </c>
      <c r="U131" s="0" t="inlineStr">
        <is>
          <t>Estados Unidos</t>
        </is>
      </c>
      <c r="X131" s="0" t="inlineStr">
        <is>
          <t>Níquel</t>
        </is>
      </c>
      <c r="Z131" t="inlineStr">
        <is>
          <t>Cent</t>
        </is>
      </c>
      <c r="AA131" s="0" t="inlineStr">
        <is>
          <t>Dólar</t>
        </is>
      </c>
      <c r="AB1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1" s="53">
        <f>IF(OR(TRIM(INDIRECT("B"&amp;ROW())) &lt;&gt; "",TRIM(INDIRECT("A"&amp;ROW())) &lt;&gt; ""),AND(TRIM(INDIRECT("A"&amp;ROW())) &lt;&gt; "",TRIM(INDIRECT("D"&amp;ROW())) = "nuevo"),"")</f>
        <v/>
      </c>
    </row>
    <row r="132" ht="27.5" customHeight="1" s="62">
      <c r="B132" t="inlineStr">
        <is>
          <t>Moneda Estados Unidos 1 Dollar P 2007</t>
        </is>
      </c>
      <c r="C132" s="0">
        <f>LEN(INDIRECT(ADDRESS(ROW() + (0),COLUMN() + (-1))))</f>
        <v/>
      </c>
      <c r="D132" s="0" t="inlineStr">
        <is>
          <t>Usado</t>
        </is>
      </c>
      <c r="E132" s="38" t="inlineStr">
        <is>
          <t>https://numismaticapopper.com/images/376A.jpeg,https://numismaticapopper.com/images/376B.jpeg</t>
        </is>
      </c>
      <c r="F132" t="inlineStr">
        <is>
          <t>376</t>
        </is>
      </c>
      <c r="G132" s="40" t="n">
        <v>1</v>
      </c>
      <c r="H132" t="n">
        <v>7000</v>
      </c>
      <c r="I132" t="inlineStr">
        <is>
          <t>Estado de conservacion: Excelente
Referencia de catalogo: KM# 402
Material: Latón de manganeso sobre cobre
Adams</t>
        </is>
      </c>
      <c r="J132" s="31">
        <f>IF(INDIRECT(ADDRESS(ROW() + (0),COLUMN() + (1)))="Agregar cuotas", IF(("16%")="", "-", "16%"), IF(INDIRECT(ADDRESS(ROW() + (0),COLUMN() + (1)))="No agregar cuotas", IF(("16%")="", "-", "16%"), "-"))</f>
        <v/>
      </c>
      <c r="K132" s="0" t="inlineStr">
        <is>
          <t>No agregar cuotas</t>
        </is>
      </c>
      <c r="L132" s="31">
        <f>IF(INDIRECT(ADDRESS(ROW() + (0),COLUMN() + (-1)))="Agregar cuotas", IF(("13.4%")="", "Sin costo", "13.4%"), IF(INDIRECT(ADDRESS(ROW() + (0),COLUMN() + (-1)))="No agregar cuotas", IF(("")="", "Sin costo", ""), "-"))</f>
        <v/>
      </c>
      <c r="M132" s="0" t="inlineStr">
        <is>
          <t>Mercado Envíos</t>
        </is>
      </c>
      <c r="N132" s="0" t="inlineStr">
        <is>
          <t>A cargo del comprador</t>
        </is>
      </c>
      <c r="O132" s="0" t="inlineStr">
        <is>
          <t>Acepto</t>
        </is>
      </c>
      <c r="P132" s="47" t="inlineStr">
        <is>
          <t>Sin garantía</t>
        </is>
      </c>
      <c r="R132" s="0" t="inlineStr">
        <is>
          <t>Seleccionar</t>
        </is>
      </c>
      <c r="S132" s="0" t="inlineStr">
        <is>
          <t>No ofrezco</t>
        </is>
      </c>
      <c r="T132" t="n">
        <v>2007</v>
      </c>
      <c r="U132" s="0" t="inlineStr">
        <is>
          <t>Estados Unidos</t>
        </is>
      </c>
      <c r="X132" s="0" t="inlineStr">
        <is>
          <t>Bronce</t>
        </is>
      </c>
      <c r="Z132" t="inlineStr">
        <is>
          <t>1 Dollar P</t>
        </is>
      </c>
      <c r="AA132" s="0" t="inlineStr">
        <is>
          <t>Dólar</t>
        </is>
      </c>
      <c r="AB1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2" s="53">
        <f>IF(OR(TRIM(INDIRECT("B"&amp;ROW())) &lt;&gt; "",TRIM(INDIRECT("A"&amp;ROW())) &lt;&gt; ""),AND(TRIM(INDIRECT("A"&amp;ROW())) &lt;&gt; "",TRIM(INDIRECT("D"&amp;ROW())) = "nuevo"),"")</f>
        <v/>
      </c>
    </row>
    <row r="133" ht="27.5" customHeight="1" s="62">
      <c r="B133" t="inlineStr">
        <is>
          <t>Moneda Estados Unidos 1 Dollar P 2000</t>
        </is>
      </c>
      <c r="C133" s="0">
        <f>LEN(INDIRECT(ADDRESS(ROW() + (0),COLUMN() + (-1))))</f>
        <v/>
      </c>
      <c r="D133" s="0" t="inlineStr">
        <is>
          <t>Usado</t>
        </is>
      </c>
      <c r="E133" s="38" t="inlineStr">
        <is>
          <t>https://numismaticapopper.com/images/377A.jpeg,https://numismaticapopper.com/images/377B.jpeg</t>
        </is>
      </c>
      <c r="F133" t="inlineStr">
        <is>
          <t>377</t>
        </is>
      </c>
      <c r="G133" s="40" t="n">
        <v>1</v>
      </c>
      <c r="H133" t="n">
        <v>7000</v>
      </c>
      <c r="I133" t="inlineStr">
        <is>
          <t>Estado de conservacion: Excelente
Referencia de catalogo: KM# 310
Sacagawea</t>
        </is>
      </c>
      <c r="J133" s="31">
        <f>IF(INDIRECT(ADDRESS(ROW() + (0),COLUMN() + (1)))="Agregar cuotas", IF(("16%")="", "-", "16%"), IF(INDIRECT(ADDRESS(ROW() + (0),COLUMN() + (1)))="No agregar cuotas", IF(("16%")="", "-", "16%"), "-"))</f>
        <v/>
      </c>
      <c r="K133" s="0" t="inlineStr">
        <is>
          <t>No agregar cuotas</t>
        </is>
      </c>
      <c r="L133" s="31">
        <f>IF(INDIRECT(ADDRESS(ROW() + (0),COLUMN() + (-1)))="Agregar cuotas", IF(("13.4%")="", "Sin costo", "13.4%"), IF(INDIRECT(ADDRESS(ROW() + (0),COLUMN() + (-1)))="No agregar cuotas", IF(("")="", "Sin costo", ""), "-"))</f>
        <v/>
      </c>
      <c r="M133" s="0" t="inlineStr">
        <is>
          <t>Mercado Envíos</t>
        </is>
      </c>
      <c r="N133" s="0" t="inlineStr">
        <is>
          <t>A cargo del comprador</t>
        </is>
      </c>
      <c r="O133" s="0" t="inlineStr">
        <is>
          <t>Acepto</t>
        </is>
      </c>
      <c r="P133" s="47" t="inlineStr">
        <is>
          <t>Sin garantía</t>
        </is>
      </c>
      <c r="R133" s="0" t="inlineStr">
        <is>
          <t>Seleccionar</t>
        </is>
      </c>
      <c r="S133" s="0" t="inlineStr">
        <is>
          <t>No ofrezco</t>
        </is>
      </c>
      <c r="T133" t="n">
        <v>2000</v>
      </c>
      <c r="U133" s="0" t="inlineStr">
        <is>
          <t>Estados Unidos</t>
        </is>
      </c>
      <c r="X133" s="0" t="inlineStr">
        <is>
          <t>Níquel</t>
        </is>
      </c>
      <c r="Z133" t="inlineStr">
        <is>
          <t>1 Dollar P</t>
        </is>
      </c>
      <c r="AA133" s="0" t="inlineStr">
        <is>
          <t>Dólar</t>
        </is>
      </c>
      <c r="AB1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3" s="53">
        <f>IF(OR(TRIM(INDIRECT("B"&amp;ROW())) &lt;&gt; "",TRIM(INDIRECT("A"&amp;ROW())) &lt;&gt; ""),AND(TRIM(INDIRECT("A"&amp;ROW())) &lt;&gt; "",TRIM(INDIRECT("D"&amp;ROW())) = "nuevo"),"")</f>
        <v/>
      </c>
    </row>
    <row r="134" ht="27.5" customHeight="1" s="62">
      <c r="B134" t="inlineStr">
        <is>
          <t>Moneda Estados Unidos 1/2 Dollar D 1976</t>
        </is>
      </c>
      <c r="C134" s="0">
        <f>LEN(INDIRECT(ADDRESS(ROW() + (0),COLUMN() + (-1))))</f>
        <v/>
      </c>
      <c r="D134" s="0" t="inlineStr">
        <is>
          <t>Usado</t>
        </is>
      </c>
      <c r="E134" s="38" t="inlineStr">
        <is>
          <t>https://numismaticapopper.com/images/382A.jpeg,https://numismaticapopper.com/images/382B.jpeg</t>
        </is>
      </c>
      <c r="F134" t="inlineStr">
        <is>
          <t>382</t>
        </is>
      </c>
      <c r="G134" s="40" t="n">
        <v>1</v>
      </c>
      <c r="H134" t="n">
        <v>8000</v>
      </c>
      <c r="I134" t="inlineStr">
        <is>
          <t>Referencia de catalogo: KM# 205
Bicentenario</t>
        </is>
      </c>
      <c r="J134" s="31">
        <f>IF(INDIRECT(ADDRESS(ROW() + (0),COLUMN() + (1)))="Agregar cuotas", IF(("16%")="", "-", "16%"), IF(INDIRECT(ADDRESS(ROW() + (0),COLUMN() + (1)))="No agregar cuotas", IF(("16%")="", "-", "16%"), "-"))</f>
        <v/>
      </c>
      <c r="K134" s="0" t="inlineStr">
        <is>
          <t>No agregar cuotas</t>
        </is>
      </c>
      <c r="L134" s="31">
        <f>IF(INDIRECT(ADDRESS(ROW() + (0),COLUMN() + (-1)))="Agregar cuotas", IF(("13.4%")="", "Sin costo", "13.4%"), IF(INDIRECT(ADDRESS(ROW() + (0),COLUMN() + (-1)))="No agregar cuotas", IF(("")="", "Sin costo", ""), "-"))</f>
        <v/>
      </c>
      <c r="M134" s="0" t="inlineStr">
        <is>
          <t>Mercado Envíos</t>
        </is>
      </c>
      <c r="N134" s="0" t="inlineStr">
        <is>
          <t>A cargo del comprador</t>
        </is>
      </c>
      <c r="O134" s="0" t="inlineStr">
        <is>
          <t>Acepto</t>
        </is>
      </c>
      <c r="P134" s="47" t="inlineStr">
        <is>
          <t>Sin garantía</t>
        </is>
      </c>
      <c r="R134" s="0" t="inlineStr">
        <is>
          <t>Seleccionar</t>
        </is>
      </c>
      <c r="S134" s="0" t="inlineStr">
        <is>
          <t>No ofrezco</t>
        </is>
      </c>
      <c r="T134" t="n">
        <v>1976</v>
      </c>
      <c r="U134" s="0" t="inlineStr">
        <is>
          <t>Estados Unidos</t>
        </is>
      </c>
      <c r="X134" s="0" t="inlineStr">
        <is>
          <t>Níquel</t>
        </is>
      </c>
      <c r="Z134" t="inlineStr">
        <is>
          <t>1/2 Dollar D</t>
        </is>
      </c>
      <c r="AA134" s="0" t="inlineStr">
        <is>
          <t>Dólar</t>
        </is>
      </c>
      <c r="AB1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4" s="53">
        <f>IF(OR(TRIM(INDIRECT("B"&amp;ROW())) &lt;&gt; "",TRIM(INDIRECT("A"&amp;ROW())) &lt;&gt; ""),AND(TRIM(INDIRECT("A"&amp;ROW())) &lt;&gt; "",TRIM(INDIRECT("D"&amp;ROW())) = "nuevo"),"")</f>
        <v/>
      </c>
    </row>
    <row r="135" ht="27.5" customHeight="1" s="62">
      <c r="B135" t="inlineStr">
        <is>
          <t>Moneda Estados Unidos 1/2 Dollar 1974</t>
        </is>
      </c>
      <c r="C135" s="0">
        <f>LEN(INDIRECT(ADDRESS(ROW() + (0),COLUMN() + (-1))))</f>
        <v/>
      </c>
      <c r="D135" s="0" t="inlineStr">
        <is>
          <t>Usado</t>
        </is>
      </c>
      <c r="E135" s="38" t="inlineStr">
        <is>
          <t>https://numismaticapopper.com/images/384A.jpeg,https://numismaticapopper.com/images/384B.jpeg</t>
        </is>
      </c>
      <c r="F135" t="inlineStr">
        <is>
          <t>384</t>
        </is>
      </c>
      <c r="G135" s="40" t="n">
        <v>1</v>
      </c>
      <c r="H135" t="n">
        <v>7000</v>
      </c>
      <c r="I135" t="inlineStr">
        <is>
          <t>Referencia de catalogo: KM# 202b</t>
        </is>
      </c>
      <c r="J135" s="31">
        <f>IF(INDIRECT(ADDRESS(ROW() + (0),COLUMN() + (1)))="Agregar cuotas", IF(("16%")="", "-", "16%"), IF(INDIRECT(ADDRESS(ROW() + (0),COLUMN() + (1)))="No agregar cuotas", IF(("16%")="", "-", "16%"), "-"))</f>
        <v/>
      </c>
      <c r="K135" s="0" t="inlineStr">
        <is>
          <t>No agregar cuotas</t>
        </is>
      </c>
      <c r="L135" s="31">
        <f>IF(INDIRECT(ADDRESS(ROW() + (0),COLUMN() + (-1)))="Agregar cuotas", IF(("13.4%")="", "Sin costo", "13.4%"), IF(INDIRECT(ADDRESS(ROW() + (0),COLUMN() + (-1)))="No agregar cuotas", IF(("")="", "Sin costo", ""), "-"))</f>
        <v/>
      </c>
      <c r="M135" s="0" t="inlineStr">
        <is>
          <t>Mercado Envíos</t>
        </is>
      </c>
      <c r="N135" s="0" t="inlineStr">
        <is>
          <t>A cargo del comprador</t>
        </is>
      </c>
      <c r="O135" s="0" t="inlineStr">
        <is>
          <t>Acepto</t>
        </is>
      </c>
      <c r="P135" s="47" t="inlineStr">
        <is>
          <t>Sin garantía</t>
        </is>
      </c>
      <c r="R135" s="0" t="inlineStr">
        <is>
          <t>Seleccionar</t>
        </is>
      </c>
      <c r="S135" s="0" t="inlineStr">
        <is>
          <t>No ofrezco</t>
        </is>
      </c>
      <c r="T135" t="n">
        <v>1974</v>
      </c>
      <c r="U135" s="0" t="inlineStr">
        <is>
          <t>Estados Unidos</t>
        </is>
      </c>
      <c r="X135" s="0" t="inlineStr">
        <is>
          <t>Níquel</t>
        </is>
      </c>
      <c r="Z135" t="inlineStr">
        <is>
          <t>1/2 Dollar</t>
        </is>
      </c>
      <c r="AA135" s="0" t="inlineStr">
        <is>
          <t>Dólar</t>
        </is>
      </c>
      <c r="AB1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5" s="53">
        <f>IF(OR(TRIM(INDIRECT("B"&amp;ROW())) &lt;&gt; "",TRIM(INDIRECT("A"&amp;ROW())) &lt;&gt; ""),AND(TRIM(INDIRECT("A"&amp;ROW())) &lt;&gt; "",TRIM(INDIRECT("D"&amp;ROW())) = "nuevo"),"")</f>
        <v/>
      </c>
    </row>
    <row r="136" ht="27.5" customHeight="1" s="62">
      <c r="B136" t="inlineStr">
        <is>
          <t>Moneda Estados Unidos 1/2 Dollar D 1995</t>
        </is>
      </c>
      <c r="C136" s="0">
        <f>LEN(INDIRECT(ADDRESS(ROW() + (0),COLUMN() + (-1))))</f>
        <v/>
      </c>
      <c r="D136" s="0" t="inlineStr">
        <is>
          <t>Usado</t>
        </is>
      </c>
      <c r="E136" s="38" t="inlineStr">
        <is>
          <t>https://numismaticapopper.com/images/385A.jpeg,https://numismaticapopper.com/images/385B.jpeg</t>
        </is>
      </c>
      <c r="F136" t="inlineStr">
        <is>
          <t>385</t>
        </is>
      </c>
      <c r="G136" s="40" t="n">
        <v>1</v>
      </c>
      <c r="H136" t="n">
        <v>8000</v>
      </c>
      <c r="I136" t="inlineStr">
        <is>
          <t>Referencia de catalogo: KM# 202b</t>
        </is>
      </c>
      <c r="J136" s="31">
        <f>IF(INDIRECT(ADDRESS(ROW() + (0),COLUMN() + (1)))="Agregar cuotas", IF(("16%")="", "-", "16%"), IF(INDIRECT(ADDRESS(ROW() + (0),COLUMN() + (1)))="No agregar cuotas", IF(("16%")="", "-", "16%"), "-"))</f>
        <v/>
      </c>
      <c r="K136" s="0" t="inlineStr">
        <is>
          <t>No agregar cuotas</t>
        </is>
      </c>
      <c r="L136" s="31">
        <f>IF(INDIRECT(ADDRESS(ROW() + (0),COLUMN() + (-1)))="Agregar cuotas", IF(("13.4%")="", "Sin costo", "13.4%"), IF(INDIRECT(ADDRESS(ROW() + (0),COLUMN() + (-1)))="No agregar cuotas", IF(("")="", "Sin costo", ""), "-"))</f>
        <v/>
      </c>
      <c r="M136" s="0" t="inlineStr">
        <is>
          <t>Mercado Envíos</t>
        </is>
      </c>
      <c r="N136" s="0" t="inlineStr">
        <is>
          <t>A cargo del comprador</t>
        </is>
      </c>
      <c r="O136" s="0" t="inlineStr">
        <is>
          <t>Acepto</t>
        </is>
      </c>
      <c r="P136" s="47" t="inlineStr">
        <is>
          <t>Sin garantía</t>
        </is>
      </c>
      <c r="R136" s="0" t="inlineStr">
        <is>
          <t>Seleccionar</t>
        </is>
      </c>
      <c r="S136" s="0" t="inlineStr">
        <is>
          <t>No ofrezco</t>
        </is>
      </c>
      <c r="T136" t="n">
        <v>1995</v>
      </c>
      <c r="U136" s="0" t="inlineStr">
        <is>
          <t>Estados Unidos</t>
        </is>
      </c>
      <c r="X136" s="0" t="inlineStr">
        <is>
          <t>Níquel</t>
        </is>
      </c>
      <c r="Z136" t="inlineStr">
        <is>
          <t>1/2 Dollar D</t>
        </is>
      </c>
      <c r="AA136" s="0" t="inlineStr">
        <is>
          <t>Dólar</t>
        </is>
      </c>
      <c r="AB1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6" s="53">
        <f>IF(OR(TRIM(INDIRECT("B"&amp;ROW())) &lt;&gt; "",TRIM(INDIRECT("A"&amp;ROW())) &lt;&gt; ""),AND(TRIM(INDIRECT("A"&amp;ROW())) &lt;&gt; "",TRIM(INDIRECT("D"&amp;ROW())) = "nuevo"),"")</f>
        <v/>
      </c>
    </row>
    <row r="137" ht="27.5" customHeight="1" s="62">
      <c r="B137" t="inlineStr">
        <is>
          <t>Moneda Estados Unidos 1/2 Dollar 1971</t>
        </is>
      </c>
      <c r="C137" s="0">
        <f>LEN(INDIRECT(ADDRESS(ROW() + (0),COLUMN() + (-1))))</f>
        <v/>
      </c>
      <c r="D137" s="0" t="inlineStr">
        <is>
          <t>Usado</t>
        </is>
      </c>
      <c r="E137" s="38" t="inlineStr">
        <is>
          <t>https://numismaticapopper.com/images/386A.jpeg,https://numismaticapopper.com/images/386B.jpeg</t>
        </is>
      </c>
      <c r="F137" t="inlineStr">
        <is>
          <t>386</t>
        </is>
      </c>
      <c r="G137" s="40" t="n">
        <v>1</v>
      </c>
      <c r="H137" t="n">
        <v>7000</v>
      </c>
      <c r="I137" t="inlineStr">
        <is>
          <t>Referencia de catalogo: KM# 202b</t>
        </is>
      </c>
      <c r="J137" s="31">
        <f>IF(INDIRECT(ADDRESS(ROW() + (0),COLUMN() + (1)))="Agregar cuotas", IF(("16%")="", "-", "16%"), IF(INDIRECT(ADDRESS(ROW() + (0),COLUMN() + (1)))="No agregar cuotas", IF(("16%")="", "-", "16%"), "-"))</f>
        <v/>
      </c>
      <c r="K137" s="0" t="inlineStr">
        <is>
          <t>No agregar cuotas</t>
        </is>
      </c>
      <c r="L137" s="31">
        <f>IF(INDIRECT(ADDRESS(ROW() + (0),COLUMN() + (-1)))="Agregar cuotas", IF(("13.4%")="", "Sin costo", "13.4%"), IF(INDIRECT(ADDRESS(ROW() + (0),COLUMN() + (-1)))="No agregar cuotas", IF(("")="", "Sin costo", ""), "-"))</f>
        <v/>
      </c>
      <c r="M137" s="0" t="inlineStr">
        <is>
          <t>Mercado Envíos</t>
        </is>
      </c>
      <c r="N137" s="0" t="inlineStr">
        <is>
          <t>A cargo del comprador</t>
        </is>
      </c>
      <c r="O137" s="0" t="inlineStr">
        <is>
          <t>Acepto</t>
        </is>
      </c>
      <c r="P137" s="47" t="inlineStr">
        <is>
          <t>Sin garantía</t>
        </is>
      </c>
      <c r="R137" s="0" t="inlineStr">
        <is>
          <t>Seleccionar</t>
        </is>
      </c>
      <c r="S137" s="0" t="inlineStr">
        <is>
          <t>No ofrezco</t>
        </is>
      </c>
      <c r="T137" t="n">
        <v>1971</v>
      </c>
      <c r="U137" s="0" t="inlineStr">
        <is>
          <t>Estados Unidos</t>
        </is>
      </c>
      <c r="X137" s="0" t="inlineStr">
        <is>
          <t>Níquel</t>
        </is>
      </c>
      <c r="Z137" t="inlineStr">
        <is>
          <t>1/2 Dollar</t>
        </is>
      </c>
      <c r="AA137" s="0" t="inlineStr">
        <is>
          <t>Dólar</t>
        </is>
      </c>
      <c r="AB1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7" s="53">
        <f>IF(OR(TRIM(INDIRECT("B"&amp;ROW())) &lt;&gt; "",TRIM(INDIRECT("A"&amp;ROW())) &lt;&gt; ""),AND(TRIM(INDIRECT("A"&amp;ROW())) &lt;&gt; "",TRIM(INDIRECT("D"&amp;ROW())) = "nuevo"),"")</f>
        <v/>
      </c>
    </row>
    <row r="138" ht="27.5" customHeight="1" s="62">
      <c r="B138" t="inlineStr">
        <is>
          <t>Moneda Estados Unidos 1/2 Dollar D 1972</t>
        </is>
      </c>
      <c r="C138" s="0">
        <f>LEN(INDIRECT(ADDRESS(ROW() + (0),COLUMN() + (-1))))</f>
        <v/>
      </c>
      <c r="D138" s="0" t="inlineStr">
        <is>
          <t>Usado</t>
        </is>
      </c>
      <c r="E138" s="38" t="inlineStr">
        <is>
          <t>https://numismaticapopper.com/images/387A.jpeg,https://numismaticapopper.com/images/387B.jpeg</t>
        </is>
      </c>
      <c r="F138" t="inlineStr">
        <is>
          <t>387</t>
        </is>
      </c>
      <c r="G138" s="40" t="n">
        <v>1</v>
      </c>
      <c r="H138" t="n">
        <v>7000</v>
      </c>
      <c r="I138" t="inlineStr">
        <is>
          <t>Referencia de catalogo: KM# 202b</t>
        </is>
      </c>
      <c r="J138" s="31">
        <f>IF(INDIRECT(ADDRESS(ROW() + (0),COLUMN() + (1)))="Agregar cuotas", IF(("16%")="", "-", "16%"), IF(INDIRECT(ADDRESS(ROW() + (0),COLUMN() + (1)))="No agregar cuotas", IF(("16%")="", "-", "16%"), "-"))</f>
        <v/>
      </c>
      <c r="K138" s="0" t="inlineStr">
        <is>
          <t>No agregar cuotas</t>
        </is>
      </c>
      <c r="L138" s="31">
        <f>IF(INDIRECT(ADDRESS(ROW() + (0),COLUMN() + (-1)))="Agregar cuotas", IF(("13.4%")="", "Sin costo", "13.4%"), IF(INDIRECT(ADDRESS(ROW() + (0),COLUMN() + (-1)))="No agregar cuotas", IF(("")="", "Sin costo", ""), "-"))</f>
        <v/>
      </c>
      <c r="M138" s="0" t="inlineStr">
        <is>
          <t>Mercado Envíos</t>
        </is>
      </c>
      <c r="N138" s="0" t="inlineStr">
        <is>
          <t>A cargo del comprador</t>
        </is>
      </c>
      <c r="O138" s="0" t="inlineStr">
        <is>
          <t>Acepto</t>
        </is>
      </c>
      <c r="P138" s="47" t="inlineStr">
        <is>
          <t>Sin garantía</t>
        </is>
      </c>
      <c r="R138" s="0" t="inlineStr">
        <is>
          <t>Seleccionar</t>
        </is>
      </c>
      <c r="S138" s="0" t="inlineStr">
        <is>
          <t>No ofrezco</t>
        </is>
      </c>
      <c r="T138" t="n">
        <v>1972</v>
      </c>
      <c r="U138" s="0" t="inlineStr">
        <is>
          <t>Estados Unidos</t>
        </is>
      </c>
      <c r="X138" s="0" t="inlineStr">
        <is>
          <t>Níquel</t>
        </is>
      </c>
      <c r="Z138" t="inlineStr">
        <is>
          <t>1/2 Dollar D</t>
        </is>
      </c>
      <c r="AA138" s="0" t="inlineStr">
        <is>
          <t>Dólar</t>
        </is>
      </c>
      <c r="AB1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8" s="53">
        <f>IF(OR(TRIM(INDIRECT("B"&amp;ROW())) &lt;&gt; "",TRIM(INDIRECT("A"&amp;ROW())) &lt;&gt; ""),AND(TRIM(INDIRECT("A"&amp;ROW())) &lt;&gt; "",TRIM(INDIRECT("D"&amp;ROW())) = "nuevo"),"")</f>
        <v/>
      </c>
    </row>
    <row r="139" ht="27.5" customHeight="1" s="62">
      <c r="B139" t="inlineStr">
        <is>
          <t>Moneda Estados Unidos 1/2 Dollar D 2017</t>
        </is>
      </c>
      <c r="C139" s="0">
        <f>LEN(INDIRECT(ADDRESS(ROW() + (0),COLUMN() + (-1))))</f>
        <v/>
      </c>
      <c r="D139" s="0" t="inlineStr">
        <is>
          <t>Usado</t>
        </is>
      </c>
      <c r="E139" s="38" t="inlineStr">
        <is>
          <t>https://numismaticapopper.com/images/388A.jpeg,https://numismaticapopper.com/images/388B.jpeg</t>
        </is>
      </c>
      <c r="F139" t="inlineStr">
        <is>
          <t>388</t>
        </is>
      </c>
      <c r="G139" s="40" t="n">
        <v>1</v>
      </c>
      <c r="H139" t="n">
        <v>10000</v>
      </c>
      <c r="I139" t="inlineStr">
        <is>
          <t>Estado de conservacion: Sin Circular
Referencia de catalogo: KM# 202b</t>
        </is>
      </c>
      <c r="J139" s="31">
        <f>IF(INDIRECT(ADDRESS(ROW() + (0),COLUMN() + (1)))="Agregar cuotas", IF(("16%")="", "-", "16%"), IF(INDIRECT(ADDRESS(ROW() + (0),COLUMN() + (1)))="No agregar cuotas", IF(("16%")="", "-", "16%"), "-"))</f>
        <v/>
      </c>
      <c r="K139" s="0" t="inlineStr">
        <is>
          <t>No agregar cuotas</t>
        </is>
      </c>
      <c r="L139" s="31">
        <f>IF(INDIRECT(ADDRESS(ROW() + (0),COLUMN() + (-1)))="Agregar cuotas", IF(("13.4%")="", "Sin costo", "13.4%"), IF(INDIRECT(ADDRESS(ROW() + (0),COLUMN() + (-1)))="No agregar cuotas", IF(("")="", "Sin costo", ""), "-"))</f>
        <v/>
      </c>
      <c r="M139" s="0" t="inlineStr">
        <is>
          <t>Mercado Envíos</t>
        </is>
      </c>
      <c r="N139" s="0" t="inlineStr">
        <is>
          <t>A cargo del comprador</t>
        </is>
      </c>
      <c r="O139" s="0" t="inlineStr">
        <is>
          <t>Acepto</t>
        </is>
      </c>
      <c r="P139" s="47" t="inlineStr">
        <is>
          <t>Sin garantía</t>
        </is>
      </c>
      <c r="R139" s="0" t="inlineStr">
        <is>
          <t>Seleccionar</t>
        </is>
      </c>
      <c r="S139" s="0" t="inlineStr">
        <is>
          <t>No ofrezco</t>
        </is>
      </c>
      <c r="T139" t="n">
        <v>2017</v>
      </c>
      <c r="U139" s="0" t="inlineStr">
        <is>
          <t>Estados Unidos</t>
        </is>
      </c>
      <c r="X139" s="0" t="inlineStr">
        <is>
          <t>Níquel</t>
        </is>
      </c>
      <c r="Z139" t="inlineStr">
        <is>
          <t>1/2 Dollar D</t>
        </is>
      </c>
      <c r="AA139" s="0" t="inlineStr">
        <is>
          <t>Dólar</t>
        </is>
      </c>
      <c r="AB1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39" s="53">
        <f>IF(OR(TRIM(INDIRECT("B"&amp;ROW())) &lt;&gt; "",TRIM(INDIRECT("A"&amp;ROW())) &lt;&gt; ""),AND(TRIM(INDIRECT("A"&amp;ROW())) &lt;&gt; "",TRIM(INDIRECT("D"&amp;ROW())) = "nuevo"),"")</f>
        <v/>
      </c>
    </row>
    <row r="140" ht="27.5" customHeight="1" s="62">
      <c r="B140" t="inlineStr">
        <is>
          <t>Moneda Estados Unidos 1/2 Dollar D 2022</t>
        </is>
      </c>
      <c r="C140" s="0">
        <f>LEN(INDIRECT(ADDRESS(ROW() + (0),COLUMN() + (-1))))</f>
        <v/>
      </c>
      <c r="D140" s="0" t="inlineStr">
        <is>
          <t>Usado</t>
        </is>
      </c>
      <c r="E140" s="38" t="inlineStr">
        <is>
          <t>https://numismaticapopper.com/images/389A.jpeg,https://numismaticapopper.com/images/389B.jpeg</t>
        </is>
      </c>
      <c r="F140" t="inlineStr">
        <is>
          <t>389</t>
        </is>
      </c>
      <c r="G140" s="40" t="n">
        <v>1</v>
      </c>
      <c r="H140" t="n">
        <v>9000</v>
      </c>
      <c r="I140" t="inlineStr">
        <is>
          <t>Estado de conservacion: Sin Circular
Referencia de catalogo: KM# 202b</t>
        </is>
      </c>
      <c r="J140" s="31">
        <f>IF(INDIRECT(ADDRESS(ROW() + (0),COLUMN() + (1)))="Agregar cuotas", IF(("16%")="", "-", "16%"), IF(INDIRECT(ADDRESS(ROW() + (0),COLUMN() + (1)))="No agregar cuotas", IF(("16%")="", "-", "16%"), "-"))</f>
        <v/>
      </c>
      <c r="K140" s="0" t="inlineStr">
        <is>
          <t>No agregar cuotas</t>
        </is>
      </c>
      <c r="L140" s="31">
        <f>IF(INDIRECT(ADDRESS(ROW() + (0),COLUMN() + (-1)))="Agregar cuotas", IF(("13.4%")="", "Sin costo", "13.4%"), IF(INDIRECT(ADDRESS(ROW() + (0),COLUMN() + (-1)))="No agregar cuotas", IF(("")="", "Sin costo", ""), "-"))</f>
        <v/>
      </c>
      <c r="M140" s="0" t="inlineStr">
        <is>
          <t>Mercado Envíos</t>
        </is>
      </c>
      <c r="N140" s="0" t="inlineStr">
        <is>
          <t>A cargo del comprador</t>
        </is>
      </c>
      <c r="O140" s="0" t="inlineStr">
        <is>
          <t>Acepto</t>
        </is>
      </c>
      <c r="P140" s="47" t="inlineStr">
        <is>
          <t>Sin garantía</t>
        </is>
      </c>
      <c r="R140" s="0" t="inlineStr">
        <is>
          <t>Seleccionar</t>
        </is>
      </c>
      <c r="S140" s="0" t="inlineStr">
        <is>
          <t>No ofrezco</t>
        </is>
      </c>
      <c r="T140" t="n">
        <v>2022</v>
      </c>
      <c r="U140" s="0" t="inlineStr">
        <is>
          <t>Estados Unidos</t>
        </is>
      </c>
      <c r="X140" s="0" t="inlineStr">
        <is>
          <t>Níquel</t>
        </is>
      </c>
      <c r="Z140" t="inlineStr">
        <is>
          <t>1/2 Dollar D</t>
        </is>
      </c>
      <c r="AA140" s="0" t="inlineStr">
        <is>
          <t>Dólar</t>
        </is>
      </c>
      <c r="AB1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0" s="53">
        <f>IF(OR(TRIM(INDIRECT("B"&amp;ROW())) &lt;&gt; "",TRIM(INDIRECT("A"&amp;ROW())) &lt;&gt; ""),AND(TRIM(INDIRECT("A"&amp;ROW())) &lt;&gt; "",TRIM(INDIRECT("D"&amp;ROW())) = "nuevo"),"")</f>
        <v/>
      </c>
    </row>
    <row r="141" ht="27.5" customHeight="1" s="62">
      <c r="B141" t="inlineStr">
        <is>
          <t>Moneda Perú 1 Sol 2018</t>
        </is>
      </c>
      <c r="C141" s="0">
        <f>LEN(INDIRECT(ADDRESS(ROW() + (0),COLUMN() + (-1))))</f>
        <v/>
      </c>
      <c r="D141" s="0" t="inlineStr">
        <is>
          <t>Usado</t>
        </is>
      </c>
      <c r="E141" s="38" t="inlineStr">
        <is>
          <t>https://numismaticapopper.com/images/390A.jpeg,https://numismaticapopper.com/images/390B.jpeg</t>
        </is>
      </c>
      <c r="F141" t="inlineStr">
        <is>
          <t>390</t>
        </is>
      </c>
      <c r="G141" s="40" t="n">
        <v>1</v>
      </c>
      <c r="H141" t="n">
        <v>8000</v>
      </c>
      <c r="I141" t="inlineStr">
        <is>
          <t>Estado de conservacion: Sin Circular
Referencia de catalogo: KM# 410
Pava</t>
        </is>
      </c>
      <c r="J141" s="31">
        <f>IF(INDIRECT(ADDRESS(ROW() + (0),COLUMN() + (1)))="Agregar cuotas", IF(("16%")="", "-", "16%"), IF(INDIRECT(ADDRESS(ROW() + (0),COLUMN() + (1)))="No agregar cuotas", IF(("16%")="", "-", "16%"), "-"))</f>
        <v/>
      </c>
      <c r="K141" s="0" t="inlineStr">
        <is>
          <t>No agregar cuotas</t>
        </is>
      </c>
      <c r="L141" s="31">
        <f>IF(INDIRECT(ADDRESS(ROW() + (0),COLUMN() + (-1)))="Agregar cuotas", IF(("13.4%")="", "Sin costo", "13.4%"), IF(INDIRECT(ADDRESS(ROW() + (0),COLUMN() + (-1)))="No agregar cuotas", IF(("")="", "Sin costo", ""), "-"))</f>
        <v/>
      </c>
      <c r="M141" s="0" t="inlineStr">
        <is>
          <t>Mercado Envíos</t>
        </is>
      </c>
      <c r="N141" s="0" t="inlineStr">
        <is>
          <t>A cargo del comprador</t>
        </is>
      </c>
      <c r="O141" s="0" t="inlineStr">
        <is>
          <t>Acepto</t>
        </is>
      </c>
      <c r="P141" s="47" t="inlineStr">
        <is>
          <t>Sin garantía</t>
        </is>
      </c>
      <c r="R141" s="0" t="inlineStr">
        <is>
          <t>Seleccionar</t>
        </is>
      </c>
      <c r="S141" s="0" t="inlineStr">
        <is>
          <t>No ofrezco</t>
        </is>
      </c>
      <c r="T141" t="n">
        <v>2018</v>
      </c>
      <c r="U141" s="0" t="inlineStr">
        <is>
          <t>Perú</t>
        </is>
      </c>
      <c r="X141" s="0" t="inlineStr">
        <is>
          <t>Níquel</t>
        </is>
      </c>
      <c r="Z141" t="inlineStr">
        <is>
          <t>1 Sol</t>
        </is>
      </c>
      <c r="AA141" s="0" t="inlineStr">
        <is>
          <t>Peso</t>
        </is>
      </c>
      <c r="AB1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1" s="53">
        <f>IF(OR(TRIM(INDIRECT("B"&amp;ROW())) &lt;&gt; "",TRIM(INDIRECT("A"&amp;ROW())) &lt;&gt; ""),AND(TRIM(INDIRECT("A"&amp;ROW())) &lt;&gt; "",TRIM(INDIRECT("D"&amp;ROW())) = "nuevo"),"")</f>
        <v/>
      </c>
    </row>
    <row r="142" ht="27.5" customHeight="1" s="62">
      <c r="B142" t="inlineStr">
        <is>
          <t>Moneda Perú 1 Sol 2017</t>
        </is>
      </c>
      <c r="C142" s="0">
        <f>LEN(INDIRECT(ADDRESS(ROW() + (0),COLUMN() + (-1))))</f>
        <v/>
      </c>
      <c r="D142" s="0" t="inlineStr">
        <is>
          <t>Usado</t>
        </is>
      </c>
      <c r="E142" s="38" t="inlineStr">
        <is>
          <t>https://numismaticapopper.com/images/391A.jpeg,https://numismaticapopper.com/images/391B.jpeg</t>
        </is>
      </c>
      <c r="F142" t="inlineStr">
        <is>
          <t>391</t>
        </is>
      </c>
      <c r="G142" s="40" t="n">
        <v>1</v>
      </c>
      <c r="H142" t="n">
        <v>8000</v>
      </c>
      <c r="I142" t="inlineStr">
        <is>
          <t>Referencia de catalogo: KM# 404
Cocodrilo</t>
        </is>
      </c>
      <c r="J142" s="31">
        <f>IF(INDIRECT(ADDRESS(ROW() + (0),COLUMN() + (1)))="Agregar cuotas", IF(("16%")="", "-", "16%"), IF(INDIRECT(ADDRESS(ROW() + (0),COLUMN() + (1)))="No agregar cuotas", IF(("16%")="", "-", "16%"), "-"))</f>
        <v/>
      </c>
      <c r="K142" s="0" t="inlineStr">
        <is>
          <t>No agregar cuotas</t>
        </is>
      </c>
      <c r="L142" s="31">
        <f>IF(INDIRECT(ADDRESS(ROW() + (0),COLUMN() + (-1)))="Agregar cuotas", IF(("13.4%")="", "Sin costo", "13.4%"), IF(INDIRECT(ADDRESS(ROW() + (0),COLUMN() + (-1)))="No agregar cuotas", IF(("")="", "Sin costo", ""), "-"))</f>
        <v/>
      </c>
      <c r="M142" s="0" t="inlineStr">
        <is>
          <t>Mercado Envíos</t>
        </is>
      </c>
      <c r="N142" s="0" t="inlineStr">
        <is>
          <t>A cargo del comprador</t>
        </is>
      </c>
      <c r="O142" s="0" t="inlineStr">
        <is>
          <t>Acepto</t>
        </is>
      </c>
      <c r="P142" s="47" t="inlineStr">
        <is>
          <t>Sin garantía</t>
        </is>
      </c>
      <c r="R142" s="0" t="inlineStr">
        <is>
          <t>Seleccionar</t>
        </is>
      </c>
      <c r="S142" s="0" t="inlineStr">
        <is>
          <t>No ofrezco</t>
        </is>
      </c>
      <c r="T142" t="n">
        <v>2017</v>
      </c>
      <c r="U142" s="0" t="inlineStr">
        <is>
          <t>Perú</t>
        </is>
      </c>
      <c r="X142" s="0" t="inlineStr">
        <is>
          <t>Níquel</t>
        </is>
      </c>
      <c r="Z142" t="inlineStr">
        <is>
          <t>1 Sol</t>
        </is>
      </c>
      <c r="AA142" s="0" t="inlineStr">
        <is>
          <t>Peso</t>
        </is>
      </c>
      <c r="AB1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2" s="53">
        <f>IF(OR(TRIM(INDIRECT("B"&amp;ROW())) &lt;&gt; "",TRIM(INDIRECT("A"&amp;ROW())) &lt;&gt; ""),AND(TRIM(INDIRECT("A"&amp;ROW())) &lt;&gt; "",TRIM(INDIRECT("D"&amp;ROW())) = "nuevo"),"")</f>
        <v/>
      </c>
    </row>
    <row r="143" ht="27.5" customHeight="1" s="62">
      <c r="B143" t="inlineStr">
        <is>
          <t>Moneda Perú 1 Sol 2019</t>
        </is>
      </c>
      <c r="C143" s="0">
        <f>LEN(INDIRECT(ADDRESS(ROW() + (0),COLUMN() + (-1))))</f>
        <v/>
      </c>
      <c r="D143" s="0" t="inlineStr">
        <is>
          <t>Usado</t>
        </is>
      </c>
      <c r="E143" s="38" t="inlineStr">
        <is>
          <t>https://numismaticapopper.com/images/392A.jpeg,https://numismaticapopper.com/images/392B.jpeg</t>
        </is>
      </c>
      <c r="F143" t="inlineStr">
        <is>
          <t>392</t>
        </is>
      </c>
      <c r="G143" s="40" t="n">
        <v>1</v>
      </c>
      <c r="H143" t="n">
        <v>8000</v>
      </c>
      <c r="I143" t="inlineStr">
        <is>
          <t>Referencia de catalogo: KM# 415
Mono</t>
        </is>
      </c>
      <c r="J143" s="31">
        <f>IF(INDIRECT(ADDRESS(ROW() + (0),COLUMN() + (1)))="Agregar cuotas", IF(("16%")="", "-", "16%"), IF(INDIRECT(ADDRESS(ROW() + (0),COLUMN() + (1)))="No agregar cuotas", IF(("16%")="", "-", "16%"), "-"))</f>
        <v/>
      </c>
      <c r="K143" s="0" t="inlineStr">
        <is>
          <t>No agregar cuotas</t>
        </is>
      </c>
      <c r="L143" s="31">
        <f>IF(INDIRECT(ADDRESS(ROW() + (0),COLUMN() + (-1)))="Agregar cuotas", IF(("13.4%")="", "Sin costo", "13.4%"), IF(INDIRECT(ADDRESS(ROW() + (0),COLUMN() + (-1)))="No agregar cuotas", IF(("")="", "Sin costo", ""), "-"))</f>
        <v/>
      </c>
      <c r="M143" s="0" t="inlineStr">
        <is>
          <t>Mercado Envíos</t>
        </is>
      </c>
      <c r="N143" s="0" t="inlineStr">
        <is>
          <t>A cargo del comprador</t>
        </is>
      </c>
      <c r="O143" s="0" t="inlineStr">
        <is>
          <t>Acepto</t>
        </is>
      </c>
      <c r="P143" s="47" t="inlineStr">
        <is>
          <t>Sin garantía</t>
        </is>
      </c>
      <c r="R143" s="0" t="inlineStr">
        <is>
          <t>Seleccionar</t>
        </is>
      </c>
      <c r="S143" s="0" t="inlineStr">
        <is>
          <t>No ofrezco</t>
        </is>
      </c>
      <c r="T143" t="n">
        <v>2019</v>
      </c>
      <c r="U143" s="0" t="inlineStr">
        <is>
          <t>Perú</t>
        </is>
      </c>
      <c r="X143" s="0" t="inlineStr">
        <is>
          <t>Níquel</t>
        </is>
      </c>
      <c r="Z143" t="inlineStr">
        <is>
          <t>1 Sol</t>
        </is>
      </c>
      <c r="AA143" s="0" t="inlineStr">
        <is>
          <t>Peso</t>
        </is>
      </c>
      <c r="AB1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3" s="53">
        <f>IF(OR(TRIM(INDIRECT("B"&amp;ROW())) &lt;&gt; "",TRIM(INDIRECT("A"&amp;ROW())) &lt;&gt; ""),AND(TRIM(INDIRECT("A"&amp;ROW())) &lt;&gt; "",TRIM(INDIRECT("D"&amp;ROW())) = "nuevo"),"")</f>
        <v/>
      </c>
    </row>
    <row r="144" ht="27.5" customHeight="1" s="62">
      <c r="B144" t="inlineStr">
        <is>
          <t>Moneda Perú 1 Sol 2017</t>
        </is>
      </c>
      <c r="C144" s="0">
        <f>LEN(INDIRECT(ADDRESS(ROW() + (0),COLUMN() + (-1))))</f>
        <v/>
      </c>
      <c r="D144" s="0" t="inlineStr">
        <is>
          <t>Usado</t>
        </is>
      </c>
      <c r="E144" s="38" t="inlineStr">
        <is>
          <t>https://numismaticapopper.com/images/393A.jpeg,https://numismaticapopper.com/images/393B.jpeg</t>
        </is>
      </c>
      <c r="F144" t="inlineStr">
        <is>
          <t>393</t>
        </is>
      </c>
      <c r="G144" s="40" t="n">
        <v>1</v>
      </c>
      <c r="H144" t="n">
        <v>8000</v>
      </c>
      <c r="I144" t="inlineStr">
        <is>
          <t>Referencia de catalogo: KM# 403
Oso</t>
        </is>
      </c>
      <c r="J144" s="31">
        <f>IF(INDIRECT(ADDRESS(ROW() + (0),COLUMN() + (1)))="Agregar cuotas", IF(("16%")="", "-", "16%"), IF(INDIRECT(ADDRESS(ROW() + (0),COLUMN() + (1)))="No agregar cuotas", IF(("16%")="", "-", "16%"), "-"))</f>
        <v/>
      </c>
      <c r="K144" s="0" t="inlineStr">
        <is>
          <t>No agregar cuotas</t>
        </is>
      </c>
      <c r="L144" s="31">
        <f>IF(INDIRECT(ADDRESS(ROW() + (0),COLUMN() + (-1)))="Agregar cuotas", IF(("13.4%")="", "Sin costo", "13.4%"), IF(INDIRECT(ADDRESS(ROW() + (0),COLUMN() + (-1)))="No agregar cuotas", IF(("")="", "Sin costo", ""), "-"))</f>
        <v/>
      </c>
      <c r="M144" s="0" t="inlineStr">
        <is>
          <t>Mercado Envíos</t>
        </is>
      </c>
      <c r="N144" s="0" t="inlineStr">
        <is>
          <t>A cargo del comprador</t>
        </is>
      </c>
      <c r="O144" s="0" t="inlineStr">
        <is>
          <t>Acepto</t>
        </is>
      </c>
      <c r="P144" s="47" t="inlineStr">
        <is>
          <t>Sin garantía</t>
        </is>
      </c>
      <c r="R144" s="0" t="inlineStr">
        <is>
          <t>Seleccionar</t>
        </is>
      </c>
      <c r="S144" s="0" t="inlineStr">
        <is>
          <t>No ofrezco</t>
        </is>
      </c>
      <c r="T144" t="n">
        <v>2017</v>
      </c>
      <c r="U144" s="0" t="inlineStr">
        <is>
          <t>Perú</t>
        </is>
      </c>
      <c r="X144" s="0" t="inlineStr">
        <is>
          <t>Níquel</t>
        </is>
      </c>
      <c r="Z144" t="inlineStr">
        <is>
          <t>1 Sol</t>
        </is>
      </c>
      <c r="AA144" s="0" t="inlineStr">
        <is>
          <t>Peso</t>
        </is>
      </c>
      <c r="AB1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4" s="53">
        <f>IF(OR(TRIM(INDIRECT("B"&amp;ROW())) &lt;&gt; "",TRIM(INDIRECT("A"&amp;ROW())) &lt;&gt; ""),AND(TRIM(INDIRECT("A"&amp;ROW())) &lt;&gt; "",TRIM(INDIRECT("D"&amp;ROW())) = "nuevo"),"")</f>
        <v/>
      </c>
    </row>
    <row r="145" ht="27.5" customHeight="1" s="62">
      <c r="B145" t="inlineStr">
        <is>
          <t>Moneda Perú 1 Sol 2019</t>
        </is>
      </c>
      <c r="C145" s="0">
        <f>LEN(INDIRECT(ADDRESS(ROW() + (0),COLUMN() + (-1))))</f>
        <v/>
      </c>
      <c r="D145" s="0" t="inlineStr">
        <is>
          <t>Usado</t>
        </is>
      </c>
      <c r="E145" s="38" t="inlineStr">
        <is>
          <t>https://numismaticapopper.com/images/394A.jpeg,https://numismaticapopper.com/images/394B.jpeg</t>
        </is>
      </c>
      <c r="F145" t="inlineStr">
        <is>
          <t>394</t>
        </is>
      </c>
      <c r="G145" s="40" t="n">
        <v>1</v>
      </c>
      <c r="H145" t="n">
        <v>8000</v>
      </c>
      <c r="I145" t="inlineStr">
        <is>
          <t>Referencia de catalogo: KM# 417
Rana</t>
        </is>
      </c>
      <c r="J145" s="31">
        <f>IF(INDIRECT(ADDRESS(ROW() + (0),COLUMN() + (1)))="Agregar cuotas", IF(("16%")="", "-", "16%"), IF(INDIRECT(ADDRESS(ROW() + (0),COLUMN() + (1)))="No agregar cuotas", IF(("16%")="", "-", "16%"), "-"))</f>
        <v/>
      </c>
      <c r="K145" s="0" t="inlineStr">
        <is>
          <t>No agregar cuotas</t>
        </is>
      </c>
      <c r="L145" s="31">
        <f>IF(INDIRECT(ADDRESS(ROW() + (0),COLUMN() + (-1)))="Agregar cuotas", IF(("13.4%")="", "Sin costo", "13.4%"), IF(INDIRECT(ADDRESS(ROW() + (0),COLUMN() + (-1)))="No agregar cuotas", IF(("")="", "Sin costo", ""), "-"))</f>
        <v/>
      </c>
      <c r="M145" s="0" t="inlineStr">
        <is>
          <t>Mercado Envíos</t>
        </is>
      </c>
      <c r="N145" s="0" t="inlineStr">
        <is>
          <t>A cargo del comprador</t>
        </is>
      </c>
      <c r="O145" s="0" t="inlineStr">
        <is>
          <t>Acepto</t>
        </is>
      </c>
      <c r="P145" s="47" t="inlineStr">
        <is>
          <t>Sin garantía</t>
        </is>
      </c>
      <c r="R145" s="0" t="inlineStr">
        <is>
          <t>Seleccionar</t>
        </is>
      </c>
      <c r="S145" s="0" t="inlineStr">
        <is>
          <t>No ofrezco</t>
        </is>
      </c>
      <c r="T145" t="n">
        <v>2019</v>
      </c>
      <c r="U145" s="0" t="inlineStr">
        <is>
          <t>Perú</t>
        </is>
      </c>
      <c r="X145" s="0" t="inlineStr">
        <is>
          <t>Níquel</t>
        </is>
      </c>
      <c r="Z145" t="inlineStr">
        <is>
          <t>1 Sol</t>
        </is>
      </c>
      <c r="AA145" s="0" t="inlineStr">
        <is>
          <t>Peso</t>
        </is>
      </c>
      <c r="AB1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5" s="53">
        <f>IF(OR(TRIM(INDIRECT("B"&amp;ROW())) &lt;&gt; "",TRIM(INDIRECT("A"&amp;ROW())) &lt;&gt; ""),AND(TRIM(INDIRECT("A"&amp;ROW())) &lt;&gt; "",TRIM(INDIRECT("D"&amp;ROW())) = "nuevo"),"")</f>
        <v/>
      </c>
    </row>
    <row r="146" ht="27.5" customHeight="1" s="62">
      <c r="B146" t="inlineStr">
        <is>
          <t>Moneda Perú 1 Sol 2018</t>
        </is>
      </c>
      <c r="C146" s="0">
        <f>LEN(INDIRECT(ADDRESS(ROW() + (0),COLUMN() + (-1))))</f>
        <v/>
      </c>
      <c r="D146" s="0" t="inlineStr">
        <is>
          <t>Usado</t>
        </is>
      </c>
      <c r="E146" s="38" t="inlineStr">
        <is>
          <t>https://numismaticapopper.com/images/395A.jpeg,https://numismaticapopper.com/images/395B.jpeg</t>
        </is>
      </c>
      <c r="F146" t="inlineStr">
        <is>
          <t>395</t>
        </is>
      </c>
      <c r="G146" s="40" t="n">
        <v>1</v>
      </c>
      <c r="H146" t="n">
        <v>8000</v>
      </c>
      <c r="I146" t="inlineStr">
        <is>
          <t>Referencia de catalogo: KM# 409
Tapir</t>
        </is>
      </c>
      <c r="J146" s="31">
        <f>IF(INDIRECT(ADDRESS(ROW() + (0),COLUMN() + (1)))="Agregar cuotas", IF(("16%")="", "-", "16%"), IF(INDIRECT(ADDRESS(ROW() + (0),COLUMN() + (1)))="No agregar cuotas", IF(("16%")="", "-", "16%"), "-"))</f>
        <v/>
      </c>
      <c r="K146" s="0" t="inlineStr">
        <is>
          <t>No agregar cuotas</t>
        </is>
      </c>
      <c r="L146" s="31">
        <f>IF(INDIRECT(ADDRESS(ROW() + (0),COLUMN() + (-1)))="Agregar cuotas", IF(("13.4%")="", "Sin costo", "13.4%"), IF(INDIRECT(ADDRESS(ROW() + (0),COLUMN() + (-1)))="No agregar cuotas", IF(("")="", "Sin costo", ""), "-"))</f>
        <v/>
      </c>
      <c r="M146" s="0" t="inlineStr">
        <is>
          <t>Mercado Envíos</t>
        </is>
      </c>
      <c r="N146" s="0" t="inlineStr">
        <is>
          <t>A cargo del comprador</t>
        </is>
      </c>
      <c r="O146" s="0" t="inlineStr">
        <is>
          <t>Acepto</t>
        </is>
      </c>
      <c r="P146" s="47" t="inlineStr">
        <is>
          <t>Sin garantía</t>
        </is>
      </c>
      <c r="R146" s="0" t="inlineStr">
        <is>
          <t>Seleccionar</t>
        </is>
      </c>
      <c r="S146" s="0" t="inlineStr">
        <is>
          <t>No ofrezco</t>
        </is>
      </c>
      <c r="T146" t="n">
        <v>2018</v>
      </c>
      <c r="U146" s="0" t="inlineStr">
        <is>
          <t>Perú</t>
        </is>
      </c>
      <c r="X146" s="0" t="inlineStr">
        <is>
          <t>Níquel</t>
        </is>
      </c>
      <c r="Z146" t="inlineStr">
        <is>
          <t>1 Sol</t>
        </is>
      </c>
      <c r="AA146" s="0" t="inlineStr">
        <is>
          <t>Peso</t>
        </is>
      </c>
      <c r="AB1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6" s="53">
        <f>IF(OR(TRIM(INDIRECT("B"&amp;ROW())) &lt;&gt; "",TRIM(INDIRECT("A"&amp;ROW())) &lt;&gt; ""),AND(TRIM(INDIRECT("A"&amp;ROW())) &lt;&gt; "",TRIM(INDIRECT("D"&amp;ROW())) = "nuevo"),"")</f>
        <v/>
      </c>
    </row>
    <row r="147" ht="27.5" customHeight="1" s="62">
      <c r="B147" t="inlineStr">
        <is>
          <t>Moneda Perú 1 Sol 2018</t>
        </is>
      </c>
      <c r="C147" s="0">
        <f>LEN(INDIRECT(ADDRESS(ROW() + (0),COLUMN() + (-1))))</f>
        <v/>
      </c>
      <c r="D147" s="0" t="inlineStr">
        <is>
          <t>Usado</t>
        </is>
      </c>
      <c r="E147" s="38" t="inlineStr">
        <is>
          <t>https://numismaticapopper.com/images/396A.jpeg,https://numismaticapopper.com/images/396B.jpeg</t>
        </is>
      </c>
      <c r="F147" t="inlineStr">
        <is>
          <t>396</t>
        </is>
      </c>
      <c r="G147" s="40" t="n">
        <v>1</v>
      </c>
      <c r="H147" t="n">
        <v>8000</v>
      </c>
      <c r="I147" t="inlineStr">
        <is>
          <t>Referencia de catalogo: KM# 412
Suri</t>
        </is>
      </c>
      <c r="J147" s="31">
        <f>IF(INDIRECT(ADDRESS(ROW() + (0),COLUMN() + (1)))="Agregar cuotas", IF(("16%")="", "-", "16%"), IF(INDIRECT(ADDRESS(ROW() + (0),COLUMN() + (1)))="No agregar cuotas", IF(("16%")="", "-", "16%"), "-"))</f>
        <v/>
      </c>
      <c r="K147" s="0" t="inlineStr">
        <is>
          <t>No agregar cuotas</t>
        </is>
      </c>
      <c r="L147" s="31">
        <f>IF(INDIRECT(ADDRESS(ROW() + (0),COLUMN() + (-1)))="Agregar cuotas", IF(("13.4%")="", "Sin costo", "13.4%"), IF(INDIRECT(ADDRESS(ROW() + (0),COLUMN() + (-1)))="No agregar cuotas", IF(("")="", "Sin costo", ""), "-"))</f>
        <v/>
      </c>
      <c r="M147" s="0" t="inlineStr">
        <is>
          <t>Mercado Envíos</t>
        </is>
      </c>
      <c r="N147" s="0" t="inlineStr">
        <is>
          <t>A cargo del comprador</t>
        </is>
      </c>
      <c r="O147" s="0" t="inlineStr">
        <is>
          <t>Acepto</t>
        </is>
      </c>
      <c r="P147" s="47" t="inlineStr">
        <is>
          <t>Sin garantía</t>
        </is>
      </c>
      <c r="R147" s="0" t="inlineStr">
        <is>
          <t>Seleccionar</t>
        </is>
      </c>
      <c r="S147" s="0" t="inlineStr">
        <is>
          <t>No ofrezco</t>
        </is>
      </c>
      <c r="T147" t="n">
        <v>2018</v>
      </c>
      <c r="U147" s="0" t="inlineStr">
        <is>
          <t>Perú</t>
        </is>
      </c>
      <c r="X147" s="0" t="inlineStr">
        <is>
          <t>Níquel</t>
        </is>
      </c>
      <c r="Z147" t="inlineStr">
        <is>
          <t>1 Sol</t>
        </is>
      </c>
      <c r="AA147" s="0" t="inlineStr">
        <is>
          <t>Peso</t>
        </is>
      </c>
      <c r="AB1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7" s="53">
        <f>IF(OR(TRIM(INDIRECT("B"&amp;ROW())) &lt;&gt; "",TRIM(INDIRECT("A"&amp;ROW())) &lt;&gt; ""),AND(TRIM(INDIRECT("A"&amp;ROW())) &lt;&gt; "",TRIM(INDIRECT("D"&amp;ROW())) = "nuevo"),"")</f>
        <v/>
      </c>
    </row>
    <row r="148" ht="27.5" customHeight="1" s="62">
      <c r="B148" t="inlineStr">
        <is>
          <t>Moneda Perú 1 Sol 2017</t>
        </is>
      </c>
      <c r="C148" s="0">
        <f>LEN(INDIRECT(ADDRESS(ROW() + (0),COLUMN() + (-1))))</f>
        <v/>
      </c>
      <c r="D148" s="0" t="inlineStr">
        <is>
          <t>Usado</t>
        </is>
      </c>
      <c r="E148" s="38" t="inlineStr">
        <is>
          <t>https://numismaticapopper.com/images/397A.jpeg,https://numismaticapopper.com/images/397B.jpeg</t>
        </is>
      </c>
      <c r="F148" t="inlineStr">
        <is>
          <t>397</t>
        </is>
      </c>
      <c r="G148" s="40" t="n">
        <v>1</v>
      </c>
      <c r="H148" t="n">
        <v>8000</v>
      </c>
      <c r="I148" t="inlineStr">
        <is>
          <t>Referencia de catalogo: KM# 405
Cóndor</t>
        </is>
      </c>
      <c r="J148" s="31">
        <f>IF(INDIRECT(ADDRESS(ROW() + (0),COLUMN() + (1)))="Agregar cuotas", IF(("16%")="", "-", "16%"), IF(INDIRECT(ADDRESS(ROW() + (0),COLUMN() + (1)))="No agregar cuotas", IF(("16%")="", "-", "16%"), "-"))</f>
        <v/>
      </c>
      <c r="K148" s="0" t="inlineStr">
        <is>
          <t>No agregar cuotas</t>
        </is>
      </c>
      <c r="L148" s="31">
        <f>IF(INDIRECT(ADDRESS(ROW() + (0),COLUMN() + (-1)))="Agregar cuotas", IF(("13.4%")="", "Sin costo", "13.4%"), IF(INDIRECT(ADDRESS(ROW() + (0),COLUMN() + (-1)))="No agregar cuotas", IF(("")="", "Sin costo", ""), "-"))</f>
        <v/>
      </c>
      <c r="M148" s="0" t="inlineStr">
        <is>
          <t>Mercado Envíos</t>
        </is>
      </c>
      <c r="N148" s="0" t="inlineStr">
        <is>
          <t>A cargo del comprador</t>
        </is>
      </c>
      <c r="O148" s="0" t="inlineStr">
        <is>
          <t>Acepto</t>
        </is>
      </c>
      <c r="P148" s="47" t="inlineStr">
        <is>
          <t>Sin garantía</t>
        </is>
      </c>
      <c r="R148" s="0" t="inlineStr">
        <is>
          <t>Seleccionar</t>
        </is>
      </c>
      <c r="S148" s="0" t="inlineStr">
        <is>
          <t>No ofrezco</t>
        </is>
      </c>
      <c r="T148" t="n">
        <v>2017</v>
      </c>
      <c r="U148" s="0" t="inlineStr">
        <is>
          <t>Perú</t>
        </is>
      </c>
      <c r="X148" s="0" t="inlineStr">
        <is>
          <t>Níquel</t>
        </is>
      </c>
      <c r="Z148" t="inlineStr">
        <is>
          <t>1 Sol</t>
        </is>
      </c>
      <c r="AA148" s="0" t="inlineStr">
        <is>
          <t>Peso</t>
        </is>
      </c>
      <c r="AB1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8" s="53">
        <f>IF(OR(TRIM(INDIRECT("B"&amp;ROW())) &lt;&gt; "",TRIM(INDIRECT("A"&amp;ROW())) &lt;&gt; ""),AND(TRIM(INDIRECT("A"&amp;ROW())) &lt;&gt; "",TRIM(INDIRECT("D"&amp;ROW())) = "nuevo"),"")</f>
        <v/>
      </c>
    </row>
    <row r="149" ht="27.5" customHeight="1" s="62">
      <c r="B149" t="inlineStr">
        <is>
          <t>Moneda Perú 1 Sol 2018</t>
        </is>
      </c>
      <c r="C149" s="0">
        <f>LEN(INDIRECT(ADDRESS(ROW() + (0),COLUMN() + (-1))))</f>
        <v/>
      </c>
      <c r="D149" s="0" t="inlineStr">
        <is>
          <t>Usado</t>
        </is>
      </c>
      <c r="E149" s="38" t="inlineStr">
        <is>
          <t>https://numismaticapopper.com/images/398A.jpeg,https://numismaticapopper.com/images/398B.jpeg</t>
        </is>
      </c>
      <c r="F149" t="inlineStr">
        <is>
          <t>398</t>
        </is>
      </c>
      <c r="G149" s="40" t="n">
        <v>1</v>
      </c>
      <c r="H149" t="n">
        <v>8000</v>
      </c>
      <c r="I149" t="inlineStr">
        <is>
          <t>Referencia de catalogo: KM# 411
Jaguar</t>
        </is>
      </c>
      <c r="J149" s="31">
        <f>IF(INDIRECT(ADDRESS(ROW() + (0),COLUMN() + (1)))="Agregar cuotas", IF(("16%")="", "-", "16%"), IF(INDIRECT(ADDRESS(ROW() + (0),COLUMN() + (1)))="No agregar cuotas", IF(("16%")="", "-", "16%"), "-"))</f>
        <v/>
      </c>
      <c r="K149" s="0" t="inlineStr">
        <is>
          <t>No agregar cuotas</t>
        </is>
      </c>
      <c r="L149" s="31">
        <f>IF(INDIRECT(ADDRESS(ROW() + (0),COLUMN() + (-1)))="Agregar cuotas", IF(("13.4%")="", "Sin costo", "13.4%"), IF(INDIRECT(ADDRESS(ROW() + (0),COLUMN() + (-1)))="No agregar cuotas", IF(("")="", "Sin costo", ""), "-"))</f>
        <v/>
      </c>
      <c r="M149" s="0" t="inlineStr">
        <is>
          <t>Mercado Envíos</t>
        </is>
      </c>
      <c r="N149" s="0" t="inlineStr">
        <is>
          <t>A cargo del comprador</t>
        </is>
      </c>
      <c r="O149" s="0" t="inlineStr">
        <is>
          <t>Acepto</t>
        </is>
      </c>
      <c r="P149" s="47" t="inlineStr">
        <is>
          <t>Sin garantía</t>
        </is>
      </c>
      <c r="R149" s="0" t="inlineStr">
        <is>
          <t>Seleccionar</t>
        </is>
      </c>
      <c r="S149" s="0" t="inlineStr">
        <is>
          <t>No ofrezco</t>
        </is>
      </c>
      <c r="T149" t="n">
        <v>2018</v>
      </c>
      <c r="U149" s="0" t="inlineStr">
        <is>
          <t>Perú</t>
        </is>
      </c>
      <c r="X149" s="0" t="inlineStr">
        <is>
          <t>Níquel</t>
        </is>
      </c>
      <c r="Z149" t="inlineStr">
        <is>
          <t>1 Sol</t>
        </is>
      </c>
      <c r="AA149" s="0" t="inlineStr">
        <is>
          <t>Peso</t>
        </is>
      </c>
      <c r="AB1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49" s="53">
        <f>IF(OR(TRIM(INDIRECT("B"&amp;ROW())) &lt;&gt; "",TRIM(INDIRECT("A"&amp;ROW())) &lt;&gt; ""),AND(TRIM(INDIRECT("A"&amp;ROW())) &lt;&gt; "",TRIM(INDIRECT("D"&amp;ROW())) = "nuevo"),"")</f>
        <v/>
      </c>
    </row>
    <row r="150" ht="27.5" customHeight="1" s="62">
      <c r="B150" t="inlineStr">
        <is>
          <t>Moneda Perú 1 Sol 2019</t>
        </is>
      </c>
      <c r="C150" s="0">
        <f>LEN(INDIRECT(ADDRESS(ROW() + (0),COLUMN() + (-1))))</f>
        <v/>
      </c>
      <c r="D150" s="0" t="inlineStr">
        <is>
          <t>Usado</t>
        </is>
      </c>
      <c r="E150" s="38" t="inlineStr">
        <is>
          <t>https://numismaticapopper.com/images/399A.jpeg,https://numismaticapopper.com/images/399B.jpeg</t>
        </is>
      </c>
      <c r="F150" t="inlineStr">
        <is>
          <t>399</t>
        </is>
      </c>
      <c r="G150" s="40" t="n">
        <v>1</v>
      </c>
      <c r="H150" t="n">
        <v>8000</v>
      </c>
      <c r="I150" t="inlineStr">
        <is>
          <t>Referencia de catalogo: KM# 419
Gato</t>
        </is>
      </c>
      <c r="J150" s="31">
        <f>IF(INDIRECT(ADDRESS(ROW() + (0),COLUMN() + (1)))="Agregar cuotas", IF(("16%")="", "-", "16%"), IF(INDIRECT(ADDRESS(ROW() + (0),COLUMN() + (1)))="No agregar cuotas", IF(("16%")="", "-", "16%"), "-"))</f>
        <v/>
      </c>
      <c r="K150" s="0" t="inlineStr">
        <is>
          <t>No agregar cuotas</t>
        </is>
      </c>
      <c r="L150" s="31">
        <f>IF(INDIRECT(ADDRESS(ROW() + (0),COLUMN() + (-1)))="Agregar cuotas", IF(("13.4%")="", "Sin costo", "13.4%"), IF(INDIRECT(ADDRESS(ROW() + (0),COLUMN() + (-1)))="No agregar cuotas", IF(("")="", "Sin costo", ""), "-"))</f>
        <v/>
      </c>
      <c r="M150" s="0" t="inlineStr">
        <is>
          <t>Mercado Envíos</t>
        </is>
      </c>
      <c r="N150" s="0" t="inlineStr">
        <is>
          <t>A cargo del comprador</t>
        </is>
      </c>
      <c r="O150" s="0" t="inlineStr">
        <is>
          <t>Acepto</t>
        </is>
      </c>
      <c r="P150" s="47" t="inlineStr">
        <is>
          <t>Sin garantía</t>
        </is>
      </c>
      <c r="R150" s="0" t="inlineStr">
        <is>
          <t>Seleccionar</t>
        </is>
      </c>
      <c r="S150" s="0" t="inlineStr">
        <is>
          <t>No ofrezco</t>
        </is>
      </c>
      <c r="T150" t="n">
        <v>2019</v>
      </c>
      <c r="U150" s="0" t="inlineStr">
        <is>
          <t>Perú</t>
        </is>
      </c>
      <c r="X150" s="0" t="inlineStr">
        <is>
          <t>Níquel</t>
        </is>
      </c>
      <c r="Z150" t="inlineStr">
        <is>
          <t>1 Sol</t>
        </is>
      </c>
      <c r="AA150" s="0" t="inlineStr">
        <is>
          <t>Peso</t>
        </is>
      </c>
      <c r="AB1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0" s="53">
        <f>IF(OR(TRIM(INDIRECT("B"&amp;ROW())) &lt;&gt; "",TRIM(INDIRECT("A"&amp;ROW())) &lt;&gt; ""),AND(TRIM(INDIRECT("A"&amp;ROW())) &lt;&gt; "",TRIM(INDIRECT("D"&amp;ROW())) = "nuevo"),"")</f>
        <v/>
      </c>
    </row>
    <row r="151" ht="27.5" customHeight="1" s="62">
      <c r="B151" t="inlineStr">
        <is>
          <t>Moneda Perú 1 Sol 2015</t>
        </is>
      </c>
      <c r="C151" s="0">
        <f>LEN(INDIRECT(ADDRESS(ROW() + (0),COLUMN() + (-1))))</f>
        <v/>
      </c>
      <c r="D151" s="0" t="inlineStr">
        <is>
          <t>Usado</t>
        </is>
      </c>
      <c r="E151" s="38" t="inlineStr">
        <is>
          <t>https://numismaticapopper.com/images/400A.jpeg,https://numismaticapopper.com/images/400B.jpeg</t>
        </is>
      </c>
      <c r="F151" t="inlineStr">
        <is>
          <t>400</t>
        </is>
      </c>
      <c r="G151" s="40" t="n">
        <v>1</v>
      </c>
      <c r="H151" t="n">
        <v>7000</v>
      </c>
      <c r="I151" t="inlineStr">
        <is>
          <t>Referencia de catalogo: KM# 374
Casa de moneda</t>
        </is>
      </c>
      <c r="J151" s="31">
        <f>IF(INDIRECT(ADDRESS(ROW() + (0),COLUMN() + (1)))="Agregar cuotas", IF(("16%")="", "-", "16%"), IF(INDIRECT(ADDRESS(ROW() + (0),COLUMN() + (1)))="No agregar cuotas", IF(("16%")="", "-", "16%"), "-"))</f>
        <v/>
      </c>
      <c r="K151" s="0" t="inlineStr">
        <is>
          <t>No agregar cuotas</t>
        </is>
      </c>
      <c r="L151" s="31">
        <f>IF(INDIRECT(ADDRESS(ROW() + (0),COLUMN() + (-1)))="Agregar cuotas", IF(("13.4%")="", "Sin costo", "13.4%"), IF(INDIRECT(ADDRESS(ROW() + (0),COLUMN() + (-1)))="No agregar cuotas", IF(("")="", "Sin costo", ""), "-"))</f>
        <v/>
      </c>
      <c r="M151" s="0" t="inlineStr">
        <is>
          <t>Mercado Envíos</t>
        </is>
      </c>
      <c r="N151" s="0" t="inlineStr">
        <is>
          <t>A cargo del comprador</t>
        </is>
      </c>
      <c r="O151" s="0" t="inlineStr">
        <is>
          <t>Acepto</t>
        </is>
      </c>
      <c r="P151" s="47" t="inlineStr">
        <is>
          <t>Sin garantía</t>
        </is>
      </c>
      <c r="R151" s="0" t="inlineStr">
        <is>
          <t>Seleccionar</t>
        </is>
      </c>
      <c r="S151" s="0" t="inlineStr">
        <is>
          <t>No ofrezco</t>
        </is>
      </c>
      <c r="T151" t="n">
        <v>2015</v>
      </c>
      <c r="U151" s="0" t="inlineStr">
        <is>
          <t>Perú</t>
        </is>
      </c>
      <c r="X151" s="0" t="inlineStr">
        <is>
          <t>Níquel</t>
        </is>
      </c>
      <c r="Z151" t="inlineStr">
        <is>
          <t>1 Sol</t>
        </is>
      </c>
      <c r="AA151" s="0" t="inlineStr">
        <is>
          <t>Peso</t>
        </is>
      </c>
      <c r="AB1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1" s="53">
        <f>IF(OR(TRIM(INDIRECT("B"&amp;ROW())) &lt;&gt; "",TRIM(INDIRECT("A"&amp;ROW())) &lt;&gt; ""),AND(TRIM(INDIRECT("A"&amp;ROW())) &lt;&gt; "",TRIM(INDIRECT("D"&amp;ROW())) = "nuevo"),"")</f>
        <v/>
      </c>
    </row>
    <row r="152" ht="27.5" customHeight="1" s="62">
      <c r="B152" t="inlineStr">
        <is>
          <t>Moneda Perú 1 Sol 2024</t>
        </is>
      </c>
      <c r="C152" s="0">
        <f>LEN(INDIRECT(ADDRESS(ROW() + (0),COLUMN() + (-1))))</f>
        <v/>
      </c>
      <c r="D152" s="0" t="inlineStr">
        <is>
          <t>Usado</t>
        </is>
      </c>
      <c r="E152" s="38" t="inlineStr">
        <is>
          <t>https://numismaticapopper.com/images/401A.jpeg,https://numismaticapopper.com/images/401B.jpeg</t>
        </is>
      </c>
      <c r="F152" t="inlineStr">
        <is>
          <t>401</t>
        </is>
      </c>
      <c r="G152" s="40" t="n">
        <v>1</v>
      </c>
      <c r="H152" t="n">
        <v>9000</v>
      </c>
      <c r="I152" t="inlineStr">
        <is>
          <t>Estado de conservacion: Sin Circular
Referencia de catalogo: KM# 447
Periodo formativo</t>
        </is>
      </c>
      <c r="J152" s="31">
        <f>IF(INDIRECT(ADDRESS(ROW() + (0),COLUMN() + (1)))="Agregar cuotas", IF(("16%")="", "-", "16%"), IF(INDIRECT(ADDRESS(ROW() + (0),COLUMN() + (1)))="No agregar cuotas", IF(("16%")="", "-", "16%"), "-"))</f>
        <v/>
      </c>
      <c r="K152" s="0" t="inlineStr">
        <is>
          <t>No agregar cuotas</t>
        </is>
      </c>
      <c r="L152" s="31">
        <f>IF(INDIRECT(ADDRESS(ROW() + (0),COLUMN() + (-1)))="Agregar cuotas", IF(("13.4%")="", "Sin costo", "13.4%"), IF(INDIRECT(ADDRESS(ROW() + (0),COLUMN() + (-1)))="No agregar cuotas", IF(("")="", "Sin costo", ""), "-"))</f>
        <v/>
      </c>
      <c r="M152" s="0" t="inlineStr">
        <is>
          <t>Mercado Envíos</t>
        </is>
      </c>
      <c r="N152" s="0" t="inlineStr">
        <is>
          <t>A cargo del comprador</t>
        </is>
      </c>
      <c r="O152" s="0" t="inlineStr">
        <is>
          <t>Acepto</t>
        </is>
      </c>
      <c r="P152" s="47" t="inlineStr">
        <is>
          <t>Sin garantía</t>
        </is>
      </c>
      <c r="R152" s="0" t="inlineStr">
        <is>
          <t>Seleccionar</t>
        </is>
      </c>
      <c r="S152" s="0" t="inlineStr">
        <is>
          <t>No ofrezco</t>
        </is>
      </c>
      <c r="T152" t="n">
        <v>2024</v>
      </c>
      <c r="U152" s="0" t="inlineStr">
        <is>
          <t>Perú</t>
        </is>
      </c>
      <c r="X152" s="0" t="inlineStr">
        <is>
          <t>Níquel</t>
        </is>
      </c>
      <c r="Z152" t="inlineStr">
        <is>
          <t>1 Sol</t>
        </is>
      </c>
      <c r="AA152" s="0" t="inlineStr">
        <is>
          <t>Peso</t>
        </is>
      </c>
      <c r="AB1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2" s="53">
        <f>IF(OR(TRIM(INDIRECT("B"&amp;ROW())) &lt;&gt; "",TRIM(INDIRECT("A"&amp;ROW())) &lt;&gt; ""),AND(TRIM(INDIRECT("A"&amp;ROW())) &lt;&gt; "",TRIM(INDIRECT("D"&amp;ROW())) = "nuevo"),"")</f>
        <v/>
      </c>
    </row>
    <row r="153" ht="27.5" customHeight="1" s="62">
      <c r="B153" t="inlineStr">
        <is>
          <t>Moneda Perú 1 Sol 2024</t>
        </is>
      </c>
      <c r="C153" s="0">
        <f>LEN(INDIRECT(ADDRESS(ROW() + (0),COLUMN() + (-1))))</f>
        <v/>
      </c>
      <c r="D153" s="0" t="inlineStr">
        <is>
          <t>Usado</t>
        </is>
      </c>
      <c r="E153" s="38" t="inlineStr">
        <is>
          <t>https://numismaticapopper.com/images/402A.jpeg,https://numismaticapopper.com/images/402B.jpeg</t>
        </is>
      </c>
      <c r="F153" t="inlineStr">
        <is>
          <t>402</t>
        </is>
      </c>
      <c r="G153" s="40" t="n">
        <v>1</v>
      </c>
      <c r="H153" t="n">
        <v>9000</v>
      </c>
      <c r="I153" t="inlineStr">
        <is>
          <t>Estado de conservacion: Sin Circular
Referencia de catalogo: KM# 449
Cultura Mochica</t>
        </is>
      </c>
      <c r="J153" s="31">
        <f>IF(INDIRECT(ADDRESS(ROW() + (0),COLUMN() + (1)))="Agregar cuotas", IF(("16%")="", "-", "16%"), IF(INDIRECT(ADDRESS(ROW() + (0),COLUMN() + (1)))="No agregar cuotas", IF(("16%")="", "-", "16%"), "-"))</f>
        <v/>
      </c>
      <c r="K153" s="0" t="inlineStr">
        <is>
          <t>No agregar cuotas</t>
        </is>
      </c>
      <c r="L153" s="31">
        <f>IF(INDIRECT(ADDRESS(ROW() + (0),COLUMN() + (-1)))="Agregar cuotas", IF(("13.4%")="", "Sin costo", "13.4%"), IF(INDIRECT(ADDRESS(ROW() + (0),COLUMN() + (-1)))="No agregar cuotas", IF(("")="", "Sin costo", ""), "-"))</f>
        <v/>
      </c>
      <c r="M153" s="0" t="inlineStr">
        <is>
          <t>Mercado Envíos</t>
        </is>
      </c>
      <c r="N153" s="0" t="inlineStr">
        <is>
          <t>A cargo del comprador</t>
        </is>
      </c>
      <c r="O153" s="0" t="inlineStr">
        <is>
          <t>Acepto</t>
        </is>
      </c>
      <c r="P153" s="47" t="inlineStr">
        <is>
          <t>Sin garantía</t>
        </is>
      </c>
      <c r="R153" s="0" t="inlineStr">
        <is>
          <t>Seleccionar</t>
        </is>
      </c>
      <c r="S153" s="0" t="inlineStr">
        <is>
          <t>No ofrezco</t>
        </is>
      </c>
      <c r="T153" t="n">
        <v>2024</v>
      </c>
      <c r="U153" s="0" t="inlineStr">
        <is>
          <t>Perú</t>
        </is>
      </c>
      <c r="X153" s="0" t="inlineStr">
        <is>
          <t>Níquel</t>
        </is>
      </c>
      <c r="Z153" t="inlineStr">
        <is>
          <t>1 Sol</t>
        </is>
      </c>
      <c r="AA153" s="0" t="inlineStr">
        <is>
          <t>Peso</t>
        </is>
      </c>
      <c r="AB1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3" s="53">
        <f>IF(OR(TRIM(INDIRECT("B"&amp;ROW())) &lt;&gt; "",TRIM(INDIRECT("A"&amp;ROW())) &lt;&gt; ""),AND(TRIM(INDIRECT("A"&amp;ROW())) &lt;&gt; "",TRIM(INDIRECT("D"&amp;ROW())) = "nuevo"),"")</f>
        <v/>
      </c>
    </row>
    <row r="154" ht="27.5" customHeight="1" s="62">
      <c r="B154" t="inlineStr">
        <is>
          <t>Moneda Perú 1 Sol 2025</t>
        </is>
      </c>
      <c r="C154" s="0">
        <f>LEN(INDIRECT(ADDRESS(ROW() + (0),COLUMN() + (-1))))</f>
        <v/>
      </c>
      <c r="D154" s="0" t="inlineStr">
        <is>
          <t>Usado</t>
        </is>
      </c>
      <c r="E154" s="38" t="inlineStr">
        <is>
          <t>https://numismaticapopper.com/images/403A.jpeg,https://numismaticapopper.com/images/403B.jpeg</t>
        </is>
      </c>
      <c r="F154" t="inlineStr">
        <is>
          <t>403</t>
        </is>
      </c>
      <c r="G154" s="40" t="n">
        <v>1</v>
      </c>
      <c r="H154" t="n">
        <v>9000</v>
      </c>
      <c r="I154" t="inlineStr">
        <is>
          <t>Estado de conservacion: Sin Circular
Referencia de catalogo: KM# 450
Cultura Nasca</t>
        </is>
      </c>
      <c r="J154" s="31">
        <f>IF(INDIRECT(ADDRESS(ROW() + (0),COLUMN() + (1)))="Agregar cuotas", IF(("16%")="", "-", "16%"), IF(INDIRECT(ADDRESS(ROW() + (0),COLUMN() + (1)))="No agregar cuotas", IF(("16%")="", "-", "16%"), "-"))</f>
        <v/>
      </c>
      <c r="K154" s="0" t="inlineStr">
        <is>
          <t>No agregar cuotas</t>
        </is>
      </c>
      <c r="L154" s="31">
        <f>IF(INDIRECT(ADDRESS(ROW() + (0),COLUMN() + (-1)))="Agregar cuotas", IF(("13.4%")="", "Sin costo", "13.4%"), IF(INDIRECT(ADDRESS(ROW() + (0),COLUMN() + (-1)))="No agregar cuotas", IF(("")="", "Sin costo", ""), "-"))</f>
        <v/>
      </c>
      <c r="M154" s="0" t="inlineStr">
        <is>
          <t>Mercado Envíos</t>
        </is>
      </c>
      <c r="N154" s="0" t="inlineStr">
        <is>
          <t>A cargo del comprador</t>
        </is>
      </c>
      <c r="O154" s="0" t="inlineStr">
        <is>
          <t>Acepto</t>
        </is>
      </c>
      <c r="P154" s="47" t="inlineStr">
        <is>
          <t>Sin garantía</t>
        </is>
      </c>
      <c r="R154" s="0" t="inlineStr">
        <is>
          <t>Seleccionar</t>
        </is>
      </c>
      <c r="S154" s="0" t="inlineStr">
        <is>
          <t>No ofrezco</t>
        </is>
      </c>
      <c r="T154" t="n">
        <v>2025</v>
      </c>
      <c r="U154" s="0" t="inlineStr">
        <is>
          <t>Perú</t>
        </is>
      </c>
      <c r="X154" s="0" t="inlineStr">
        <is>
          <t>Níquel</t>
        </is>
      </c>
      <c r="Z154" t="inlineStr">
        <is>
          <t>1 Sol</t>
        </is>
      </c>
      <c r="AA154" s="0" t="inlineStr">
        <is>
          <t>Peso</t>
        </is>
      </c>
      <c r="AB1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4" s="53">
        <f>IF(OR(TRIM(INDIRECT("B"&amp;ROW())) &lt;&gt; "",TRIM(INDIRECT("A"&amp;ROW())) &lt;&gt; ""),AND(TRIM(INDIRECT("A"&amp;ROW())) &lt;&gt; "",TRIM(INDIRECT("D"&amp;ROW())) = "nuevo"),"")</f>
        <v/>
      </c>
    </row>
    <row r="155" ht="27.5" customHeight="1" s="62">
      <c r="B155" t="inlineStr">
        <is>
          <t>Moneda Estados Unidos 1/4 Dólar 1999</t>
        </is>
      </c>
      <c r="C155" s="0">
        <f>LEN(INDIRECT(ADDRESS(ROW() + (0),COLUMN() + (-1))))</f>
        <v/>
      </c>
      <c r="D155" s="0" t="inlineStr">
        <is>
          <t>Usado</t>
        </is>
      </c>
      <c r="E155" s="38" t="inlineStr">
        <is>
          <t>https://numismaticapopper.com/images/404A.jpeg,https://numismaticapopper.com/images/404B.jpeg</t>
        </is>
      </c>
      <c r="F155" t="inlineStr">
        <is>
          <t>404</t>
        </is>
      </c>
      <c r="G155" s="40" t="n">
        <v>1</v>
      </c>
      <c r="H155" t="n">
        <v>7000</v>
      </c>
      <c r="I155" t="inlineStr">
        <is>
          <t>Referencia de catalogo: KM# 297
Material: Cuproníquel
Connecticut D</t>
        </is>
      </c>
      <c r="J155" s="31">
        <f>IF(INDIRECT(ADDRESS(ROW() + (0),COLUMN() + (1)))="Agregar cuotas", IF(("16%")="", "-", "16%"), IF(INDIRECT(ADDRESS(ROW() + (0),COLUMN() + (1)))="No agregar cuotas", IF(("16%")="", "-", "16%"), "-"))</f>
        <v/>
      </c>
      <c r="K155" s="0" t="inlineStr">
        <is>
          <t>No agregar cuotas</t>
        </is>
      </c>
      <c r="L155" s="31">
        <f>IF(INDIRECT(ADDRESS(ROW() + (0),COLUMN() + (-1)))="Agregar cuotas", IF(("13.4%")="", "Sin costo", "13.4%"), IF(INDIRECT(ADDRESS(ROW() + (0),COLUMN() + (-1)))="No agregar cuotas", IF(("")="", "Sin costo", ""), "-"))</f>
        <v/>
      </c>
      <c r="M155" s="0" t="inlineStr">
        <is>
          <t>Mercado Envíos</t>
        </is>
      </c>
      <c r="N155" s="0" t="inlineStr">
        <is>
          <t>A cargo del comprador</t>
        </is>
      </c>
      <c r="O155" s="0" t="inlineStr">
        <is>
          <t>Acepto</t>
        </is>
      </c>
      <c r="P155" s="47" t="inlineStr">
        <is>
          <t>Sin garantía</t>
        </is>
      </c>
      <c r="R155" s="0" t="inlineStr">
        <is>
          <t>Seleccionar</t>
        </is>
      </c>
      <c r="S155" s="0" t="inlineStr">
        <is>
          <t>No ofrezco</t>
        </is>
      </c>
      <c r="T155" t="n">
        <v>1999</v>
      </c>
      <c r="U155" s="0" t="inlineStr">
        <is>
          <t>Estados Unidos</t>
        </is>
      </c>
      <c r="X155" s="0" t="inlineStr">
        <is>
          <t>Níquel</t>
        </is>
      </c>
      <c r="Z155" t="inlineStr">
        <is>
          <t>1/4 Dólar</t>
        </is>
      </c>
      <c r="AA155" s="0" t="inlineStr">
        <is>
          <t>Dólar</t>
        </is>
      </c>
      <c r="AB1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5" s="53">
        <f>IF(OR(TRIM(INDIRECT("B"&amp;ROW())) &lt;&gt; "",TRIM(INDIRECT("A"&amp;ROW())) &lt;&gt; ""),AND(TRIM(INDIRECT("A"&amp;ROW())) &lt;&gt; "",TRIM(INDIRECT("D"&amp;ROW())) = "nuevo"),"")</f>
        <v/>
      </c>
    </row>
    <row r="156" ht="27.5" customHeight="1" s="62">
      <c r="B156" t="inlineStr">
        <is>
          <t>Moneda Estados Unidos 1/4 Dólar 1999</t>
        </is>
      </c>
      <c r="C156" s="0">
        <f>LEN(INDIRECT(ADDRESS(ROW() + (0),COLUMN() + (-1))))</f>
        <v/>
      </c>
      <c r="D156" s="0" t="inlineStr">
        <is>
          <t>Usado</t>
        </is>
      </c>
      <c r="E156" s="38" t="inlineStr">
        <is>
          <t>https://numismaticapopper.com/images/407A.jpeg,https://numismaticapopper.com/images/407B.jpeg</t>
        </is>
      </c>
      <c r="F156" t="inlineStr">
        <is>
          <t>405</t>
        </is>
      </c>
      <c r="G156" s="40" t="n">
        <v>1</v>
      </c>
      <c r="H156" t="n">
        <v>7000</v>
      </c>
      <c r="I156" t="inlineStr">
        <is>
          <t>Referencia de catalogo: KM# 293
Material: Cuproníquel
Delaware D</t>
        </is>
      </c>
      <c r="J156" s="31">
        <f>IF(INDIRECT(ADDRESS(ROW() + (0),COLUMN() + (1)))="Agregar cuotas", IF(("16%")="", "-", "16%"), IF(INDIRECT(ADDRESS(ROW() + (0),COLUMN() + (1)))="No agregar cuotas", IF(("16%")="", "-", "16%"), "-"))</f>
        <v/>
      </c>
      <c r="K156" s="0" t="inlineStr">
        <is>
          <t>No agregar cuotas</t>
        </is>
      </c>
      <c r="L156" s="31">
        <f>IF(INDIRECT(ADDRESS(ROW() + (0),COLUMN() + (-1)))="Agregar cuotas", IF(("13.4%")="", "Sin costo", "13.4%"), IF(INDIRECT(ADDRESS(ROW() + (0),COLUMN() + (-1)))="No agregar cuotas", IF(("")="", "Sin costo", ""), "-"))</f>
        <v/>
      </c>
      <c r="M156" s="0" t="inlineStr">
        <is>
          <t>Mercado Envíos</t>
        </is>
      </c>
      <c r="N156" s="0" t="inlineStr">
        <is>
          <t>A cargo del comprador</t>
        </is>
      </c>
      <c r="O156" s="0" t="inlineStr">
        <is>
          <t>Acepto</t>
        </is>
      </c>
      <c r="P156" s="47" t="inlineStr">
        <is>
          <t>Sin garantía</t>
        </is>
      </c>
      <c r="R156" s="0" t="inlineStr">
        <is>
          <t>Seleccionar</t>
        </is>
      </c>
      <c r="S156" s="0" t="inlineStr">
        <is>
          <t>No ofrezco</t>
        </is>
      </c>
      <c r="T156" t="n">
        <v>1999</v>
      </c>
      <c r="U156" s="0" t="inlineStr">
        <is>
          <t>Estados Unidos</t>
        </is>
      </c>
      <c r="X156" s="0" t="inlineStr">
        <is>
          <t>Níquel</t>
        </is>
      </c>
      <c r="Z156" t="inlineStr">
        <is>
          <t>1/4 Dólar</t>
        </is>
      </c>
      <c r="AA156" s="0" t="inlineStr">
        <is>
          <t>Dólar</t>
        </is>
      </c>
      <c r="AB1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6" s="53">
        <f>IF(OR(TRIM(INDIRECT("B"&amp;ROW())) &lt;&gt; "",TRIM(INDIRECT("A"&amp;ROW())) &lt;&gt; ""),AND(TRIM(INDIRECT("A"&amp;ROW())) &lt;&gt; "",TRIM(INDIRECT("D"&amp;ROW())) = "nuevo"),"")</f>
        <v/>
      </c>
    </row>
    <row r="157" ht="27.5" customHeight="1" s="62">
      <c r="B157" t="inlineStr">
        <is>
          <t>Moneda Estados Unidos 1/4 Dólar 1999</t>
        </is>
      </c>
      <c r="C157" s="0">
        <f>LEN(INDIRECT(ADDRESS(ROW() + (0),COLUMN() + (-1))))</f>
        <v/>
      </c>
      <c r="D157" s="0" t="inlineStr">
        <is>
          <t>Usado</t>
        </is>
      </c>
      <c r="E157" s="38" t="inlineStr">
        <is>
          <t>https://numismaticapopper.com/images/408A.jpeg,https://numismaticapopper.com/images/408B.jpeg</t>
        </is>
      </c>
      <c r="F157" t="inlineStr">
        <is>
          <t>406</t>
        </is>
      </c>
      <c r="G157" s="40" t="n">
        <v>1</v>
      </c>
      <c r="H157" t="n">
        <v>7000</v>
      </c>
      <c r="I157" t="inlineStr">
        <is>
          <t>Referencia de catalogo: KM# 296
Material: Cuproníquel
Georgia D</t>
        </is>
      </c>
      <c r="J157" s="31">
        <f>IF(INDIRECT(ADDRESS(ROW() + (0),COLUMN() + (1)))="Agregar cuotas", IF(("16%")="", "-", "16%"), IF(INDIRECT(ADDRESS(ROW() + (0),COLUMN() + (1)))="No agregar cuotas", IF(("16%")="", "-", "16%"), "-"))</f>
        <v/>
      </c>
      <c r="K157" s="0" t="inlineStr">
        <is>
          <t>No agregar cuotas</t>
        </is>
      </c>
      <c r="L157" s="31">
        <f>IF(INDIRECT(ADDRESS(ROW() + (0),COLUMN() + (-1)))="Agregar cuotas", IF(("13.4%")="", "Sin costo", "13.4%"), IF(INDIRECT(ADDRESS(ROW() + (0),COLUMN() + (-1)))="No agregar cuotas", IF(("")="", "Sin costo", ""), "-"))</f>
        <v/>
      </c>
      <c r="M157" s="0" t="inlineStr">
        <is>
          <t>Mercado Envíos</t>
        </is>
      </c>
      <c r="N157" s="0" t="inlineStr">
        <is>
          <t>A cargo del comprador</t>
        </is>
      </c>
      <c r="O157" s="0" t="inlineStr">
        <is>
          <t>Acepto</t>
        </is>
      </c>
      <c r="P157" s="47" t="inlineStr">
        <is>
          <t>Sin garantía</t>
        </is>
      </c>
      <c r="R157" s="0" t="inlineStr">
        <is>
          <t>Seleccionar</t>
        </is>
      </c>
      <c r="S157" s="0" t="inlineStr">
        <is>
          <t>No ofrezco</t>
        </is>
      </c>
      <c r="T157" t="n">
        <v>1999</v>
      </c>
      <c r="U157" s="0" t="inlineStr">
        <is>
          <t>Estados Unidos</t>
        </is>
      </c>
      <c r="X157" s="0" t="inlineStr">
        <is>
          <t>Níquel</t>
        </is>
      </c>
      <c r="Z157" t="inlineStr">
        <is>
          <t>1/4 Dólar</t>
        </is>
      </c>
      <c r="AA157" s="0" t="inlineStr">
        <is>
          <t>Dólar</t>
        </is>
      </c>
      <c r="AB1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7" s="53">
        <f>IF(OR(TRIM(INDIRECT("B"&amp;ROW())) &lt;&gt; "",TRIM(INDIRECT("A"&amp;ROW())) &lt;&gt; ""),AND(TRIM(INDIRECT("A"&amp;ROW())) &lt;&gt; "",TRIM(INDIRECT("D"&amp;ROW())) = "nuevo"),"")</f>
        <v/>
      </c>
    </row>
    <row r="158" ht="27.5" customHeight="1" s="62">
      <c r="B158" t="inlineStr">
        <is>
          <t>Moneda Estados Unidos 1/4 Dólar 1999</t>
        </is>
      </c>
      <c r="C158" s="0">
        <f>LEN(INDIRECT(ADDRESS(ROW() + (0),COLUMN() + (-1))))</f>
        <v/>
      </c>
      <c r="D158" s="0" t="inlineStr">
        <is>
          <t>Usado</t>
        </is>
      </c>
      <c r="E158" s="38" t="inlineStr">
        <is>
          <t>https://numismaticapopper.com/images/483A.jpeg,https://numismaticapopper.com/images/483B.jpeg</t>
        </is>
      </c>
      <c r="F158" t="inlineStr">
        <is>
          <t>407</t>
        </is>
      </c>
      <c r="G158" s="40" t="n">
        <v>1</v>
      </c>
      <c r="H158" t="n">
        <v>7000</v>
      </c>
      <c r="I158" t="inlineStr">
        <is>
          <t>Referencia de catalogo: KM# 295
Material: Cuproníquel
New Jersey D</t>
        </is>
      </c>
      <c r="J158" s="31">
        <f>IF(INDIRECT(ADDRESS(ROW() + (0),COLUMN() + (1)))="Agregar cuotas", IF(("16%")="", "-", "16%"), IF(INDIRECT(ADDRESS(ROW() + (0),COLUMN() + (1)))="No agregar cuotas", IF(("16%")="", "-", "16%"), "-"))</f>
        <v/>
      </c>
      <c r="K158" s="0" t="inlineStr">
        <is>
          <t>No agregar cuotas</t>
        </is>
      </c>
      <c r="L158" s="31">
        <f>IF(INDIRECT(ADDRESS(ROW() + (0),COLUMN() + (-1)))="Agregar cuotas", IF(("13.4%")="", "Sin costo", "13.4%"), IF(INDIRECT(ADDRESS(ROW() + (0),COLUMN() + (-1)))="No agregar cuotas", IF(("")="", "Sin costo", ""), "-"))</f>
        <v/>
      </c>
      <c r="M158" s="0" t="inlineStr">
        <is>
          <t>Mercado Envíos</t>
        </is>
      </c>
      <c r="N158" s="0" t="inlineStr">
        <is>
          <t>A cargo del comprador</t>
        </is>
      </c>
      <c r="O158" s="0" t="inlineStr">
        <is>
          <t>Acepto</t>
        </is>
      </c>
      <c r="P158" s="47" t="inlineStr">
        <is>
          <t>Sin garantía</t>
        </is>
      </c>
      <c r="R158" s="0" t="inlineStr">
        <is>
          <t>Seleccionar</t>
        </is>
      </c>
      <c r="S158" s="0" t="inlineStr">
        <is>
          <t>No ofrezco</t>
        </is>
      </c>
      <c r="T158" t="n">
        <v>1999</v>
      </c>
      <c r="U158" s="0" t="inlineStr">
        <is>
          <t>Estados Unidos</t>
        </is>
      </c>
      <c r="X158" s="0" t="inlineStr">
        <is>
          <t>Níquel</t>
        </is>
      </c>
      <c r="Z158" t="inlineStr">
        <is>
          <t>1/4 Dólar</t>
        </is>
      </c>
      <c r="AA158" s="0" t="inlineStr">
        <is>
          <t>Dólar</t>
        </is>
      </c>
      <c r="AB1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8" s="53">
        <f>IF(OR(TRIM(INDIRECT("B"&amp;ROW())) &lt;&gt; "",TRIM(INDIRECT("A"&amp;ROW())) &lt;&gt; ""),AND(TRIM(INDIRECT("A"&amp;ROW())) &lt;&gt; "",TRIM(INDIRECT("D"&amp;ROW())) = "nuevo"),"")</f>
        <v/>
      </c>
    </row>
    <row r="159" ht="27.5" customHeight="1" s="62">
      <c r="B159" t="inlineStr">
        <is>
          <t>Moneda Estados Unidos 1/4 Dólar 2000</t>
        </is>
      </c>
      <c r="C159" s="0">
        <f>LEN(INDIRECT(ADDRESS(ROW() + (0),COLUMN() + (-1))))</f>
        <v/>
      </c>
      <c r="D159" s="0" t="inlineStr">
        <is>
          <t>Usado</t>
        </is>
      </c>
      <c r="E159" s="38" t="inlineStr">
        <is>
          <t>https://numismaticapopper.com/images/406A.jpeg,https://numismaticapopper.com/images/406B.jpeg</t>
        </is>
      </c>
      <c r="F159" t="inlineStr">
        <is>
          <t>408</t>
        </is>
      </c>
      <c r="G159" s="40" t="n">
        <v>1</v>
      </c>
      <c r="H159" t="n">
        <v>7000</v>
      </c>
      <c r="I159" t="inlineStr">
        <is>
          <t>Referencia de catalogo: KM# 309
Material: Cuproníquel
Virginia D</t>
        </is>
      </c>
      <c r="J159" s="31">
        <f>IF(INDIRECT(ADDRESS(ROW() + (0),COLUMN() + (1)))="Agregar cuotas", IF(("16%")="", "-", "16%"), IF(INDIRECT(ADDRESS(ROW() + (0),COLUMN() + (1)))="No agregar cuotas", IF(("16%")="", "-", "16%"), "-"))</f>
        <v/>
      </c>
      <c r="K159" s="0" t="inlineStr">
        <is>
          <t>No agregar cuotas</t>
        </is>
      </c>
      <c r="L159" s="31">
        <f>IF(INDIRECT(ADDRESS(ROW() + (0),COLUMN() + (-1)))="Agregar cuotas", IF(("13.4%")="", "Sin costo", "13.4%"), IF(INDIRECT(ADDRESS(ROW() + (0),COLUMN() + (-1)))="No agregar cuotas", IF(("")="", "Sin costo", ""), "-"))</f>
        <v/>
      </c>
      <c r="M159" s="0" t="inlineStr">
        <is>
          <t>Mercado Envíos</t>
        </is>
      </c>
      <c r="N159" s="0" t="inlineStr">
        <is>
          <t>A cargo del comprador</t>
        </is>
      </c>
      <c r="O159" s="0" t="inlineStr">
        <is>
          <t>Acepto</t>
        </is>
      </c>
      <c r="P159" s="47" t="inlineStr">
        <is>
          <t>Sin garantía</t>
        </is>
      </c>
      <c r="R159" s="0" t="inlineStr">
        <is>
          <t>Seleccionar</t>
        </is>
      </c>
      <c r="S159" s="0" t="inlineStr">
        <is>
          <t>No ofrezco</t>
        </is>
      </c>
      <c r="T159" t="n">
        <v>2000</v>
      </c>
      <c r="U159" s="0" t="inlineStr">
        <is>
          <t>Estados Unidos</t>
        </is>
      </c>
      <c r="X159" s="0" t="inlineStr">
        <is>
          <t>Níquel</t>
        </is>
      </c>
      <c r="Z159" t="inlineStr">
        <is>
          <t>1/4 Dólar</t>
        </is>
      </c>
      <c r="AA159" s="0" t="inlineStr">
        <is>
          <t>Dólar</t>
        </is>
      </c>
      <c r="AB1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59" s="53">
        <f>IF(OR(TRIM(INDIRECT("B"&amp;ROW())) &lt;&gt; "",TRIM(INDIRECT("A"&amp;ROW())) &lt;&gt; ""),AND(TRIM(INDIRECT("A"&amp;ROW())) &lt;&gt; "",TRIM(INDIRECT("D"&amp;ROW())) = "nuevo"),"")</f>
        <v/>
      </c>
    </row>
    <row r="160" ht="27.5" customHeight="1" s="62">
      <c r="B160" t="inlineStr">
        <is>
          <t>Moneda Estados Unidos 1/4 Dólar 2000</t>
        </is>
      </c>
      <c r="C160" s="0">
        <f>LEN(INDIRECT(ADDRESS(ROW() + (0),COLUMN() + (-1))))</f>
        <v/>
      </c>
      <c r="D160" s="0" t="inlineStr">
        <is>
          <t>Usado</t>
        </is>
      </c>
      <c r="E160" s="38" t="inlineStr">
        <is>
          <t>https://numismaticapopper.com/images/412A.jpeg,https://numismaticapopper.com/images/412B.jpeg</t>
        </is>
      </c>
      <c r="F160" t="inlineStr">
        <is>
          <t>409</t>
        </is>
      </c>
      <c r="G160" s="40" t="n">
        <v>1</v>
      </c>
      <c r="H160" t="n">
        <v>7000</v>
      </c>
      <c r="I160" t="inlineStr">
        <is>
          <t>Referencia de catalogo: KM# 306
Material: Cuproníquel
Maryland D</t>
        </is>
      </c>
      <c r="J160" s="31">
        <f>IF(INDIRECT(ADDRESS(ROW() + (0),COLUMN() + (1)))="Agregar cuotas", IF(("16%")="", "-", "16%"), IF(INDIRECT(ADDRESS(ROW() + (0),COLUMN() + (1)))="No agregar cuotas", IF(("16%")="", "-", "16%"), "-"))</f>
        <v/>
      </c>
      <c r="K160" s="0" t="inlineStr">
        <is>
          <t>No agregar cuotas</t>
        </is>
      </c>
      <c r="L160" s="31">
        <f>IF(INDIRECT(ADDRESS(ROW() + (0),COLUMN() + (-1)))="Agregar cuotas", IF(("13.4%")="", "Sin costo", "13.4%"), IF(INDIRECT(ADDRESS(ROW() + (0),COLUMN() + (-1)))="No agregar cuotas", IF(("")="", "Sin costo", ""), "-"))</f>
        <v/>
      </c>
      <c r="M160" s="0" t="inlineStr">
        <is>
          <t>Mercado Envíos</t>
        </is>
      </c>
      <c r="N160" s="0" t="inlineStr">
        <is>
          <t>A cargo del comprador</t>
        </is>
      </c>
      <c r="O160" s="0" t="inlineStr">
        <is>
          <t>Acepto</t>
        </is>
      </c>
      <c r="P160" s="47" t="inlineStr">
        <is>
          <t>Sin garantía</t>
        </is>
      </c>
      <c r="R160" s="0" t="inlineStr">
        <is>
          <t>Seleccionar</t>
        </is>
      </c>
      <c r="S160" s="0" t="inlineStr">
        <is>
          <t>No ofrezco</t>
        </is>
      </c>
      <c r="T160" t="n">
        <v>2000</v>
      </c>
      <c r="U160" s="0" t="inlineStr">
        <is>
          <t>Estados Unidos</t>
        </is>
      </c>
      <c r="X160" s="0" t="inlineStr">
        <is>
          <t>Níquel</t>
        </is>
      </c>
      <c r="Z160" t="inlineStr">
        <is>
          <t>1/4 Dólar</t>
        </is>
      </c>
      <c r="AA160" s="0" t="inlineStr">
        <is>
          <t>Dólar</t>
        </is>
      </c>
      <c r="AB1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0" s="53">
        <f>IF(OR(TRIM(INDIRECT("B"&amp;ROW())) &lt;&gt; "",TRIM(INDIRECT("A"&amp;ROW())) &lt;&gt; ""),AND(TRIM(INDIRECT("A"&amp;ROW())) &lt;&gt; "",TRIM(INDIRECT("D"&amp;ROW())) = "nuevo"),"")</f>
        <v/>
      </c>
    </row>
    <row r="161" ht="27.5" customHeight="1" s="62">
      <c r="B161" t="inlineStr">
        <is>
          <t>Moneda Estados Unidos 1/4 Dólar 2000</t>
        </is>
      </c>
      <c r="C161" s="0">
        <f>LEN(INDIRECT(ADDRESS(ROW() + (0),COLUMN() + (-1))))</f>
        <v/>
      </c>
      <c r="D161" s="0" t="inlineStr">
        <is>
          <t>Usado</t>
        </is>
      </c>
      <c r="E161" s="38" t="inlineStr">
        <is>
          <t>https://numismaticapopper.com/images/414A.jpeg,https://numismaticapopper.com/images/414B.jpeg</t>
        </is>
      </c>
      <c r="F161" t="inlineStr">
        <is>
          <t>410</t>
        </is>
      </c>
      <c r="G161" s="40" t="n">
        <v>1</v>
      </c>
      <c r="H161" t="n">
        <v>7000</v>
      </c>
      <c r="I161" t="inlineStr">
        <is>
          <t>Referencia de catalogo: KM# 308
Material: Cuproníquel
New Hampshire D</t>
        </is>
      </c>
      <c r="J161" s="31">
        <f>IF(INDIRECT(ADDRESS(ROW() + (0),COLUMN() + (1)))="Agregar cuotas", IF(("16%")="", "-", "16%"), IF(INDIRECT(ADDRESS(ROW() + (0),COLUMN() + (1)))="No agregar cuotas", IF(("16%")="", "-", "16%"), "-"))</f>
        <v/>
      </c>
      <c r="K161" s="0" t="inlineStr">
        <is>
          <t>No agregar cuotas</t>
        </is>
      </c>
      <c r="L161" s="31">
        <f>IF(INDIRECT(ADDRESS(ROW() + (0),COLUMN() + (-1)))="Agregar cuotas", IF(("13.4%")="", "Sin costo", "13.4%"), IF(INDIRECT(ADDRESS(ROW() + (0),COLUMN() + (-1)))="No agregar cuotas", IF(("")="", "Sin costo", ""), "-"))</f>
        <v/>
      </c>
      <c r="M161" s="0" t="inlineStr">
        <is>
          <t>Mercado Envíos</t>
        </is>
      </c>
      <c r="N161" s="0" t="inlineStr">
        <is>
          <t>A cargo del comprador</t>
        </is>
      </c>
      <c r="O161" s="0" t="inlineStr">
        <is>
          <t>Acepto</t>
        </is>
      </c>
      <c r="P161" s="47" t="inlineStr">
        <is>
          <t>Sin garantía</t>
        </is>
      </c>
      <c r="R161" s="0" t="inlineStr">
        <is>
          <t>Seleccionar</t>
        </is>
      </c>
      <c r="S161" s="0" t="inlineStr">
        <is>
          <t>No ofrezco</t>
        </is>
      </c>
      <c r="T161" t="n">
        <v>2000</v>
      </c>
      <c r="U161" s="0" t="inlineStr">
        <is>
          <t>Estados Unidos</t>
        </is>
      </c>
      <c r="X161" s="0" t="inlineStr">
        <is>
          <t>Níquel</t>
        </is>
      </c>
      <c r="Z161" t="inlineStr">
        <is>
          <t>1/4 Dólar</t>
        </is>
      </c>
      <c r="AA161" s="0" t="inlineStr">
        <is>
          <t>Dólar</t>
        </is>
      </c>
      <c r="AB1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1" s="53">
        <f>IF(OR(TRIM(INDIRECT("B"&amp;ROW())) &lt;&gt; "",TRIM(INDIRECT("A"&amp;ROW())) &lt;&gt; ""),AND(TRIM(INDIRECT("A"&amp;ROW())) &lt;&gt; "",TRIM(INDIRECT("D"&amp;ROW())) = "nuevo"),"")</f>
        <v/>
      </c>
    </row>
    <row r="162" ht="27.5" customHeight="1" s="62">
      <c r="B162" t="inlineStr">
        <is>
          <t>Moneda Estados Unidos 1/4 Dólar 2000</t>
        </is>
      </c>
      <c r="C162" s="0">
        <f>LEN(INDIRECT(ADDRESS(ROW() + (0),COLUMN() + (-1))))</f>
        <v/>
      </c>
      <c r="D162" s="0" t="inlineStr">
        <is>
          <t>Usado</t>
        </is>
      </c>
      <c r="E162" s="38" t="inlineStr">
        <is>
          <t>https://numismaticapopper.com/images/419A.jpeg,https://numismaticapopper.com/images/419B.jpeg</t>
        </is>
      </c>
      <c r="F162" t="inlineStr">
        <is>
          <t>411</t>
        </is>
      </c>
      <c r="G162" s="40" t="n">
        <v>1</v>
      </c>
      <c r="H162" t="n">
        <v>7000</v>
      </c>
      <c r="I162" t="inlineStr">
        <is>
          <t>Referencia de catalogo: KM# 305
Material: Cuproníquel
Massachusetts D</t>
        </is>
      </c>
      <c r="J162" s="31">
        <f>IF(INDIRECT(ADDRESS(ROW() + (0),COLUMN() + (1)))="Agregar cuotas", IF(("16%")="", "-", "16%"), IF(INDIRECT(ADDRESS(ROW() + (0),COLUMN() + (1)))="No agregar cuotas", IF(("16%")="", "-", "16%"), "-"))</f>
        <v/>
      </c>
      <c r="K162" s="0" t="inlineStr">
        <is>
          <t>No agregar cuotas</t>
        </is>
      </c>
      <c r="L162" s="31">
        <f>IF(INDIRECT(ADDRESS(ROW() + (0),COLUMN() + (-1)))="Agregar cuotas", IF(("13.4%")="", "Sin costo", "13.4%"), IF(INDIRECT(ADDRESS(ROW() + (0),COLUMN() + (-1)))="No agregar cuotas", IF(("")="", "Sin costo", ""), "-"))</f>
        <v/>
      </c>
      <c r="M162" s="0" t="inlineStr">
        <is>
          <t>Mercado Envíos</t>
        </is>
      </c>
      <c r="N162" s="0" t="inlineStr">
        <is>
          <t>A cargo del comprador</t>
        </is>
      </c>
      <c r="O162" s="0" t="inlineStr">
        <is>
          <t>Acepto</t>
        </is>
      </c>
      <c r="P162" s="47" t="inlineStr">
        <is>
          <t>Sin garantía</t>
        </is>
      </c>
      <c r="R162" s="0" t="inlineStr">
        <is>
          <t>Seleccionar</t>
        </is>
      </c>
      <c r="S162" s="0" t="inlineStr">
        <is>
          <t>No ofrezco</t>
        </is>
      </c>
      <c r="T162" t="n">
        <v>2000</v>
      </c>
      <c r="U162" s="0" t="inlineStr">
        <is>
          <t>Estados Unidos</t>
        </is>
      </c>
      <c r="X162" s="0" t="inlineStr">
        <is>
          <t>Níquel</t>
        </is>
      </c>
      <c r="Z162" t="inlineStr">
        <is>
          <t>1/4 Dólar</t>
        </is>
      </c>
      <c r="AA162" s="0" t="inlineStr">
        <is>
          <t>Dólar</t>
        </is>
      </c>
      <c r="AB1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2" s="53">
        <f>IF(OR(TRIM(INDIRECT("B"&amp;ROW())) &lt;&gt; "",TRIM(INDIRECT("A"&amp;ROW())) &lt;&gt; ""),AND(TRIM(INDIRECT("A"&amp;ROW())) &lt;&gt; "",TRIM(INDIRECT("D"&amp;ROW())) = "nuevo"),"")</f>
        <v/>
      </c>
    </row>
    <row r="163" ht="27.5" customHeight="1" s="62">
      <c r="B163" t="inlineStr">
        <is>
          <t>Moneda Estados Unidos 1/4 Dólar 2000</t>
        </is>
      </c>
      <c r="C163" s="0">
        <f>LEN(INDIRECT(ADDRESS(ROW() + (0),COLUMN() + (-1))))</f>
        <v/>
      </c>
      <c r="D163" s="0" t="inlineStr">
        <is>
          <t>Usado</t>
        </is>
      </c>
      <c r="E163" s="38" t="inlineStr">
        <is>
          <t>https://numismaticapopper.com/images/482A.jpeg,https://numismaticapopper.com/images/482B.jpeg</t>
        </is>
      </c>
      <c r="F163" t="inlineStr">
        <is>
          <t>412</t>
        </is>
      </c>
      <c r="G163" s="40" t="n">
        <v>1</v>
      </c>
      <c r="H163" t="n">
        <v>7000</v>
      </c>
      <c r="I163" t="inlineStr">
        <is>
          <t>Referencia de catalogo: KM# 305
Material: Cuproníquel
Massachusetts P</t>
        </is>
      </c>
      <c r="J163" s="31">
        <f>IF(INDIRECT(ADDRESS(ROW() + (0),COLUMN() + (1)))="Agregar cuotas", IF(("16%")="", "-", "16%"), IF(INDIRECT(ADDRESS(ROW() + (0),COLUMN() + (1)))="No agregar cuotas", IF(("16%")="", "-", "16%"), "-"))</f>
        <v/>
      </c>
      <c r="K163" s="0" t="inlineStr">
        <is>
          <t>No agregar cuotas</t>
        </is>
      </c>
      <c r="L163" s="31">
        <f>IF(INDIRECT(ADDRESS(ROW() + (0),COLUMN() + (-1)))="Agregar cuotas", IF(("13.4%")="", "Sin costo", "13.4%"), IF(INDIRECT(ADDRESS(ROW() + (0),COLUMN() + (-1)))="No agregar cuotas", IF(("")="", "Sin costo", ""), "-"))</f>
        <v/>
      </c>
      <c r="M163" s="0" t="inlineStr">
        <is>
          <t>Mercado Envíos</t>
        </is>
      </c>
      <c r="N163" s="0" t="inlineStr">
        <is>
          <t>A cargo del comprador</t>
        </is>
      </c>
      <c r="O163" s="0" t="inlineStr">
        <is>
          <t>Acepto</t>
        </is>
      </c>
      <c r="P163" s="47" t="inlineStr">
        <is>
          <t>Sin garantía</t>
        </is>
      </c>
      <c r="R163" s="0" t="inlineStr">
        <is>
          <t>Seleccionar</t>
        </is>
      </c>
      <c r="S163" s="0" t="inlineStr">
        <is>
          <t>No ofrezco</t>
        </is>
      </c>
      <c r="T163" t="n">
        <v>2000</v>
      </c>
      <c r="U163" s="0" t="inlineStr">
        <is>
          <t>Estados Unidos</t>
        </is>
      </c>
      <c r="X163" s="0" t="inlineStr">
        <is>
          <t>Níquel</t>
        </is>
      </c>
      <c r="Z163" t="inlineStr">
        <is>
          <t>1/4 Dólar</t>
        </is>
      </c>
      <c r="AA163" s="0" t="inlineStr">
        <is>
          <t>Dólar</t>
        </is>
      </c>
      <c r="AB1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3" s="53">
        <f>IF(OR(TRIM(INDIRECT("B"&amp;ROW())) &lt;&gt; "",TRIM(INDIRECT("A"&amp;ROW())) &lt;&gt; ""),AND(TRIM(INDIRECT("A"&amp;ROW())) &lt;&gt; "",TRIM(INDIRECT("D"&amp;ROW())) = "nuevo"),"")</f>
        <v/>
      </c>
    </row>
    <row r="164" ht="27.5" customHeight="1" s="62">
      <c r="B164" t="inlineStr">
        <is>
          <t>Moneda Estados Unidos 1/4 Dólar 2001</t>
        </is>
      </c>
      <c r="C164" s="0">
        <f>LEN(INDIRECT(ADDRESS(ROW() + (0),COLUMN() + (-1))))</f>
        <v/>
      </c>
      <c r="D164" s="0" t="inlineStr">
        <is>
          <t>Usado</t>
        </is>
      </c>
      <c r="E164" s="38" t="inlineStr">
        <is>
          <t>https://numismaticapopper.com/images/405A.jpeg,https://numismaticapopper.com/images/405B.jpeg</t>
        </is>
      </c>
      <c r="F164" t="inlineStr">
        <is>
          <t>413</t>
        </is>
      </c>
      <c r="G164" s="40" t="n">
        <v>1</v>
      </c>
      <c r="H164" t="n">
        <v>7000</v>
      </c>
      <c r="I164" t="inlineStr">
        <is>
          <t>Referencia de catalogo: KM# 321
Material: Cuproníquel
Vermont D</t>
        </is>
      </c>
      <c r="J164" s="31">
        <f>IF(INDIRECT(ADDRESS(ROW() + (0),COLUMN() + (1)))="Agregar cuotas", IF(("16%")="", "-", "16%"), IF(INDIRECT(ADDRESS(ROW() + (0),COLUMN() + (1)))="No agregar cuotas", IF(("16%")="", "-", "16%"), "-"))</f>
        <v/>
      </c>
      <c r="K164" s="0" t="inlineStr">
        <is>
          <t>No agregar cuotas</t>
        </is>
      </c>
      <c r="L164" s="31">
        <f>IF(INDIRECT(ADDRESS(ROW() + (0),COLUMN() + (-1)))="Agregar cuotas", IF(("13.4%")="", "Sin costo", "13.4%"), IF(INDIRECT(ADDRESS(ROW() + (0),COLUMN() + (-1)))="No agregar cuotas", IF(("")="", "Sin costo", ""), "-"))</f>
        <v/>
      </c>
      <c r="M164" s="0" t="inlineStr">
        <is>
          <t>Mercado Envíos</t>
        </is>
      </c>
      <c r="N164" s="0" t="inlineStr">
        <is>
          <t>A cargo del comprador</t>
        </is>
      </c>
      <c r="O164" s="0" t="inlineStr">
        <is>
          <t>Acepto</t>
        </is>
      </c>
      <c r="P164" s="47" t="inlineStr">
        <is>
          <t>Sin garantía</t>
        </is>
      </c>
      <c r="R164" s="0" t="inlineStr">
        <is>
          <t>Seleccionar</t>
        </is>
      </c>
      <c r="S164" s="0" t="inlineStr">
        <is>
          <t>No ofrezco</t>
        </is>
      </c>
      <c r="T164" t="n">
        <v>2001</v>
      </c>
      <c r="U164" s="0" t="inlineStr">
        <is>
          <t>Estados Unidos</t>
        </is>
      </c>
      <c r="X164" s="0" t="inlineStr">
        <is>
          <t>Níquel</t>
        </is>
      </c>
      <c r="Z164" t="inlineStr">
        <is>
          <t>1/4 Dólar</t>
        </is>
      </c>
      <c r="AA164" s="0" t="inlineStr">
        <is>
          <t>Dólar</t>
        </is>
      </c>
      <c r="AB1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4" s="53">
        <f>IF(OR(TRIM(INDIRECT("B"&amp;ROW())) &lt;&gt; "",TRIM(INDIRECT("A"&amp;ROW())) &lt;&gt; ""),AND(TRIM(INDIRECT("A"&amp;ROW())) &lt;&gt; "",TRIM(INDIRECT("D"&amp;ROW())) = "nuevo"),"")</f>
        <v/>
      </c>
    </row>
    <row r="165" ht="27.5" customHeight="1" s="62">
      <c r="B165" t="inlineStr">
        <is>
          <t>Moneda Estados Unidos 1/4 Dólar 2001</t>
        </is>
      </c>
      <c r="C165" s="0">
        <f>LEN(INDIRECT(ADDRESS(ROW() + (0),COLUMN() + (-1))))</f>
        <v/>
      </c>
      <c r="D165" s="0" t="inlineStr">
        <is>
          <t>Usado</t>
        </is>
      </c>
      <c r="E165" s="38" t="inlineStr">
        <is>
          <t>https://numismaticapopper.com/images/411A.jpeg,https://numismaticapopper.com/images/411B.jpeg</t>
        </is>
      </c>
      <c r="F165" t="inlineStr">
        <is>
          <t>414</t>
        </is>
      </c>
      <c r="G165" s="40" t="n">
        <v>1</v>
      </c>
      <c r="H165" t="n">
        <v>7000</v>
      </c>
      <c r="I165" t="inlineStr">
        <is>
          <t>Referencia de catalogo: KM# 320
Material: Cuproníquel
Rhode Island P</t>
        </is>
      </c>
      <c r="J165" s="31">
        <f>IF(INDIRECT(ADDRESS(ROW() + (0),COLUMN() + (1)))="Agregar cuotas", IF(("16%")="", "-", "16%"), IF(INDIRECT(ADDRESS(ROW() + (0),COLUMN() + (1)))="No agregar cuotas", IF(("16%")="", "-", "16%"), "-"))</f>
        <v/>
      </c>
      <c r="K165" s="0" t="inlineStr">
        <is>
          <t>No agregar cuotas</t>
        </is>
      </c>
      <c r="L165" s="31">
        <f>IF(INDIRECT(ADDRESS(ROW() + (0),COLUMN() + (-1)))="Agregar cuotas", IF(("13.4%")="", "Sin costo", "13.4%"), IF(INDIRECT(ADDRESS(ROW() + (0),COLUMN() + (-1)))="No agregar cuotas", IF(("")="", "Sin costo", ""), "-"))</f>
        <v/>
      </c>
      <c r="M165" s="0" t="inlineStr">
        <is>
          <t>Mercado Envíos</t>
        </is>
      </c>
      <c r="N165" s="0" t="inlineStr">
        <is>
          <t>A cargo del comprador</t>
        </is>
      </c>
      <c r="O165" s="0" t="inlineStr">
        <is>
          <t>Acepto</t>
        </is>
      </c>
      <c r="P165" s="47" t="inlineStr">
        <is>
          <t>Sin garantía</t>
        </is>
      </c>
      <c r="R165" s="0" t="inlineStr">
        <is>
          <t>Seleccionar</t>
        </is>
      </c>
      <c r="S165" s="0" t="inlineStr">
        <is>
          <t>No ofrezco</t>
        </is>
      </c>
      <c r="T165" t="n">
        <v>2001</v>
      </c>
      <c r="U165" s="0" t="inlineStr">
        <is>
          <t>Estados Unidos</t>
        </is>
      </c>
      <c r="X165" s="0" t="inlineStr">
        <is>
          <t>Níquel</t>
        </is>
      </c>
      <c r="Z165" t="inlineStr">
        <is>
          <t>1/4 Dólar</t>
        </is>
      </c>
      <c r="AA165" s="0" t="inlineStr">
        <is>
          <t>Dólar</t>
        </is>
      </c>
      <c r="AB1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5" s="53">
        <f>IF(OR(TRIM(INDIRECT("B"&amp;ROW())) &lt;&gt; "",TRIM(INDIRECT("A"&amp;ROW())) &lt;&gt; ""),AND(TRIM(INDIRECT("A"&amp;ROW())) &lt;&gt; "",TRIM(INDIRECT("D"&amp;ROW())) = "nuevo"),"")</f>
        <v/>
      </c>
    </row>
    <row r="166" ht="27.5" customHeight="1" s="62">
      <c r="B166" t="inlineStr">
        <is>
          <t>Moneda Estados Unidos 1/4 Dólar 2001</t>
        </is>
      </c>
      <c r="C166" s="0">
        <f>LEN(INDIRECT(ADDRESS(ROW() + (0),COLUMN() + (-1))))</f>
        <v/>
      </c>
      <c r="D166" s="0" t="inlineStr">
        <is>
          <t>Usado</t>
        </is>
      </c>
      <c r="E166" s="38" t="inlineStr">
        <is>
          <t>https://numismaticapopper.com/images/413A.jpeg,https://numismaticapopper.com/images/413B.jpeg</t>
        </is>
      </c>
      <c r="F166" t="inlineStr">
        <is>
          <t>415</t>
        </is>
      </c>
      <c r="G166" s="40" t="n">
        <v>1</v>
      </c>
      <c r="H166" t="n">
        <v>8000</v>
      </c>
      <c r="I166" t="inlineStr">
        <is>
          <t>Referencia de catalogo: KM# 318
Material: Cuproníquel
New York D</t>
        </is>
      </c>
      <c r="J166" s="31">
        <f>IF(INDIRECT(ADDRESS(ROW() + (0),COLUMN() + (1)))="Agregar cuotas", IF(("16%")="", "-", "16%"), IF(INDIRECT(ADDRESS(ROW() + (0),COLUMN() + (1)))="No agregar cuotas", IF(("16%")="", "-", "16%"), "-"))</f>
        <v/>
      </c>
      <c r="K166" s="0" t="inlineStr">
        <is>
          <t>No agregar cuotas</t>
        </is>
      </c>
      <c r="L166" s="31">
        <f>IF(INDIRECT(ADDRESS(ROW() + (0),COLUMN() + (-1)))="Agregar cuotas", IF(("13.4%")="", "Sin costo", "13.4%"), IF(INDIRECT(ADDRESS(ROW() + (0),COLUMN() + (-1)))="No agregar cuotas", IF(("")="", "Sin costo", ""), "-"))</f>
        <v/>
      </c>
      <c r="M166" s="0" t="inlineStr">
        <is>
          <t>Mercado Envíos</t>
        </is>
      </c>
      <c r="N166" s="0" t="inlineStr">
        <is>
          <t>A cargo del comprador</t>
        </is>
      </c>
      <c r="O166" s="0" t="inlineStr">
        <is>
          <t>Acepto</t>
        </is>
      </c>
      <c r="P166" s="47" t="inlineStr">
        <is>
          <t>Sin garantía</t>
        </is>
      </c>
      <c r="R166" s="0" t="inlineStr">
        <is>
          <t>Seleccionar</t>
        </is>
      </c>
      <c r="S166" s="0" t="inlineStr">
        <is>
          <t>No ofrezco</t>
        </is>
      </c>
      <c r="T166" t="n">
        <v>2001</v>
      </c>
      <c r="U166" s="0" t="inlineStr">
        <is>
          <t>Estados Unidos</t>
        </is>
      </c>
      <c r="X166" s="0" t="inlineStr">
        <is>
          <t>Níquel</t>
        </is>
      </c>
      <c r="Z166" t="inlineStr">
        <is>
          <t>1/4 Dólar</t>
        </is>
      </c>
      <c r="AA166" s="0" t="inlineStr">
        <is>
          <t>Dólar</t>
        </is>
      </c>
      <c r="AB1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6" s="53">
        <f>IF(OR(TRIM(INDIRECT("B"&amp;ROW())) &lt;&gt; "",TRIM(INDIRECT("A"&amp;ROW())) &lt;&gt; ""),AND(TRIM(INDIRECT("A"&amp;ROW())) &lt;&gt; "",TRIM(INDIRECT("D"&amp;ROW())) = "nuevo"),"")</f>
        <v/>
      </c>
    </row>
    <row r="167" ht="27.5" customHeight="1" s="62">
      <c r="B167" t="inlineStr">
        <is>
          <t>Moneda Estados Unidos 1/4 Dólar 2001</t>
        </is>
      </c>
      <c r="C167" s="0">
        <f>LEN(INDIRECT(ADDRESS(ROW() + (0),COLUMN() + (-1))))</f>
        <v/>
      </c>
      <c r="D167" s="0" t="inlineStr">
        <is>
          <t>Usado</t>
        </is>
      </c>
      <c r="E167" s="38" t="inlineStr">
        <is>
          <t>https://numismaticapopper.com/images/416A.jpeg,https://numismaticapopper.com/images/416B.jpeg</t>
        </is>
      </c>
      <c r="F167" t="inlineStr">
        <is>
          <t>416</t>
        </is>
      </c>
      <c r="G167" s="40" t="n">
        <v>1</v>
      </c>
      <c r="H167" t="n">
        <v>7000</v>
      </c>
      <c r="I167" t="inlineStr">
        <is>
          <t>Referencia de catalogo: KM# 321
Material: Cuproníquel
Vermont P</t>
        </is>
      </c>
      <c r="J167" s="31">
        <f>IF(INDIRECT(ADDRESS(ROW() + (0),COLUMN() + (1)))="Agregar cuotas", IF(("16%")="", "-", "16%"), IF(INDIRECT(ADDRESS(ROW() + (0),COLUMN() + (1)))="No agregar cuotas", IF(("16%")="", "-", "16%"), "-"))</f>
        <v/>
      </c>
      <c r="K167" s="0" t="inlineStr">
        <is>
          <t>No agregar cuotas</t>
        </is>
      </c>
      <c r="L167" s="31">
        <f>IF(INDIRECT(ADDRESS(ROW() + (0),COLUMN() + (-1)))="Agregar cuotas", IF(("13.4%")="", "Sin costo", "13.4%"), IF(INDIRECT(ADDRESS(ROW() + (0),COLUMN() + (-1)))="No agregar cuotas", IF(("")="", "Sin costo", ""), "-"))</f>
        <v/>
      </c>
      <c r="M167" s="0" t="inlineStr">
        <is>
          <t>Mercado Envíos</t>
        </is>
      </c>
      <c r="N167" s="0" t="inlineStr">
        <is>
          <t>A cargo del comprador</t>
        </is>
      </c>
      <c r="O167" s="0" t="inlineStr">
        <is>
          <t>Acepto</t>
        </is>
      </c>
      <c r="P167" s="47" t="inlineStr">
        <is>
          <t>Sin garantía</t>
        </is>
      </c>
      <c r="R167" s="0" t="inlineStr">
        <is>
          <t>Seleccionar</t>
        </is>
      </c>
      <c r="S167" s="0" t="inlineStr">
        <is>
          <t>No ofrezco</t>
        </is>
      </c>
      <c r="T167" t="n">
        <v>2001</v>
      </c>
      <c r="U167" s="0" t="inlineStr">
        <is>
          <t>Estados Unidos</t>
        </is>
      </c>
      <c r="X167" s="0" t="inlineStr">
        <is>
          <t>Níquel</t>
        </is>
      </c>
      <c r="Z167" t="inlineStr">
        <is>
          <t>1/4 Dólar</t>
        </is>
      </c>
      <c r="AA167" s="0" t="inlineStr">
        <is>
          <t>Dólar</t>
        </is>
      </c>
      <c r="AB1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7" s="53">
        <f>IF(OR(TRIM(INDIRECT("B"&amp;ROW())) &lt;&gt; "",TRIM(INDIRECT("A"&amp;ROW())) &lt;&gt; ""),AND(TRIM(INDIRECT("A"&amp;ROW())) &lt;&gt; "",TRIM(INDIRECT("D"&amp;ROW())) = "nuevo"),"")</f>
        <v/>
      </c>
    </row>
    <row r="168" ht="27.5" customHeight="1" s="62">
      <c r="B168" t="inlineStr">
        <is>
          <t>Moneda Estados Unidos 1/4 Dólar 2001</t>
        </is>
      </c>
      <c r="C168" s="0">
        <f>LEN(INDIRECT(ADDRESS(ROW() + (0),COLUMN() + (-1))))</f>
        <v/>
      </c>
      <c r="D168" s="0" t="inlineStr">
        <is>
          <t>Usado</t>
        </is>
      </c>
      <c r="E168" s="38" t="inlineStr">
        <is>
          <t>https://numismaticapopper.com/images/418A.jpeg,https://numismaticapopper.com/images/418B.jpeg</t>
        </is>
      </c>
      <c r="F168" t="inlineStr">
        <is>
          <t>417</t>
        </is>
      </c>
      <c r="G168" s="40" t="n">
        <v>1</v>
      </c>
      <c r="H168" t="n">
        <v>7000</v>
      </c>
      <c r="I168" t="inlineStr">
        <is>
          <t>Referencia de catalogo: KM# 322
Material: Cuproníquel
Kentucky D</t>
        </is>
      </c>
      <c r="J168" s="31">
        <f>IF(INDIRECT(ADDRESS(ROW() + (0),COLUMN() + (1)))="Agregar cuotas", IF(("16%")="", "-", "16%"), IF(INDIRECT(ADDRESS(ROW() + (0),COLUMN() + (1)))="No agregar cuotas", IF(("16%")="", "-", "16%"), "-"))</f>
        <v/>
      </c>
      <c r="K168" s="0" t="inlineStr">
        <is>
          <t>No agregar cuotas</t>
        </is>
      </c>
      <c r="L168" s="31">
        <f>IF(INDIRECT(ADDRESS(ROW() + (0),COLUMN() + (-1)))="Agregar cuotas", IF(("13.4%")="", "Sin costo", "13.4%"), IF(INDIRECT(ADDRESS(ROW() + (0),COLUMN() + (-1)))="No agregar cuotas", IF(("")="", "Sin costo", ""), "-"))</f>
        <v/>
      </c>
      <c r="M168" s="0" t="inlineStr">
        <is>
          <t>Mercado Envíos</t>
        </is>
      </c>
      <c r="N168" s="0" t="inlineStr">
        <is>
          <t>A cargo del comprador</t>
        </is>
      </c>
      <c r="O168" s="0" t="inlineStr">
        <is>
          <t>Acepto</t>
        </is>
      </c>
      <c r="P168" s="47" t="inlineStr">
        <is>
          <t>Sin garantía</t>
        </is>
      </c>
      <c r="R168" s="0" t="inlineStr">
        <is>
          <t>Seleccionar</t>
        </is>
      </c>
      <c r="S168" s="0" t="inlineStr">
        <is>
          <t>No ofrezco</t>
        </is>
      </c>
      <c r="T168" t="n">
        <v>2001</v>
      </c>
      <c r="U168" s="0" t="inlineStr">
        <is>
          <t>Estados Unidos</t>
        </is>
      </c>
      <c r="X168" s="0" t="inlineStr">
        <is>
          <t>Níquel</t>
        </is>
      </c>
      <c r="Z168" t="inlineStr">
        <is>
          <t>1/4 Dólar</t>
        </is>
      </c>
      <c r="AA168" s="0" t="inlineStr">
        <is>
          <t>Dólar</t>
        </is>
      </c>
      <c r="AB1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8" s="53">
        <f>IF(OR(TRIM(INDIRECT("B"&amp;ROW())) &lt;&gt; "",TRIM(INDIRECT("A"&amp;ROW())) &lt;&gt; ""),AND(TRIM(INDIRECT("A"&amp;ROW())) &lt;&gt; "",TRIM(INDIRECT("D"&amp;ROW())) = "nuevo"),"")</f>
        <v/>
      </c>
    </row>
    <row r="169" ht="27.5" customHeight="1" s="62">
      <c r="B169" t="inlineStr">
        <is>
          <t>Moneda Estados Unidos 1/4 Dólar 2001</t>
        </is>
      </c>
      <c r="C169" s="0">
        <f>LEN(INDIRECT(ADDRESS(ROW() + (0),COLUMN() + (-1))))</f>
        <v/>
      </c>
      <c r="D169" s="0" t="inlineStr">
        <is>
          <t>Usado</t>
        </is>
      </c>
      <c r="E169" s="38" t="inlineStr">
        <is>
          <t>https://numismaticapopper.com/images/485A.jpeg,https://numismaticapopper.com/images/485B.jpeg</t>
        </is>
      </c>
      <c r="F169" t="inlineStr">
        <is>
          <t>418</t>
        </is>
      </c>
      <c r="G169" s="40" t="n">
        <v>1</v>
      </c>
      <c r="H169" t="n">
        <v>7000</v>
      </c>
      <c r="I169" t="inlineStr">
        <is>
          <t>Referencia de catalogo: KM# 319
Material: Cuproníquel
North Carolina D</t>
        </is>
      </c>
      <c r="J169" s="31">
        <f>IF(INDIRECT(ADDRESS(ROW() + (0),COLUMN() + (1)))="Agregar cuotas", IF(("16%")="", "-", "16%"), IF(INDIRECT(ADDRESS(ROW() + (0),COLUMN() + (1)))="No agregar cuotas", IF(("16%")="", "-", "16%"), "-"))</f>
        <v/>
      </c>
      <c r="K169" s="0" t="inlineStr">
        <is>
          <t>No agregar cuotas</t>
        </is>
      </c>
      <c r="L169" s="31">
        <f>IF(INDIRECT(ADDRESS(ROW() + (0),COLUMN() + (-1)))="Agregar cuotas", IF(("13.4%")="", "Sin costo", "13.4%"), IF(INDIRECT(ADDRESS(ROW() + (0),COLUMN() + (-1)))="No agregar cuotas", IF(("")="", "Sin costo", ""), "-"))</f>
        <v/>
      </c>
      <c r="M169" s="0" t="inlineStr">
        <is>
          <t>Mercado Envíos</t>
        </is>
      </c>
      <c r="N169" s="0" t="inlineStr">
        <is>
          <t>A cargo del comprador</t>
        </is>
      </c>
      <c r="O169" s="0" t="inlineStr">
        <is>
          <t>Acepto</t>
        </is>
      </c>
      <c r="P169" s="47" t="inlineStr">
        <is>
          <t>Sin garantía</t>
        </is>
      </c>
      <c r="R169" s="0" t="inlineStr">
        <is>
          <t>Seleccionar</t>
        </is>
      </c>
      <c r="S169" s="0" t="inlineStr">
        <is>
          <t>No ofrezco</t>
        </is>
      </c>
      <c r="T169" t="n">
        <v>2001</v>
      </c>
      <c r="U169" s="0" t="inlineStr">
        <is>
          <t>Estados Unidos</t>
        </is>
      </c>
      <c r="X169" s="0" t="inlineStr">
        <is>
          <t>Níquel</t>
        </is>
      </c>
      <c r="Z169" t="inlineStr">
        <is>
          <t>1/4 Dólar</t>
        </is>
      </c>
      <c r="AA169" s="0" t="inlineStr">
        <is>
          <t>Dólar</t>
        </is>
      </c>
      <c r="AB1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69" s="53">
        <f>IF(OR(TRIM(INDIRECT("B"&amp;ROW())) &lt;&gt; "",TRIM(INDIRECT("A"&amp;ROW())) &lt;&gt; ""),AND(TRIM(INDIRECT("A"&amp;ROW())) &lt;&gt; "",TRIM(INDIRECT("D"&amp;ROW())) = "nuevo"),"")</f>
        <v/>
      </c>
    </row>
    <row r="170" ht="27.5" customHeight="1" s="62">
      <c r="B170" t="inlineStr">
        <is>
          <t>Moneda Estados Unidos 1/4 Dólar 2001</t>
        </is>
      </c>
      <c r="C170" s="0">
        <f>LEN(INDIRECT(ADDRESS(ROW() + (0),COLUMN() + (-1))))</f>
        <v/>
      </c>
      <c r="D170" s="0" t="inlineStr">
        <is>
          <t>Usado</t>
        </is>
      </c>
      <c r="E170" s="38" t="inlineStr">
        <is>
          <t>https://numismaticapopper.com/images/490A.jpeg,https://numismaticapopper.com/images/490B.jpeg</t>
        </is>
      </c>
      <c r="F170" t="inlineStr">
        <is>
          <t>419</t>
        </is>
      </c>
      <c r="G170" s="40" t="n">
        <v>1</v>
      </c>
      <c r="H170" t="n">
        <v>8000</v>
      </c>
      <c r="I170" t="inlineStr">
        <is>
          <t>Referencia de catalogo: KM# 318
Material: Cuproníquel
New York P</t>
        </is>
      </c>
      <c r="J170" s="31">
        <f>IF(INDIRECT(ADDRESS(ROW() + (0),COLUMN() + (1)))="Agregar cuotas", IF(("16%")="", "-", "16%"), IF(INDIRECT(ADDRESS(ROW() + (0),COLUMN() + (1)))="No agregar cuotas", IF(("16%")="", "-", "16%"), "-"))</f>
        <v/>
      </c>
      <c r="K170" s="0" t="inlineStr">
        <is>
          <t>No agregar cuotas</t>
        </is>
      </c>
      <c r="L170" s="31">
        <f>IF(INDIRECT(ADDRESS(ROW() + (0),COLUMN() + (-1)))="Agregar cuotas", IF(("13.4%")="", "Sin costo", "13.4%"), IF(INDIRECT(ADDRESS(ROW() + (0),COLUMN() + (-1)))="No agregar cuotas", IF(("")="", "Sin costo", ""), "-"))</f>
        <v/>
      </c>
      <c r="M170" s="0" t="inlineStr">
        <is>
          <t>Mercado Envíos</t>
        </is>
      </c>
      <c r="N170" s="0" t="inlineStr">
        <is>
          <t>A cargo del comprador</t>
        </is>
      </c>
      <c r="O170" s="0" t="inlineStr">
        <is>
          <t>Acepto</t>
        </is>
      </c>
      <c r="P170" s="47" t="inlineStr">
        <is>
          <t>Sin garantía</t>
        </is>
      </c>
      <c r="R170" s="0" t="inlineStr">
        <is>
          <t>Seleccionar</t>
        </is>
      </c>
      <c r="S170" s="0" t="inlineStr">
        <is>
          <t>No ofrezco</t>
        </is>
      </c>
      <c r="T170" t="n">
        <v>2001</v>
      </c>
      <c r="U170" s="0" t="inlineStr">
        <is>
          <t>Estados Unidos</t>
        </is>
      </c>
      <c r="X170" s="0" t="inlineStr">
        <is>
          <t>Níquel</t>
        </is>
      </c>
      <c r="Z170" t="inlineStr">
        <is>
          <t>1/4 Dólar</t>
        </is>
      </c>
      <c r="AA170" s="0" t="inlineStr">
        <is>
          <t>Dólar</t>
        </is>
      </c>
      <c r="AB1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0" s="53">
        <f>IF(OR(TRIM(INDIRECT("B"&amp;ROW())) &lt;&gt; "",TRIM(INDIRECT("A"&amp;ROW())) &lt;&gt; ""),AND(TRIM(INDIRECT("A"&amp;ROW())) &lt;&gt; "",TRIM(INDIRECT("D"&amp;ROW())) = "nuevo"),"")</f>
        <v/>
      </c>
    </row>
    <row r="171" ht="27.5" customHeight="1" s="62">
      <c r="B171" t="inlineStr">
        <is>
          <t>Moneda Estados Unidos 1/4 Dólar 2003</t>
        </is>
      </c>
      <c r="C171" s="0">
        <f>LEN(INDIRECT(ADDRESS(ROW() + (0),COLUMN() + (-1))))</f>
        <v/>
      </c>
      <c r="D171" s="0" t="inlineStr">
        <is>
          <t>Usado</t>
        </is>
      </c>
      <c r="E171" s="38" t="inlineStr">
        <is>
          <t>https://numismaticapopper.com/images/410A.jpeg,https://numismaticapopper.com/images/410B.jpeg</t>
        </is>
      </c>
      <c r="F171" t="inlineStr">
        <is>
          <t>420</t>
        </is>
      </c>
      <c r="G171" s="40" t="n">
        <v>1</v>
      </c>
      <c r="H171" t="n">
        <v>7000</v>
      </c>
      <c r="I171" t="inlineStr">
        <is>
          <t>Referencia de catalogo: KM# 344
Material: Cuproníquel
Alabama D</t>
        </is>
      </c>
      <c r="J171" s="31">
        <f>IF(INDIRECT(ADDRESS(ROW() + (0),COLUMN() + (1)))="Agregar cuotas", IF(("16%")="", "-", "16%"), IF(INDIRECT(ADDRESS(ROW() + (0),COLUMN() + (1)))="No agregar cuotas", IF(("16%")="", "-", "16%"), "-"))</f>
        <v/>
      </c>
      <c r="K171" s="0" t="inlineStr">
        <is>
          <t>No agregar cuotas</t>
        </is>
      </c>
      <c r="L171" s="31">
        <f>IF(INDIRECT(ADDRESS(ROW() + (0),COLUMN() + (-1)))="Agregar cuotas", IF(("13.4%")="", "Sin costo", "13.4%"), IF(INDIRECT(ADDRESS(ROW() + (0),COLUMN() + (-1)))="No agregar cuotas", IF(("")="", "Sin costo", ""), "-"))</f>
        <v/>
      </c>
      <c r="M171" s="0" t="inlineStr">
        <is>
          <t>Mercado Envíos</t>
        </is>
      </c>
      <c r="N171" s="0" t="inlineStr">
        <is>
          <t>A cargo del comprador</t>
        </is>
      </c>
      <c r="O171" s="0" t="inlineStr">
        <is>
          <t>Acepto</t>
        </is>
      </c>
      <c r="P171" s="47" t="inlineStr">
        <is>
          <t>Sin garantía</t>
        </is>
      </c>
      <c r="R171" s="0" t="inlineStr">
        <is>
          <t>Seleccionar</t>
        </is>
      </c>
      <c r="S171" s="0" t="inlineStr">
        <is>
          <t>No ofrezco</t>
        </is>
      </c>
      <c r="T171" t="n">
        <v>2003</v>
      </c>
      <c r="U171" s="0" t="inlineStr">
        <is>
          <t>Estados Unidos</t>
        </is>
      </c>
      <c r="X171" s="0" t="inlineStr">
        <is>
          <t>Níquel</t>
        </is>
      </c>
      <c r="Z171" t="inlineStr">
        <is>
          <t>1/4 Dólar</t>
        </is>
      </c>
      <c r="AA171" s="0" t="inlineStr">
        <is>
          <t>Dólar</t>
        </is>
      </c>
      <c r="AB1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1" s="53">
        <f>IF(OR(TRIM(INDIRECT("B"&amp;ROW())) &lt;&gt; "",TRIM(INDIRECT("A"&amp;ROW())) &lt;&gt; ""),AND(TRIM(INDIRECT("A"&amp;ROW())) &lt;&gt; "",TRIM(INDIRECT("D"&amp;ROW())) = "nuevo"),"")</f>
        <v/>
      </c>
    </row>
    <row r="172" ht="27.5" customHeight="1" s="62">
      <c r="B172" t="inlineStr">
        <is>
          <t>Moneda Estados Unidos 1/4 Dólar 2004</t>
        </is>
      </c>
      <c r="C172" s="0">
        <f>LEN(INDIRECT(ADDRESS(ROW() + (0),COLUMN() + (-1))))</f>
        <v/>
      </c>
      <c r="D172" s="0" t="inlineStr">
        <is>
          <t>Usado</t>
        </is>
      </c>
      <c r="E172" s="38" t="inlineStr">
        <is>
          <t>https://numismaticapopper.com/images/491A.jpeg,https://numismaticapopper.com/images/491B.jpeg</t>
        </is>
      </c>
      <c r="F172" t="inlineStr">
        <is>
          <t>421</t>
        </is>
      </c>
      <c r="G172" s="40" t="n">
        <v>1</v>
      </c>
      <c r="H172" t="n">
        <v>7000</v>
      </c>
      <c r="I172" t="inlineStr">
        <is>
          <t>Referencia de catalogo: KM# 356
Material: Cuproníquel
Florida P</t>
        </is>
      </c>
      <c r="J172" s="31">
        <f>IF(INDIRECT(ADDRESS(ROW() + (0),COLUMN() + (1)))="Agregar cuotas", IF(("16%")="", "-", "16%"), IF(INDIRECT(ADDRESS(ROW() + (0),COLUMN() + (1)))="No agregar cuotas", IF(("16%")="", "-", "16%"), "-"))</f>
        <v/>
      </c>
      <c r="K172" s="0" t="inlineStr">
        <is>
          <t>No agregar cuotas</t>
        </is>
      </c>
      <c r="L172" s="31">
        <f>IF(INDIRECT(ADDRESS(ROW() + (0),COLUMN() + (-1)))="Agregar cuotas", IF(("13.4%")="", "Sin costo", "13.4%"), IF(INDIRECT(ADDRESS(ROW() + (0),COLUMN() + (-1)))="No agregar cuotas", IF(("")="", "Sin costo", ""), "-"))</f>
        <v/>
      </c>
      <c r="M172" s="0" t="inlineStr">
        <is>
          <t>Mercado Envíos</t>
        </is>
      </c>
      <c r="N172" s="0" t="inlineStr">
        <is>
          <t>A cargo del comprador</t>
        </is>
      </c>
      <c r="O172" s="0" t="inlineStr">
        <is>
          <t>Acepto</t>
        </is>
      </c>
      <c r="P172" s="47" t="inlineStr">
        <is>
          <t>Sin garantía</t>
        </is>
      </c>
      <c r="R172" s="0" t="inlineStr">
        <is>
          <t>Seleccionar</t>
        </is>
      </c>
      <c r="S172" s="0" t="inlineStr">
        <is>
          <t>No ofrezco</t>
        </is>
      </c>
      <c r="T172" t="n">
        <v>2004</v>
      </c>
      <c r="U172" s="0" t="inlineStr">
        <is>
          <t>Estados Unidos</t>
        </is>
      </c>
      <c r="X172" s="0" t="inlineStr">
        <is>
          <t>Níquel</t>
        </is>
      </c>
      <c r="Z172" t="inlineStr">
        <is>
          <t>1/4 Dólar</t>
        </is>
      </c>
      <c r="AA172" s="0" t="inlineStr">
        <is>
          <t>Dólar</t>
        </is>
      </c>
      <c r="AB1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2" s="53">
        <f>IF(OR(TRIM(INDIRECT("B"&amp;ROW())) &lt;&gt; "",TRIM(INDIRECT("A"&amp;ROW())) &lt;&gt; ""),AND(TRIM(INDIRECT("A"&amp;ROW())) &lt;&gt; "",TRIM(INDIRECT("D"&amp;ROW())) = "nuevo"),"")</f>
        <v/>
      </c>
    </row>
    <row r="173" ht="27.5" customHeight="1" s="62">
      <c r="B173" t="inlineStr">
        <is>
          <t>Moneda Estados Unidos 1/4 Dólar 2005</t>
        </is>
      </c>
      <c r="C173" s="0">
        <f>LEN(INDIRECT(ADDRESS(ROW() + (0),COLUMN() + (-1))))</f>
        <v/>
      </c>
      <c r="D173" s="0" t="inlineStr">
        <is>
          <t>Usado</t>
        </is>
      </c>
      <c r="E173" s="38" t="inlineStr">
        <is>
          <t>https://numismaticapopper.com/images/415A.jpeg,https://numismaticapopper.com/images/415B.jpeg</t>
        </is>
      </c>
      <c r="F173" t="inlineStr">
        <is>
          <t>422</t>
        </is>
      </c>
      <c r="G173" s="40" t="n">
        <v>1</v>
      </c>
      <c r="H173" t="n">
        <v>7000</v>
      </c>
      <c r="I173" t="inlineStr">
        <is>
          <t>Referencia de catalogo: KM# 373
Material: Cuproníquel
Kansas D</t>
        </is>
      </c>
      <c r="J173" s="31">
        <f>IF(INDIRECT(ADDRESS(ROW() + (0),COLUMN() + (1)))="Agregar cuotas", IF(("16%")="", "-", "16%"), IF(INDIRECT(ADDRESS(ROW() + (0),COLUMN() + (1)))="No agregar cuotas", IF(("16%")="", "-", "16%"), "-"))</f>
        <v/>
      </c>
      <c r="K173" s="0" t="inlineStr">
        <is>
          <t>No agregar cuotas</t>
        </is>
      </c>
      <c r="L173" s="31">
        <f>IF(INDIRECT(ADDRESS(ROW() + (0),COLUMN() + (-1)))="Agregar cuotas", IF(("13.4%")="", "Sin costo", "13.4%"), IF(INDIRECT(ADDRESS(ROW() + (0),COLUMN() + (-1)))="No agregar cuotas", IF(("")="", "Sin costo", ""), "-"))</f>
        <v/>
      </c>
      <c r="M173" s="0" t="inlineStr">
        <is>
          <t>Mercado Envíos</t>
        </is>
      </c>
      <c r="N173" s="0" t="inlineStr">
        <is>
          <t>A cargo del comprador</t>
        </is>
      </c>
      <c r="O173" s="0" t="inlineStr">
        <is>
          <t>Acepto</t>
        </is>
      </c>
      <c r="P173" s="47" t="inlineStr">
        <is>
          <t>Sin garantía</t>
        </is>
      </c>
      <c r="R173" s="0" t="inlineStr">
        <is>
          <t>Seleccionar</t>
        </is>
      </c>
      <c r="S173" s="0" t="inlineStr">
        <is>
          <t>No ofrezco</t>
        </is>
      </c>
      <c r="T173" t="n">
        <v>2005</v>
      </c>
      <c r="U173" s="0" t="inlineStr">
        <is>
          <t>Estados Unidos</t>
        </is>
      </c>
      <c r="X173" s="0" t="inlineStr">
        <is>
          <t>Níquel</t>
        </is>
      </c>
      <c r="Z173" t="inlineStr">
        <is>
          <t>1/4 Dólar</t>
        </is>
      </c>
      <c r="AA173" s="0" t="inlineStr">
        <is>
          <t>Dólar</t>
        </is>
      </c>
      <c r="AB1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3" s="53">
        <f>IF(OR(TRIM(INDIRECT("B"&amp;ROW())) &lt;&gt; "",TRIM(INDIRECT("A"&amp;ROW())) &lt;&gt; ""),AND(TRIM(INDIRECT("A"&amp;ROW())) &lt;&gt; "",TRIM(INDIRECT("D"&amp;ROW())) = "nuevo"),"")</f>
        <v/>
      </c>
    </row>
    <row r="174" ht="27.5" customHeight="1" s="62">
      <c r="B174" t="inlineStr">
        <is>
          <t>Moneda Estados Unidos 1/4 Dólar 2005</t>
        </is>
      </c>
      <c r="C174" s="0">
        <f>LEN(INDIRECT(ADDRESS(ROW() + (0),COLUMN() + (-1))))</f>
        <v/>
      </c>
      <c r="D174" s="0" t="inlineStr">
        <is>
          <t>Usado</t>
        </is>
      </c>
      <c r="E174" s="38" t="inlineStr">
        <is>
          <t>https://numismaticapopper.com/images/487A.jpeg,https://numismaticapopper.com/images/487B.jpeg</t>
        </is>
      </c>
      <c r="F174" t="inlineStr">
        <is>
          <t>423</t>
        </is>
      </c>
      <c r="G174" s="40" t="n">
        <v>1</v>
      </c>
      <c r="H174" t="n">
        <v>7000</v>
      </c>
      <c r="I174" t="inlineStr">
        <is>
          <t>Referencia de catalogo: KM# 374
Material: Cuproníquel
West Virginia P</t>
        </is>
      </c>
      <c r="J174" s="31">
        <f>IF(INDIRECT(ADDRESS(ROW() + (0),COLUMN() + (1)))="Agregar cuotas", IF(("16%")="", "-", "16%"), IF(INDIRECT(ADDRESS(ROW() + (0),COLUMN() + (1)))="No agregar cuotas", IF(("16%")="", "-", "16%"), "-"))</f>
        <v/>
      </c>
      <c r="K174" s="0" t="inlineStr">
        <is>
          <t>No agregar cuotas</t>
        </is>
      </c>
      <c r="L174" s="31">
        <f>IF(INDIRECT(ADDRESS(ROW() + (0),COLUMN() + (-1)))="Agregar cuotas", IF(("13.4%")="", "Sin costo", "13.4%"), IF(INDIRECT(ADDRESS(ROW() + (0),COLUMN() + (-1)))="No agregar cuotas", IF(("")="", "Sin costo", ""), "-"))</f>
        <v/>
      </c>
      <c r="M174" s="0" t="inlineStr">
        <is>
          <t>Mercado Envíos</t>
        </is>
      </c>
      <c r="N174" s="0" t="inlineStr">
        <is>
          <t>A cargo del comprador</t>
        </is>
      </c>
      <c r="O174" s="0" t="inlineStr">
        <is>
          <t>Acepto</t>
        </is>
      </c>
      <c r="P174" s="47" t="inlineStr">
        <is>
          <t>Sin garantía</t>
        </is>
      </c>
      <c r="R174" s="0" t="inlineStr">
        <is>
          <t>Seleccionar</t>
        </is>
      </c>
      <c r="S174" s="0" t="inlineStr">
        <is>
          <t>No ofrezco</t>
        </is>
      </c>
      <c r="T174" t="n">
        <v>2005</v>
      </c>
      <c r="U174" s="0" t="inlineStr">
        <is>
          <t>Estados Unidos</t>
        </is>
      </c>
      <c r="X174" s="0" t="inlineStr">
        <is>
          <t>Níquel</t>
        </is>
      </c>
      <c r="Z174" t="inlineStr">
        <is>
          <t>1/4 Dólar</t>
        </is>
      </c>
      <c r="AA174" s="0" t="inlineStr">
        <is>
          <t>Dólar</t>
        </is>
      </c>
      <c r="AB1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4" s="53">
        <f>IF(OR(TRIM(INDIRECT("B"&amp;ROW())) &lt;&gt; "",TRIM(INDIRECT("A"&amp;ROW())) &lt;&gt; ""),AND(TRIM(INDIRECT("A"&amp;ROW())) &lt;&gt; "",TRIM(INDIRECT("D"&amp;ROW())) = "nuevo"),"")</f>
        <v/>
      </c>
    </row>
    <row r="175" ht="27.5" customHeight="1" s="62">
      <c r="B175" t="inlineStr">
        <is>
          <t>Moneda Estados Unidos 1/4 Dólar 2005</t>
        </is>
      </c>
      <c r="C175" s="0">
        <f>LEN(INDIRECT(ADDRESS(ROW() + (0),COLUMN() + (-1))))</f>
        <v/>
      </c>
      <c r="D175" s="0" t="inlineStr">
        <is>
          <t>Usado</t>
        </is>
      </c>
      <c r="E175" s="38" t="inlineStr">
        <is>
          <t>https://numismaticapopper.com/images/488A.jpeg,https://numismaticapopper.com/images/488B.jpeg</t>
        </is>
      </c>
      <c r="F175" t="inlineStr">
        <is>
          <t>424</t>
        </is>
      </c>
      <c r="G175" s="40" t="n">
        <v>1</v>
      </c>
      <c r="H175" t="n">
        <v>7000</v>
      </c>
      <c r="I175" t="inlineStr">
        <is>
          <t>Referencia de catalogo: KM# 374
Material: Cuproníquel
West Virginia D</t>
        </is>
      </c>
      <c r="J175" s="31">
        <f>IF(INDIRECT(ADDRESS(ROW() + (0),COLUMN() + (1)))="Agregar cuotas", IF(("16%")="", "-", "16%"), IF(INDIRECT(ADDRESS(ROW() + (0),COLUMN() + (1)))="No agregar cuotas", IF(("16%")="", "-", "16%"), "-"))</f>
        <v/>
      </c>
      <c r="K175" s="0" t="inlineStr">
        <is>
          <t>No agregar cuotas</t>
        </is>
      </c>
      <c r="L175" s="31">
        <f>IF(INDIRECT(ADDRESS(ROW() + (0),COLUMN() + (-1)))="Agregar cuotas", IF(("13.4%")="", "Sin costo", "13.4%"), IF(INDIRECT(ADDRESS(ROW() + (0),COLUMN() + (-1)))="No agregar cuotas", IF(("")="", "Sin costo", ""), "-"))</f>
        <v/>
      </c>
      <c r="M175" s="0" t="inlineStr">
        <is>
          <t>Mercado Envíos</t>
        </is>
      </c>
      <c r="N175" s="0" t="inlineStr">
        <is>
          <t>A cargo del comprador</t>
        </is>
      </c>
      <c r="O175" s="0" t="inlineStr">
        <is>
          <t>Acepto</t>
        </is>
      </c>
      <c r="P175" s="47" t="inlineStr">
        <is>
          <t>Sin garantía</t>
        </is>
      </c>
      <c r="R175" s="0" t="inlineStr">
        <is>
          <t>Seleccionar</t>
        </is>
      </c>
      <c r="S175" s="0" t="inlineStr">
        <is>
          <t>No ofrezco</t>
        </is>
      </c>
      <c r="T175" t="n">
        <v>2005</v>
      </c>
      <c r="U175" s="0" t="inlineStr">
        <is>
          <t>Estados Unidos</t>
        </is>
      </c>
      <c r="X175" s="0" t="inlineStr">
        <is>
          <t>Níquel</t>
        </is>
      </c>
      <c r="Z175" t="inlineStr">
        <is>
          <t>1/4 Dólar</t>
        </is>
      </c>
      <c r="AA175" s="0" t="inlineStr">
        <is>
          <t>Dólar</t>
        </is>
      </c>
      <c r="AB1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5" s="53">
        <f>IF(OR(TRIM(INDIRECT("B"&amp;ROW())) &lt;&gt; "",TRIM(INDIRECT("A"&amp;ROW())) &lt;&gt; ""),AND(TRIM(INDIRECT("A"&amp;ROW())) &lt;&gt; "",TRIM(INDIRECT("D"&amp;ROW())) = "nuevo"),"")</f>
        <v/>
      </c>
    </row>
    <row r="176" ht="27.5" customHeight="1" s="62">
      <c r="B176" t="inlineStr">
        <is>
          <t>Moneda Estados Unidos 1/4 Dólar 2005</t>
        </is>
      </c>
      <c r="C176" s="0">
        <f>LEN(INDIRECT(ADDRESS(ROW() + (0),COLUMN() + (-1))))</f>
        <v/>
      </c>
      <c r="D176" s="0" t="inlineStr">
        <is>
          <t>Usado</t>
        </is>
      </c>
      <c r="E176" s="38" t="inlineStr">
        <is>
          <t>https://numismaticapopper.com/images/489A.jpeg,https://numismaticapopper.com/images/489B.jpeg</t>
        </is>
      </c>
      <c r="F176" t="inlineStr">
        <is>
          <t>425</t>
        </is>
      </c>
      <c r="G176" s="40" t="n">
        <v>1</v>
      </c>
      <c r="H176" t="n">
        <v>7000</v>
      </c>
      <c r="I176" t="inlineStr">
        <is>
          <t>Referencia de catalogo: KM# 372
Material: Cuproníquel
Oregon D</t>
        </is>
      </c>
      <c r="J176" s="31">
        <f>IF(INDIRECT(ADDRESS(ROW() + (0),COLUMN() + (1)))="Agregar cuotas", IF(("16%")="", "-", "16%"), IF(INDIRECT(ADDRESS(ROW() + (0),COLUMN() + (1)))="No agregar cuotas", IF(("16%")="", "-", "16%"), "-"))</f>
        <v/>
      </c>
      <c r="K176" s="0" t="inlineStr">
        <is>
          <t>No agregar cuotas</t>
        </is>
      </c>
      <c r="L176" s="31">
        <f>IF(INDIRECT(ADDRESS(ROW() + (0),COLUMN() + (-1)))="Agregar cuotas", IF(("13.4%")="", "Sin costo", "13.4%"), IF(INDIRECT(ADDRESS(ROW() + (0),COLUMN() + (-1)))="No agregar cuotas", IF(("")="", "Sin costo", ""), "-"))</f>
        <v/>
      </c>
      <c r="M176" s="0" t="inlineStr">
        <is>
          <t>Mercado Envíos</t>
        </is>
      </c>
      <c r="N176" s="0" t="inlineStr">
        <is>
          <t>A cargo del comprador</t>
        </is>
      </c>
      <c r="O176" s="0" t="inlineStr">
        <is>
          <t>Acepto</t>
        </is>
      </c>
      <c r="P176" s="47" t="inlineStr">
        <is>
          <t>Sin garantía</t>
        </is>
      </c>
      <c r="R176" s="0" t="inlineStr">
        <is>
          <t>Seleccionar</t>
        </is>
      </c>
      <c r="S176" s="0" t="inlineStr">
        <is>
          <t>No ofrezco</t>
        </is>
      </c>
      <c r="T176" t="n">
        <v>2005</v>
      </c>
      <c r="U176" s="0" t="inlineStr">
        <is>
          <t>Estados Unidos</t>
        </is>
      </c>
      <c r="X176" s="0" t="inlineStr">
        <is>
          <t>Níquel</t>
        </is>
      </c>
      <c r="Z176" t="inlineStr">
        <is>
          <t>1/4 Dólar</t>
        </is>
      </c>
      <c r="AA176" s="0" t="inlineStr">
        <is>
          <t>Dólar</t>
        </is>
      </c>
      <c r="AB1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6" s="53">
        <f>IF(OR(TRIM(INDIRECT("B"&amp;ROW())) &lt;&gt; "",TRIM(INDIRECT("A"&amp;ROW())) &lt;&gt; ""),AND(TRIM(INDIRECT("A"&amp;ROW())) &lt;&gt; "",TRIM(INDIRECT("D"&amp;ROW())) = "nuevo"),"")</f>
        <v/>
      </c>
    </row>
    <row r="177" ht="27.5" customHeight="1" s="62">
      <c r="B177" t="inlineStr">
        <is>
          <t>Moneda Estados Unidos 1/4 Dólar 2006</t>
        </is>
      </c>
      <c r="C177" s="0">
        <f>LEN(INDIRECT(ADDRESS(ROW() + (0),COLUMN() + (-1))))</f>
        <v/>
      </c>
      <c r="D177" s="0" t="inlineStr">
        <is>
          <t>Usado</t>
        </is>
      </c>
      <c r="E177" s="38" t="inlineStr">
        <is>
          <t>https://numismaticapopper.com/images/417A.jpeg,https://numismaticapopper.com/images/417B.jpeg</t>
        </is>
      </c>
      <c r="F177" t="inlineStr">
        <is>
          <t>426</t>
        </is>
      </c>
      <c r="G177" s="40" t="n">
        <v>1</v>
      </c>
      <c r="H177" t="n">
        <v>7000</v>
      </c>
      <c r="I177" t="inlineStr">
        <is>
          <t>Referencia de catalogo: KM# 383
Material: Cuproníquel
Nebraska D</t>
        </is>
      </c>
      <c r="J177" s="31">
        <f>IF(INDIRECT(ADDRESS(ROW() + (0),COLUMN() + (1)))="Agregar cuotas", IF(("16%")="", "-", "16%"), IF(INDIRECT(ADDRESS(ROW() + (0),COLUMN() + (1)))="No agregar cuotas", IF(("16%")="", "-", "16%"), "-"))</f>
        <v/>
      </c>
      <c r="K177" s="0" t="inlineStr">
        <is>
          <t>No agregar cuotas</t>
        </is>
      </c>
      <c r="L177" s="31">
        <f>IF(INDIRECT(ADDRESS(ROW() + (0),COLUMN() + (-1)))="Agregar cuotas", IF(("13.4%")="", "Sin costo", "13.4%"), IF(INDIRECT(ADDRESS(ROW() + (0),COLUMN() + (-1)))="No agregar cuotas", IF(("")="", "Sin costo", ""), "-"))</f>
        <v/>
      </c>
      <c r="M177" s="0" t="inlineStr">
        <is>
          <t>Mercado Envíos</t>
        </is>
      </c>
      <c r="N177" s="0" t="inlineStr">
        <is>
          <t>A cargo del comprador</t>
        </is>
      </c>
      <c r="O177" s="0" t="inlineStr">
        <is>
          <t>Acepto</t>
        </is>
      </c>
      <c r="P177" s="47" t="inlineStr">
        <is>
          <t>Sin garantía</t>
        </is>
      </c>
      <c r="R177" s="0" t="inlineStr">
        <is>
          <t>Seleccionar</t>
        </is>
      </c>
      <c r="S177" s="0" t="inlineStr">
        <is>
          <t>No ofrezco</t>
        </is>
      </c>
      <c r="T177" t="n">
        <v>2006</v>
      </c>
      <c r="U177" s="0" t="inlineStr">
        <is>
          <t>Estados Unidos</t>
        </is>
      </c>
      <c r="X177" s="0" t="inlineStr">
        <is>
          <t>Níquel</t>
        </is>
      </c>
      <c r="Z177" t="inlineStr">
        <is>
          <t>1/4 Dólar</t>
        </is>
      </c>
      <c r="AA177" s="0" t="inlineStr">
        <is>
          <t>Dólar</t>
        </is>
      </c>
      <c r="AB1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7" s="53">
        <f>IF(OR(TRIM(INDIRECT("B"&amp;ROW())) &lt;&gt; "",TRIM(INDIRECT("A"&amp;ROW())) &lt;&gt; ""),AND(TRIM(INDIRECT("A"&amp;ROW())) &lt;&gt; "",TRIM(INDIRECT("D"&amp;ROW())) = "nuevo"),"")</f>
        <v/>
      </c>
    </row>
    <row r="178" ht="27.5" customHeight="1" s="62">
      <c r="B178" t="inlineStr">
        <is>
          <t>Moneda Estados Unidos 1/4 Dólar 2006</t>
        </is>
      </c>
      <c r="C178" s="0">
        <f>LEN(INDIRECT(ADDRESS(ROW() + (0),COLUMN() + (-1))))</f>
        <v/>
      </c>
      <c r="D178" s="0" t="inlineStr">
        <is>
          <t>Usado</t>
        </is>
      </c>
      <c r="E178" s="38" t="inlineStr">
        <is>
          <t>https://numismaticapopper.com/images/486A.jpeg,https://numismaticapopper.com/images/486B.jpeg</t>
        </is>
      </c>
      <c r="F178" t="inlineStr">
        <is>
          <t>427</t>
        </is>
      </c>
      <c r="G178" s="40" t="n">
        <v>1</v>
      </c>
      <c r="H178" t="n">
        <v>7000</v>
      </c>
      <c r="I178" t="inlineStr">
        <is>
          <t>Referencia de catalogo: KM# 386
Material: Cuproníquel
South Dakota P</t>
        </is>
      </c>
      <c r="J178" s="31">
        <f>IF(INDIRECT(ADDRESS(ROW() + (0),COLUMN() + (1)))="Agregar cuotas", IF(("16%")="", "-", "16%"), IF(INDIRECT(ADDRESS(ROW() + (0),COLUMN() + (1)))="No agregar cuotas", IF(("16%")="", "-", "16%"), "-"))</f>
        <v/>
      </c>
      <c r="K178" s="0" t="inlineStr">
        <is>
          <t>No agregar cuotas</t>
        </is>
      </c>
      <c r="L178" s="31">
        <f>IF(INDIRECT(ADDRESS(ROW() + (0),COLUMN() + (-1)))="Agregar cuotas", IF(("13.4%")="", "Sin costo", "13.4%"), IF(INDIRECT(ADDRESS(ROW() + (0),COLUMN() + (-1)))="No agregar cuotas", IF(("")="", "Sin costo", ""), "-"))</f>
        <v/>
      </c>
      <c r="M178" s="0" t="inlineStr">
        <is>
          <t>Mercado Envíos</t>
        </is>
      </c>
      <c r="N178" s="0" t="inlineStr">
        <is>
          <t>A cargo del comprador</t>
        </is>
      </c>
      <c r="O178" s="0" t="inlineStr">
        <is>
          <t>Acepto</t>
        </is>
      </c>
      <c r="P178" s="47" t="inlineStr">
        <is>
          <t>Sin garantía</t>
        </is>
      </c>
      <c r="R178" s="0" t="inlineStr">
        <is>
          <t>Seleccionar</t>
        </is>
      </c>
      <c r="S178" s="0" t="inlineStr">
        <is>
          <t>No ofrezco</t>
        </is>
      </c>
      <c r="T178" t="n">
        <v>2006</v>
      </c>
      <c r="U178" s="0" t="inlineStr">
        <is>
          <t>Estados Unidos</t>
        </is>
      </c>
      <c r="X178" s="0" t="inlineStr">
        <is>
          <t>Níquel</t>
        </is>
      </c>
      <c r="Z178" t="inlineStr">
        <is>
          <t>1/4 Dólar</t>
        </is>
      </c>
      <c r="AA178" s="0" t="inlineStr">
        <is>
          <t>Dólar</t>
        </is>
      </c>
      <c r="AB1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8" s="53">
        <f>IF(OR(TRIM(INDIRECT("B"&amp;ROW())) &lt;&gt; "",TRIM(INDIRECT("A"&amp;ROW())) &lt;&gt; ""),AND(TRIM(INDIRECT("A"&amp;ROW())) &lt;&gt; "",TRIM(INDIRECT("D"&amp;ROW())) = "nuevo"),"")</f>
        <v/>
      </c>
    </row>
    <row r="179" ht="27.5" customHeight="1" s="62">
      <c r="B179" t="inlineStr">
        <is>
          <t>Moneda Estados Unidos 1/4 Dólar 2007</t>
        </is>
      </c>
      <c r="C179" s="0">
        <f>LEN(INDIRECT(ADDRESS(ROW() + (0),COLUMN() + (-1))))</f>
        <v/>
      </c>
      <c r="D179" s="0" t="inlineStr">
        <is>
          <t>Usado</t>
        </is>
      </c>
      <c r="E179" s="38" t="inlineStr">
        <is>
          <t>https://numismaticapopper.com/images/484A.jpeg,https://numismaticapopper.com/images/484B.jpeg</t>
        </is>
      </c>
      <c r="F179" t="inlineStr">
        <is>
          <t>428</t>
        </is>
      </c>
      <c r="G179" s="40" t="n">
        <v>1</v>
      </c>
      <c r="H179" t="n">
        <v>7000</v>
      </c>
      <c r="I179" t="inlineStr">
        <is>
          <t>Referencia de catalogo: KM# 404
Material: Cuproníquel
Washington D</t>
        </is>
      </c>
      <c r="J179" s="31">
        <f>IF(INDIRECT(ADDRESS(ROW() + (0),COLUMN() + (1)))="Agregar cuotas", IF(("16%")="", "-", "16%"), IF(INDIRECT(ADDRESS(ROW() + (0),COLUMN() + (1)))="No agregar cuotas", IF(("16%")="", "-", "16%"), "-"))</f>
        <v/>
      </c>
      <c r="K179" s="0" t="inlineStr">
        <is>
          <t>No agregar cuotas</t>
        </is>
      </c>
      <c r="L179" s="31">
        <f>IF(INDIRECT(ADDRESS(ROW() + (0),COLUMN() + (-1)))="Agregar cuotas", IF(("13.4%")="", "Sin costo", "13.4%"), IF(INDIRECT(ADDRESS(ROW() + (0),COLUMN() + (-1)))="No agregar cuotas", IF(("")="", "Sin costo", ""), "-"))</f>
        <v/>
      </c>
      <c r="M179" s="0" t="inlineStr">
        <is>
          <t>Mercado Envíos</t>
        </is>
      </c>
      <c r="N179" s="0" t="inlineStr">
        <is>
          <t>A cargo del comprador</t>
        </is>
      </c>
      <c r="O179" s="0" t="inlineStr">
        <is>
          <t>Acepto</t>
        </is>
      </c>
      <c r="P179" s="47" t="inlineStr">
        <is>
          <t>Sin garantía</t>
        </is>
      </c>
      <c r="R179" s="0" t="inlineStr">
        <is>
          <t>Seleccionar</t>
        </is>
      </c>
      <c r="S179" s="0" t="inlineStr">
        <is>
          <t>No ofrezco</t>
        </is>
      </c>
      <c r="T179" t="n">
        <v>2007</v>
      </c>
      <c r="U179" s="0" t="inlineStr">
        <is>
          <t>Estados Unidos</t>
        </is>
      </c>
      <c r="X179" s="0" t="inlineStr">
        <is>
          <t>Níquel</t>
        </is>
      </c>
      <c r="Z179" t="inlineStr">
        <is>
          <t>1/4 Dólar</t>
        </is>
      </c>
      <c r="AA179" s="0" t="inlineStr">
        <is>
          <t>Dólar</t>
        </is>
      </c>
      <c r="AB1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79" s="53">
        <f>IF(OR(TRIM(INDIRECT("B"&amp;ROW())) &lt;&gt; "",TRIM(INDIRECT("A"&amp;ROW())) &lt;&gt; ""),AND(TRIM(INDIRECT("A"&amp;ROW())) &lt;&gt; "",TRIM(INDIRECT("D"&amp;ROW())) = "nuevo"),"")</f>
        <v/>
      </c>
    </row>
    <row r="180" ht="27.5" customHeight="1" s="62">
      <c r="B180" t="inlineStr">
        <is>
          <t>Moneda Estados Unidos 1/4 Dólar 2008</t>
        </is>
      </c>
      <c r="C180" s="0">
        <f>LEN(INDIRECT(ADDRESS(ROW() + (0),COLUMN() + (-1))))</f>
        <v/>
      </c>
      <c r="D180" s="0" t="inlineStr">
        <is>
          <t>Usado</t>
        </is>
      </c>
      <c r="E180" s="38" t="inlineStr">
        <is>
          <t>https://numismaticapopper.com/images/409A.jpeg,https://numismaticapopper.com/images/409B.jpeg</t>
        </is>
      </c>
      <c r="F180" t="inlineStr">
        <is>
          <t>429</t>
        </is>
      </c>
      <c r="G180" s="40" t="n">
        <v>1</v>
      </c>
      <c r="H180" t="n">
        <v>7000</v>
      </c>
      <c r="I180" t="inlineStr">
        <is>
          <t>Referencia de catalogo: KM# 422
Material: Cuproníquel
New Mexico D</t>
        </is>
      </c>
      <c r="J180" s="31">
        <f>IF(INDIRECT(ADDRESS(ROW() + (0),COLUMN() + (1)))="Agregar cuotas", IF(("16%")="", "-", "16%"), IF(INDIRECT(ADDRESS(ROW() + (0),COLUMN() + (1)))="No agregar cuotas", IF(("16%")="", "-", "16%"), "-"))</f>
        <v/>
      </c>
      <c r="K180" s="0" t="inlineStr">
        <is>
          <t>No agregar cuotas</t>
        </is>
      </c>
      <c r="L180" s="31">
        <f>IF(INDIRECT(ADDRESS(ROW() + (0),COLUMN() + (-1)))="Agregar cuotas", IF(("13.4%")="", "Sin costo", "13.4%"), IF(INDIRECT(ADDRESS(ROW() + (0),COLUMN() + (-1)))="No agregar cuotas", IF(("")="", "Sin costo", ""), "-"))</f>
        <v/>
      </c>
      <c r="M180" s="0" t="inlineStr">
        <is>
          <t>Mercado Envíos</t>
        </is>
      </c>
      <c r="N180" s="0" t="inlineStr">
        <is>
          <t>A cargo del comprador</t>
        </is>
      </c>
      <c r="O180" s="0" t="inlineStr">
        <is>
          <t>Acepto</t>
        </is>
      </c>
      <c r="P180" s="47" t="inlineStr">
        <is>
          <t>Sin garantía</t>
        </is>
      </c>
      <c r="R180" s="0" t="inlineStr">
        <is>
          <t>Seleccionar</t>
        </is>
      </c>
      <c r="S180" s="0" t="inlineStr">
        <is>
          <t>No ofrezco</t>
        </is>
      </c>
      <c r="T180" t="n">
        <v>2008</v>
      </c>
      <c r="U180" s="0" t="inlineStr">
        <is>
          <t>Estados Unidos</t>
        </is>
      </c>
      <c r="X180" s="0" t="inlineStr">
        <is>
          <t>Níquel</t>
        </is>
      </c>
      <c r="Z180" t="inlineStr">
        <is>
          <t>1/4 Dólar</t>
        </is>
      </c>
      <c r="AA180" s="0" t="inlineStr">
        <is>
          <t>Dólar</t>
        </is>
      </c>
      <c r="AB1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0" s="53">
        <f>IF(OR(TRIM(INDIRECT("B"&amp;ROW())) &lt;&gt; "",TRIM(INDIRECT("A"&amp;ROW())) &lt;&gt; ""),AND(TRIM(INDIRECT("A"&amp;ROW())) &lt;&gt; "",TRIM(INDIRECT("D"&amp;ROW())) = "nuevo"),"")</f>
        <v/>
      </c>
    </row>
    <row r="181" ht="27.5" customHeight="1" s="62">
      <c r="B181" t="inlineStr">
        <is>
          <t>Moneda Argentina 1 Peso 1995</t>
        </is>
      </c>
      <c r="C181" s="0">
        <f>LEN(INDIRECT(ADDRESS(ROW() + (0),COLUMN() + (-1))))</f>
        <v/>
      </c>
      <c r="D181" s="0" t="inlineStr">
        <is>
          <t>Usado</t>
        </is>
      </c>
      <c r="E181" s="38" t="inlineStr">
        <is>
          <t>https://numismaticapopper.com/images/421A.jpeg,https://numismaticapopper.com/images/421B.jpeg</t>
        </is>
      </c>
      <c r="F181" t="inlineStr">
        <is>
          <t>431</t>
        </is>
      </c>
      <c r="G181" s="40" t="n">
        <v>1</v>
      </c>
      <c r="H181" t="n">
        <v>430000</v>
      </c>
      <c r="I181" t="inlineStr">
        <is>
          <t>Estado de conservacion: Sin Circular
Referencia de catalogo: CJ# 8.2
Material: Plata 0.900
Conmemora: 50º Aniversario de las Naciones Unidas (ONU)
Peso conmemorativo emitido por el 50º Aniversario de las Naciones Unidas (ONU). Sin circular - acabado Proof.</t>
        </is>
      </c>
      <c r="J181" s="31">
        <f>IF(INDIRECT(ADDRESS(ROW() + (0),COLUMN() + (1)))="Agregar cuotas", IF(("16%")="", "-", "16%"), IF(INDIRECT(ADDRESS(ROW() + (0),COLUMN() + (1)))="No agregar cuotas", IF(("16%")="", "-", "16%"), "-"))</f>
        <v/>
      </c>
      <c r="K181" s="0" t="inlineStr">
        <is>
          <t>No agregar cuotas</t>
        </is>
      </c>
      <c r="L181" s="31">
        <f>IF(INDIRECT(ADDRESS(ROW() + (0),COLUMN() + (-1)))="Agregar cuotas", IF(("13.4%")="", "Sin costo", "13.4%"), IF(INDIRECT(ADDRESS(ROW() + (0),COLUMN() + (-1)))="No agregar cuotas", IF(("")="", "Sin costo", ""), "-"))</f>
        <v/>
      </c>
      <c r="M181" s="0" t="inlineStr">
        <is>
          <t>Mercado Envíos</t>
        </is>
      </c>
      <c r="N181" s="0" t="inlineStr">
        <is>
          <t>Ofrecés envío gratis</t>
        </is>
      </c>
      <c r="O181" s="0" t="inlineStr">
        <is>
          <t>Acepto</t>
        </is>
      </c>
      <c r="P181" s="47" t="inlineStr">
        <is>
          <t>Sin garantía</t>
        </is>
      </c>
      <c r="R181" s="0" t="inlineStr">
        <is>
          <t>Seleccionar</t>
        </is>
      </c>
      <c r="S181" s="0" t="inlineStr">
        <is>
          <t>No ofrezco</t>
        </is>
      </c>
      <c r="T181" t="n">
        <v>1995</v>
      </c>
      <c r="U181" s="0" t="inlineStr">
        <is>
          <t>Argentina</t>
        </is>
      </c>
      <c r="X181" s="0" t="inlineStr">
        <is>
          <t>Plata</t>
        </is>
      </c>
      <c r="Y181" t="inlineStr">
        <is>
          <t>50º Aniversario de las Naciones Unidas (ONU)</t>
        </is>
      </c>
      <c r="Z181" t="inlineStr">
        <is>
          <t>1 Peso</t>
        </is>
      </c>
      <c r="AA181" s="0" t="inlineStr">
        <is>
          <t>Peso</t>
        </is>
      </c>
      <c r="AB1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1" s="53">
        <f>IF(OR(TRIM(INDIRECT("B"&amp;ROW())) &lt;&gt; "",TRIM(INDIRECT("A"&amp;ROW())) &lt;&gt; ""),AND(TRIM(INDIRECT("A"&amp;ROW())) &lt;&gt; "",TRIM(INDIRECT("D"&amp;ROW())) = "nuevo"),"")</f>
        <v/>
      </c>
    </row>
    <row r="182" ht="27.5" customHeight="1" s="62">
      <c r="B182" t="inlineStr">
        <is>
          <t>Moneda Estados Unidos 5 Cents 1888</t>
        </is>
      </c>
      <c r="C182" s="0">
        <f>LEN(INDIRECT(ADDRESS(ROW() + (0),COLUMN() + (-1))))</f>
        <v/>
      </c>
      <c r="D182" s="0" t="inlineStr">
        <is>
          <t>Usado</t>
        </is>
      </c>
      <c r="E182" s="38" t="inlineStr">
        <is>
          <t>https://numismaticapopper.com/images/435A.jpeg,https://numismaticapopper.com/images/435B.jpeg</t>
        </is>
      </c>
      <c r="F182" t="inlineStr">
        <is>
          <t>439</t>
        </is>
      </c>
      <c r="G182" s="40" t="n">
        <v>1</v>
      </c>
      <c r="H182" t="n">
        <v>64000</v>
      </c>
      <c r="I182" t="inlineStr">
        <is>
          <t>Estado de conservacion: Buena
Referencia de catalogo: KM# 112
Material: Cu Ni
Peso: 5.0 g
Diametro: 21.2 mm</t>
        </is>
      </c>
      <c r="J182" s="31">
        <f>IF(INDIRECT(ADDRESS(ROW() + (0),COLUMN() + (1)))="Agregar cuotas", IF(("16%")="", "-", "16%"), IF(INDIRECT(ADDRESS(ROW() + (0),COLUMN() + (1)))="No agregar cuotas", IF(("16%")="", "-", "16%"), "-"))</f>
        <v/>
      </c>
      <c r="K182" s="0" t="inlineStr">
        <is>
          <t>No agregar cuotas</t>
        </is>
      </c>
      <c r="L182" s="31">
        <f>IF(INDIRECT(ADDRESS(ROW() + (0),COLUMN() + (-1)))="Agregar cuotas", IF(("13.4%")="", "Sin costo", "13.4%"), IF(INDIRECT(ADDRESS(ROW() + (0),COLUMN() + (-1)))="No agregar cuotas", IF(("")="", "Sin costo", ""), "-"))</f>
        <v/>
      </c>
      <c r="M182" s="0" t="inlineStr">
        <is>
          <t>Mercado Envíos</t>
        </is>
      </c>
      <c r="N182" s="0" t="inlineStr">
        <is>
          <t>A cargo del comprador</t>
        </is>
      </c>
      <c r="O182" s="0" t="inlineStr">
        <is>
          <t>Acepto</t>
        </is>
      </c>
      <c r="P182" s="47" t="inlineStr">
        <is>
          <t>Sin garantía</t>
        </is>
      </c>
      <c r="R182" s="0" t="inlineStr">
        <is>
          <t>Seleccionar</t>
        </is>
      </c>
      <c r="S182" s="0" t="inlineStr">
        <is>
          <t>No ofrezco</t>
        </is>
      </c>
      <c r="T182" t="n">
        <v>1888</v>
      </c>
      <c r="U182" s="0" t="inlineStr">
        <is>
          <t>Estados Unidos</t>
        </is>
      </c>
      <c r="X182" s="0" t="inlineStr">
        <is>
          <t>Níquel</t>
        </is>
      </c>
      <c r="Z182" t="inlineStr">
        <is>
          <t>5 Cents</t>
        </is>
      </c>
      <c r="AA182" s="0" t="inlineStr">
        <is>
          <t>Dólar</t>
        </is>
      </c>
      <c r="AB1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2" s="53">
        <f>IF(OR(TRIM(INDIRECT("B"&amp;ROW())) &lt;&gt; "",TRIM(INDIRECT("A"&amp;ROW())) &lt;&gt; ""),AND(TRIM(INDIRECT("A"&amp;ROW())) &lt;&gt; "",TRIM(INDIRECT("D"&amp;ROW())) = "nuevo"),"")</f>
        <v/>
      </c>
    </row>
    <row r="183" ht="27.5" customHeight="1" s="62">
      <c r="B183" t="inlineStr">
        <is>
          <t>Moneda Estados Unidos 1 Dollar "Peace Dollar" 2021</t>
        </is>
      </c>
      <c r="C183" s="0">
        <f>LEN(INDIRECT(ADDRESS(ROW() + (0),COLUMN() + (-1))))</f>
        <v/>
      </c>
      <c r="D183" s="0" t="inlineStr">
        <is>
          <t>Usado</t>
        </is>
      </c>
      <c r="E183" s="38" t="inlineStr">
        <is>
          <t>https://numismaticapopper.com/images/466A.jpeg,https://numismaticapopper.com/images/466B.jpeg,https://numismaticapopper.com/images/466C.jpeg</t>
        </is>
      </c>
      <c r="F183" t="inlineStr">
        <is>
          <t>463</t>
        </is>
      </c>
      <c r="G183" s="40" t="n">
        <v>1</v>
      </c>
      <c r="H183" t="n">
        <v>532000</v>
      </c>
      <c r="I183" t="inlineStr">
        <is>
          <t>Estado de conservacion: Sin Circular
Referencia de catalogo: KM# 150a
Material: Ag 0.999
Tirada: 200.000
Conmemora: Centenario del Peace Dollar (1921-2021)
Dólar de la Paz (Peace Dollar) en conmemoración del centenario de su primer diseño de 1921. Diseñado por Anthony de Francisci.</t>
        </is>
      </c>
      <c r="J183" s="31">
        <f>IF(INDIRECT(ADDRESS(ROW() + (0),COLUMN() + (1)))="Agregar cuotas", IF(("16%")="", "-", "16%"), IF(INDIRECT(ADDRESS(ROW() + (0),COLUMN() + (1)))="No agregar cuotas", IF(("16%")="", "-", "16%"), "-"))</f>
        <v/>
      </c>
      <c r="K183" s="0" t="inlineStr">
        <is>
          <t>No agregar cuotas</t>
        </is>
      </c>
      <c r="L183" s="31">
        <f>IF(INDIRECT(ADDRESS(ROW() + (0),COLUMN() + (-1)))="Agregar cuotas", IF(("13.4%")="", "Sin costo", "13.4%"), IF(INDIRECT(ADDRESS(ROW() + (0),COLUMN() + (-1)))="No agregar cuotas", IF(("")="", "Sin costo", ""), "-"))</f>
        <v/>
      </c>
      <c r="M183" s="0" t="inlineStr">
        <is>
          <t>Mercado Envíos</t>
        </is>
      </c>
      <c r="N183" s="0" t="inlineStr">
        <is>
          <t>Ofrecés envío gratis</t>
        </is>
      </c>
      <c r="O183" s="0" t="inlineStr">
        <is>
          <t>Acepto</t>
        </is>
      </c>
      <c r="P183" s="47" t="inlineStr">
        <is>
          <t>Sin garantía</t>
        </is>
      </c>
      <c r="R183" s="0" t="inlineStr">
        <is>
          <t>Seleccionar</t>
        </is>
      </c>
      <c r="S183" s="0" t="inlineStr">
        <is>
          <t>No ofrezco</t>
        </is>
      </c>
      <c r="T183" t="n">
        <v>2021</v>
      </c>
      <c r="U183" s="0" t="inlineStr">
        <is>
          <t>Estados Unidos</t>
        </is>
      </c>
      <c r="X183" s="0" t="inlineStr">
        <is>
          <t>Plata</t>
        </is>
      </c>
      <c r="Y183" t="inlineStr">
        <is>
          <t>Centenario del Peace Dollar (1921-2021)</t>
        </is>
      </c>
      <c r="Z183" t="inlineStr">
        <is>
          <t>1 Dollar "Peace Dollar"</t>
        </is>
      </c>
      <c r="AA183" s="0" t="inlineStr">
        <is>
          <t>Dólar</t>
        </is>
      </c>
      <c r="AB1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3" s="53">
        <f>IF(OR(TRIM(INDIRECT("B"&amp;ROW())) &lt;&gt; "",TRIM(INDIRECT("A"&amp;ROW())) &lt;&gt; ""),AND(TRIM(INDIRECT("A"&amp;ROW())) &lt;&gt; "",TRIM(INDIRECT("D"&amp;ROW())) = "nuevo"),"")</f>
        <v/>
      </c>
    </row>
    <row r="184" ht="27.5" customHeight="1" s="62">
      <c r="B184" t="inlineStr">
        <is>
          <t>Moneda Estados Unidos 1/4 Dólar 2021</t>
        </is>
      </c>
      <c r="C184" s="0">
        <f>LEN(INDIRECT(ADDRESS(ROW() + (0),COLUMN() + (-1))))</f>
        <v/>
      </c>
      <c r="D184" s="0" t="inlineStr">
        <is>
          <t>Usado</t>
        </is>
      </c>
      <c r="E184" s="38" t="inlineStr">
        <is>
          <t>https://numismaticapopper.com/images/492A.jpeg,https://numismaticapopper.com/images/492B.jpeg</t>
        </is>
      </c>
      <c r="F184" t="inlineStr">
        <is>
          <t>479</t>
        </is>
      </c>
      <c r="G184" s="40" t="n">
        <v>1</v>
      </c>
      <c r="H184" t="n">
        <v>7000</v>
      </c>
      <c r="I184" t="inlineStr">
        <is>
          <t>Referencia de catalogo: KM# 758
Material: Cuproníquel
Crossing the Delaware P</t>
        </is>
      </c>
      <c r="J184" s="31">
        <f>IF(INDIRECT(ADDRESS(ROW() + (0),COLUMN() + (1)))="Agregar cuotas", IF(("16%")="", "-", "16%"), IF(INDIRECT(ADDRESS(ROW() + (0),COLUMN() + (1)))="No agregar cuotas", IF(("16%")="", "-", "16%"), "-"))</f>
        <v/>
      </c>
      <c r="K184" s="0" t="inlineStr">
        <is>
          <t>No agregar cuotas</t>
        </is>
      </c>
      <c r="L184" s="31">
        <f>IF(INDIRECT(ADDRESS(ROW() + (0),COLUMN() + (-1)))="Agregar cuotas", IF(("13.4%")="", "Sin costo", "13.4%"), IF(INDIRECT(ADDRESS(ROW() + (0),COLUMN() + (-1)))="No agregar cuotas", IF(("")="", "Sin costo", ""), "-"))</f>
        <v/>
      </c>
      <c r="M184" s="0" t="inlineStr">
        <is>
          <t>Mercado Envíos</t>
        </is>
      </c>
      <c r="N184" s="0" t="inlineStr">
        <is>
          <t>A cargo del comprador</t>
        </is>
      </c>
      <c r="O184" s="0" t="inlineStr">
        <is>
          <t>Acepto</t>
        </is>
      </c>
      <c r="P184" s="47" t="inlineStr">
        <is>
          <t>Sin garantía</t>
        </is>
      </c>
      <c r="R184" s="0" t="inlineStr">
        <is>
          <t>Seleccionar</t>
        </is>
      </c>
      <c r="S184" s="0" t="inlineStr">
        <is>
          <t>No ofrezco</t>
        </is>
      </c>
      <c r="T184" t="n">
        <v>2021</v>
      </c>
      <c r="U184" s="0" t="inlineStr">
        <is>
          <t>Estados Unidos</t>
        </is>
      </c>
      <c r="X184" s="0" t="inlineStr">
        <is>
          <t>Níquel</t>
        </is>
      </c>
      <c r="Z184" t="inlineStr">
        <is>
          <t>1/4 Dólar</t>
        </is>
      </c>
      <c r="AA184" s="0" t="inlineStr">
        <is>
          <t>Dólar</t>
        </is>
      </c>
      <c r="AB1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4" s="53">
        <f>IF(OR(TRIM(INDIRECT("B"&amp;ROW())) &lt;&gt; "",TRIM(INDIRECT("A"&amp;ROW())) &lt;&gt; ""),AND(TRIM(INDIRECT("A"&amp;ROW())) &lt;&gt; "",TRIM(INDIRECT("D"&amp;ROW())) = "nuevo"),"")</f>
        <v/>
      </c>
    </row>
    <row r="185" ht="27.5" customHeight="1" s="62">
      <c r="B185" t="inlineStr">
        <is>
          <t>Moneda Estados Unidos 1/4 Dólar 2021</t>
        </is>
      </c>
      <c r="C185" s="0">
        <f>LEN(INDIRECT(ADDRESS(ROW() + (0),COLUMN() + (-1))))</f>
        <v/>
      </c>
      <c r="D185" s="0" t="inlineStr">
        <is>
          <t>Usado</t>
        </is>
      </c>
      <c r="E185" s="38" t="inlineStr">
        <is>
          <t>https://numismaticapopper.com/images/493A.jpeg,https://numismaticapopper.com/images/493B.jpeg</t>
        </is>
      </c>
      <c r="F185" t="inlineStr">
        <is>
          <t>480</t>
        </is>
      </c>
      <c r="G185" s="40" t="n">
        <v>1</v>
      </c>
      <c r="H185" t="n">
        <v>7000</v>
      </c>
      <c r="I185" t="inlineStr">
        <is>
          <t>Referencia de catalogo: KM# 758
Material: Cuproníquel
Crossing the Delaware D</t>
        </is>
      </c>
      <c r="J185" s="31">
        <f>IF(INDIRECT(ADDRESS(ROW() + (0),COLUMN() + (1)))="Agregar cuotas", IF(("16%")="", "-", "16%"), IF(INDIRECT(ADDRESS(ROW() + (0),COLUMN() + (1)))="No agregar cuotas", IF(("16%")="", "-", "16%"), "-"))</f>
        <v/>
      </c>
      <c r="K185" s="0" t="inlineStr">
        <is>
          <t>No agregar cuotas</t>
        </is>
      </c>
      <c r="L185" s="31">
        <f>IF(INDIRECT(ADDRESS(ROW() + (0),COLUMN() + (-1)))="Agregar cuotas", IF(("13.4%")="", "Sin costo", "13.4%"), IF(INDIRECT(ADDRESS(ROW() + (0),COLUMN() + (-1)))="No agregar cuotas", IF(("")="", "Sin costo", ""), "-"))</f>
        <v/>
      </c>
      <c r="M185" s="0" t="inlineStr">
        <is>
          <t>Mercado Envíos</t>
        </is>
      </c>
      <c r="N185" s="0" t="inlineStr">
        <is>
          <t>A cargo del comprador</t>
        </is>
      </c>
      <c r="O185" s="0" t="inlineStr">
        <is>
          <t>Acepto</t>
        </is>
      </c>
      <c r="P185" s="47" t="inlineStr">
        <is>
          <t>Sin garantía</t>
        </is>
      </c>
      <c r="R185" s="0" t="inlineStr">
        <is>
          <t>Seleccionar</t>
        </is>
      </c>
      <c r="S185" s="0" t="inlineStr">
        <is>
          <t>No ofrezco</t>
        </is>
      </c>
      <c r="T185" t="n">
        <v>2021</v>
      </c>
      <c r="U185" s="0" t="inlineStr">
        <is>
          <t>Estados Unidos</t>
        </is>
      </c>
      <c r="X185" s="0" t="inlineStr">
        <is>
          <t>Níquel</t>
        </is>
      </c>
      <c r="Z185" t="inlineStr">
        <is>
          <t>1/4 Dólar</t>
        </is>
      </c>
      <c r="AA185" s="0" t="inlineStr">
        <is>
          <t>Dólar</t>
        </is>
      </c>
      <c r="AB1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5" s="53">
        <f>IF(OR(TRIM(INDIRECT("B"&amp;ROW())) &lt;&gt; "",TRIM(INDIRECT("A"&amp;ROW())) &lt;&gt; ""),AND(TRIM(INDIRECT("A"&amp;ROW())) &lt;&gt; "",TRIM(INDIRECT("D"&amp;ROW())) = "nuevo"),"")</f>
        <v/>
      </c>
    </row>
    <row r="186" ht="27.5" customHeight="1" s="62">
      <c r="B186" t="inlineStr">
        <is>
          <t>Moneda Estados Unidos 1/4 Dólar 1976</t>
        </is>
      </c>
      <c r="C186" s="0">
        <f>LEN(INDIRECT(ADDRESS(ROW() + (0),COLUMN() + (-1))))</f>
        <v/>
      </c>
      <c r="D186" s="0" t="inlineStr">
        <is>
          <t>Usado</t>
        </is>
      </c>
      <c r="E186" s="38" t="inlineStr">
        <is>
          <t>https://numismaticapopper.com/images/494A.jpeg,https://numismaticapopper.com/images/494B.jpeg</t>
        </is>
      </c>
      <c r="F186" t="inlineStr">
        <is>
          <t>481</t>
        </is>
      </c>
      <c r="G186" s="40" t="n">
        <v>1</v>
      </c>
      <c r="H186" t="n">
        <v>7000</v>
      </c>
      <c r="I186" t="inlineStr">
        <is>
          <t>Referencia de catalogo: KM# 204
Material: Cuproníquel
Bicentenario</t>
        </is>
      </c>
      <c r="J186" s="31">
        <f>IF(INDIRECT(ADDRESS(ROW() + (0),COLUMN() + (1)))="Agregar cuotas", IF(("16%")="", "-", "16%"), IF(INDIRECT(ADDRESS(ROW() + (0),COLUMN() + (1)))="No agregar cuotas", IF(("16%")="", "-", "16%"), "-"))</f>
        <v/>
      </c>
      <c r="K186" s="0" t="inlineStr">
        <is>
          <t>No agregar cuotas</t>
        </is>
      </c>
      <c r="L186" s="31">
        <f>IF(INDIRECT(ADDRESS(ROW() + (0),COLUMN() + (-1)))="Agregar cuotas", IF(("13.4%")="", "Sin costo", "13.4%"), IF(INDIRECT(ADDRESS(ROW() + (0),COLUMN() + (-1)))="No agregar cuotas", IF(("")="", "Sin costo", ""), "-"))</f>
        <v/>
      </c>
      <c r="M186" s="0" t="inlineStr">
        <is>
          <t>Mercado Envíos</t>
        </is>
      </c>
      <c r="N186" s="0" t="inlineStr">
        <is>
          <t>A cargo del comprador</t>
        </is>
      </c>
      <c r="O186" s="0" t="inlineStr">
        <is>
          <t>Acepto</t>
        </is>
      </c>
      <c r="P186" s="47" t="inlineStr">
        <is>
          <t>Sin garantía</t>
        </is>
      </c>
      <c r="R186" s="0" t="inlineStr">
        <is>
          <t>Seleccionar</t>
        </is>
      </c>
      <c r="S186" s="0" t="inlineStr">
        <is>
          <t>No ofrezco</t>
        </is>
      </c>
      <c r="T186" t="n">
        <v>1976</v>
      </c>
      <c r="U186" s="0" t="inlineStr">
        <is>
          <t>Estados Unidos</t>
        </is>
      </c>
      <c r="X186" s="0" t="inlineStr">
        <is>
          <t>Níquel</t>
        </is>
      </c>
      <c r="Z186" t="inlineStr">
        <is>
          <t>1/4 Dólar</t>
        </is>
      </c>
      <c r="AA186" s="0" t="inlineStr">
        <is>
          <t>Dólar</t>
        </is>
      </c>
      <c r="AB1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6" s="53">
        <f>IF(OR(TRIM(INDIRECT("B"&amp;ROW())) &lt;&gt; "",TRIM(INDIRECT("A"&amp;ROW())) &lt;&gt; ""),AND(TRIM(INDIRECT("A"&amp;ROW())) &lt;&gt; "",TRIM(INDIRECT("D"&amp;ROW())) = "nuevo"),"")</f>
        <v/>
      </c>
    </row>
    <row r="187" ht="27.5" customHeight="1" s="62">
      <c r="B187" t="inlineStr">
        <is>
          <t>Moneda Canadá 25 Cents 2000</t>
        </is>
      </c>
      <c r="C187" s="0">
        <f>LEN(INDIRECT(ADDRESS(ROW() + (0),COLUMN() + (-1))))</f>
        <v/>
      </c>
      <c r="D187" s="0" t="inlineStr">
        <is>
          <t>Usado</t>
        </is>
      </c>
      <c r="E187" s="38" t="inlineStr">
        <is>
          <t>https://numismaticapopper.com/images/502A.jpeg,https://numismaticapopper.com/images/502B.jpeg</t>
        </is>
      </c>
      <c r="F187" t="inlineStr">
        <is>
          <t>489</t>
        </is>
      </c>
      <c r="G187" s="40" t="n">
        <v>1</v>
      </c>
      <c r="H187" t="n">
        <v>8000</v>
      </c>
      <c r="I187" t="inlineStr">
        <is>
          <t>Estado de conservacion: Sin Circular
Referencia de catalogo: KM# 384.2
Material: Níquel
Pride</t>
        </is>
      </c>
      <c r="J187" s="31">
        <f>IF(INDIRECT(ADDRESS(ROW() + (0),COLUMN() + (1)))="Agregar cuotas", IF(("16%")="", "-", "16%"), IF(INDIRECT(ADDRESS(ROW() + (0),COLUMN() + (1)))="No agregar cuotas", IF(("16%")="", "-", "16%"), "-"))</f>
        <v/>
      </c>
      <c r="K187" s="0" t="inlineStr">
        <is>
          <t>No agregar cuotas</t>
        </is>
      </c>
      <c r="L187" s="31">
        <f>IF(INDIRECT(ADDRESS(ROW() + (0),COLUMN() + (-1)))="Agregar cuotas", IF(("13.4%")="", "Sin costo", "13.4%"), IF(INDIRECT(ADDRESS(ROW() + (0),COLUMN() + (-1)))="No agregar cuotas", IF(("")="", "Sin costo", ""), "-"))</f>
        <v/>
      </c>
      <c r="M187" s="0" t="inlineStr">
        <is>
          <t>Mercado Envíos</t>
        </is>
      </c>
      <c r="N187" s="0" t="inlineStr">
        <is>
          <t>A cargo del comprador</t>
        </is>
      </c>
      <c r="O187" s="0" t="inlineStr">
        <is>
          <t>Acepto</t>
        </is>
      </c>
      <c r="P187" s="47" t="inlineStr">
        <is>
          <t>Sin garantía</t>
        </is>
      </c>
      <c r="R187" s="0" t="inlineStr">
        <is>
          <t>Seleccionar</t>
        </is>
      </c>
      <c r="S187" s="0" t="inlineStr">
        <is>
          <t>No ofrezco</t>
        </is>
      </c>
      <c r="T187" t="n">
        <v>2000</v>
      </c>
      <c r="U187" s="0" t="inlineStr">
        <is>
          <t>Canadá</t>
        </is>
      </c>
      <c r="X187" s="0" t="inlineStr">
        <is>
          <t>Níquel</t>
        </is>
      </c>
      <c r="Z187" t="inlineStr">
        <is>
          <t>25 Cents</t>
        </is>
      </c>
      <c r="AA187" s="0" t="inlineStr">
        <is>
          <t>Dólar</t>
        </is>
      </c>
      <c r="AB1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7" s="53">
        <f>IF(OR(TRIM(INDIRECT("B"&amp;ROW())) &lt;&gt; "",TRIM(INDIRECT("A"&amp;ROW())) &lt;&gt; ""),AND(TRIM(INDIRECT("A"&amp;ROW())) &lt;&gt; "",TRIM(INDIRECT("D"&amp;ROW())) = "nuevo"),"")</f>
        <v/>
      </c>
    </row>
    <row r="188" ht="27.5" customHeight="1" s="62">
      <c r="B188" t="inlineStr">
        <is>
          <t>Moneda Canadá 25 Cents 2000</t>
        </is>
      </c>
      <c r="C188" s="0">
        <f>LEN(INDIRECT(ADDRESS(ROW() + (0),COLUMN() + (-1))))</f>
        <v/>
      </c>
      <c r="D188" s="0" t="inlineStr">
        <is>
          <t>Usado</t>
        </is>
      </c>
      <c r="E188" s="38" t="inlineStr">
        <is>
          <t>https://numismaticapopper.com/images/503A.jpeg,https://numismaticapopper.com/images/503B.jpeg</t>
        </is>
      </c>
      <c r="F188" t="inlineStr">
        <is>
          <t>490</t>
        </is>
      </c>
      <c r="G188" s="40" t="n">
        <v>1</v>
      </c>
      <c r="H188" t="n">
        <v>8000</v>
      </c>
      <c r="I188" t="inlineStr">
        <is>
          <t>Estado de conservacion: Sin Circular
Referencia de catalogo: KM# 374
Material: Níquel
Freedom</t>
        </is>
      </c>
      <c r="J188" s="31">
        <f>IF(INDIRECT(ADDRESS(ROW() + (0),COLUMN() + (1)))="Agregar cuotas", IF(("16%")="", "-", "16%"), IF(INDIRECT(ADDRESS(ROW() + (0),COLUMN() + (1)))="No agregar cuotas", IF(("16%")="", "-", "16%"), "-"))</f>
        <v/>
      </c>
      <c r="K188" s="0" t="inlineStr">
        <is>
          <t>No agregar cuotas</t>
        </is>
      </c>
      <c r="L188" s="31">
        <f>IF(INDIRECT(ADDRESS(ROW() + (0),COLUMN() + (-1)))="Agregar cuotas", IF(("13.4%")="", "Sin costo", "13.4%"), IF(INDIRECT(ADDRESS(ROW() + (0),COLUMN() + (-1)))="No agregar cuotas", IF(("")="", "Sin costo", ""), "-"))</f>
        <v/>
      </c>
      <c r="M188" s="0" t="inlineStr">
        <is>
          <t>Mercado Envíos</t>
        </is>
      </c>
      <c r="N188" s="0" t="inlineStr">
        <is>
          <t>A cargo del comprador</t>
        </is>
      </c>
      <c r="O188" s="0" t="inlineStr">
        <is>
          <t>Acepto</t>
        </is>
      </c>
      <c r="P188" s="47" t="inlineStr">
        <is>
          <t>Sin garantía</t>
        </is>
      </c>
      <c r="R188" s="0" t="inlineStr">
        <is>
          <t>Seleccionar</t>
        </is>
      </c>
      <c r="S188" s="0" t="inlineStr">
        <is>
          <t>No ofrezco</t>
        </is>
      </c>
      <c r="T188" t="n">
        <v>2000</v>
      </c>
      <c r="U188" s="0" t="inlineStr">
        <is>
          <t>Canadá</t>
        </is>
      </c>
      <c r="X188" s="0" t="inlineStr">
        <is>
          <t>Níquel</t>
        </is>
      </c>
      <c r="Z188" t="inlineStr">
        <is>
          <t>25 Cents</t>
        </is>
      </c>
      <c r="AA188" s="0" t="inlineStr">
        <is>
          <t>Dólar</t>
        </is>
      </c>
      <c r="AB1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8" s="53">
        <f>IF(OR(TRIM(INDIRECT("B"&amp;ROW())) &lt;&gt; "",TRIM(INDIRECT("A"&amp;ROW())) &lt;&gt; ""),AND(TRIM(INDIRECT("A"&amp;ROW())) &lt;&gt; "",TRIM(INDIRECT("D"&amp;ROW())) = "nuevo"),"")</f>
        <v/>
      </c>
    </row>
    <row r="189" ht="27.5" customHeight="1" s="62">
      <c r="B189" t="inlineStr">
        <is>
          <t>Moneda Canadá 25 Cents 2000</t>
        </is>
      </c>
      <c r="C189" s="0">
        <f>LEN(INDIRECT(ADDRESS(ROW() + (0),COLUMN() + (-1))))</f>
        <v/>
      </c>
      <c r="D189" s="0" t="inlineStr">
        <is>
          <t>Usado</t>
        </is>
      </c>
      <c r="E189" s="38" t="inlineStr">
        <is>
          <t>https://numismaticapopper.com/images/504A.jpeg,https://numismaticapopper.com/images/504B.jpeg</t>
        </is>
      </c>
      <c r="F189" t="inlineStr">
        <is>
          <t>491</t>
        </is>
      </c>
      <c r="G189" s="40" t="n">
        <v>1</v>
      </c>
      <c r="H189" t="n">
        <v>8000</v>
      </c>
      <c r="I189" t="inlineStr">
        <is>
          <t>Estado de conservacion: Sin Circular
Referencia de catalogo: KM# 376
Material: Níquel
Community</t>
        </is>
      </c>
      <c r="J189" s="31">
        <f>IF(INDIRECT(ADDRESS(ROW() + (0),COLUMN() + (1)))="Agregar cuotas", IF(("16%")="", "-", "16%"), IF(INDIRECT(ADDRESS(ROW() + (0),COLUMN() + (1)))="No agregar cuotas", IF(("16%")="", "-", "16%"), "-"))</f>
        <v/>
      </c>
      <c r="K189" s="0" t="inlineStr">
        <is>
          <t>No agregar cuotas</t>
        </is>
      </c>
      <c r="L189" s="31">
        <f>IF(INDIRECT(ADDRESS(ROW() + (0),COLUMN() + (-1)))="Agregar cuotas", IF(("13.4%")="", "Sin costo", "13.4%"), IF(INDIRECT(ADDRESS(ROW() + (0),COLUMN() + (-1)))="No agregar cuotas", IF(("")="", "Sin costo", ""), "-"))</f>
        <v/>
      </c>
      <c r="M189" s="0" t="inlineStr">
        <is>
          <t>Mercado Envíos</t>
        </is>
      </c>
      <c r="N189" s="0" t="inlineStr">
        <is>
          <t>A cargo del comprador</t>
        </is>
      </c>
      <c r="O189" s="0" t="inlineStr">
        <is>
          <t>Acepto</t>
        </is>
      </c>
      <c r="P189" s="47" t="inlineStr">
        <is>
          <t>Sin garantía</t>
        </is>
      </c>
      <c r="R189" s="0" t="inlineStr">
        <is>
          <t>Seleccionar</t>
        </is>
      </c>
      <c r="S189" s="0" t="inlineStr">
        <is>
          <t>No ofrezco</t>
        </is>
      </c>
      <c r="T189" t="n">
        <v>2000</v>
      </c>
      <c r="U189" s="0" t="inlineStr">
        <is>
          <t>Canadá</t>
        </is>
      </c>
      <c r="X189" s="0" t="inlineStr">
        <is>
          <t>Níquel</t>
        </is>
      </c>
      <c r="Z189" t="inlineStr">
        <is>
          <t>25 Cents</t>
        </is>
      </c>
      <c r="AA189" s="0" t="inlineStr">
        <is>
          <t>Dólar</t>
        </is>
      </c>
      <c r="AB1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89" s="53">
        <f>IF(OR(TRIM(INDIRECT("B"&amp;ROW())) &lt;&gt; "",TRIM(INDIRECT("A"&amp;ROW())) &lt;&gt; ""),AND(TRIM(INDIRECT("A"&amp;ROW())) &lt;&gt; "",TRIM(INDIRECT("D"&amp;ROW())) = "nuevo"),"")</f>
        <v/>
      </c>
    </row>
    <row r="190" ht="27.5" customHeight="1" s="62">
      <c r="B190" t="inlineStr">
        <is>
          <t>Moneda Canadá 25 Cents 2000</t>
        </is>
      </c>
      <c r="C190" s="0">
        <f>LEN(INDIRECT(ADDRESS(ROW() + (0),COLUMN() + (-1))))</f>
        <v/>
      </c>
      <c r="D190" s="0" t="inlineStr">
        <is>
          <t>Usado</t>
        </is>
      </c>
      <c r="E190" s="38" t="inlineStr">
        <is>
          <t>https://numismaticapopper.com/images/505A.jpeg,https://numismaticapopper.com/images/505B.jpeg</t>
        </is>
      </c>
      <c r="F190" t="inlineStr">
        <is>
          <t>492</t>
        </is>
      </c>
      <c r="G190" s="40" t="n">
        <v>1</v>
      </c>
      <c r="H190" t="n">
        <v>8000</v>
      </c>
      <c r="I190" t="inlineStr">
        <is>
          <t>Estado de conservacion: Sin Circular
Referencia de catalogo: KM# 381
Material: Níquel
Achievement</t>
        </is>
      </c>
      <c r="J190" s="31">
        <f>IF(INDIRECT(ADDRESS(ROW() + (0),COLUMN() + (1)))="Agregar cuotas", IF(("16%")="", "-", "16%"), IF(INDIRECT(ADDRESS(ROW() + (0),COLUMN() + (1)))="No agregar cuotas", IF(("16%")="", "-", "16%"), "-"))</f>
        <v/>
      </c>
      <c r="K190" s="0" t="inlineStr">
        <is>
          <t>No agregar cuotas</t>
        </is>
      </c>
      <c r="L190" s="31">
        <f>IF(INDIRECT(ADDRESS(ROW() + (0),COLUMN() + (-1)))="Agregar cuotas", IF(("13.4%")="", "Sin costo", "13.4%"), IF(INDIRECT(ADDRESS(ROW() + (0),COLUMN() + (-1)))="No agregar cuotas", IF(("")="", "Sin costo", ""), "-"))</f>
        <v/>
      </c>
      <c r="M190" s="0" t="inlineStr">
        <is>
          <t>Mercado Envíos</t>
        </is>
      </c>
      <c r="N190" s="0" t="inlineStr">
        <is>
          <t>A cargo del comprador</t>
        </is>
      </c>
      <c r="O190" s="0" t="inlineStr">
        <is>
          <t>Acepto</t>
        </is>
      </c>
      <c r="P190" s="47" t="inlineStr">
        <is>
          <t>Sin garantía</t>
        </is>
      </c>
      <c r="R190" s="0" t="inlineStr">
        <is>
          <t>Seleccionar</t>
        </is>
      </c>
      <c r="S190" s="0" t="inlineStr">
        <is>
          <t>No ofrezco</t>
        </is>
      </c>
      <c r="T190" t="n">
        <v>2000</v>
      </c>
      <c r="U190" s="0" t="inlineStr">
        <is>
          <t>Canadá</t>
        </is>
      </c>
      <c r="X190" s="0" t="inlineStr">
        <is>
          <t>Níquel</t>
        </is>
      </c>
      <c r="Z190" t="inlineStr">
        <is>
          <t>25 Cents</t>
        </is>
      </c>
      <c r="AA190" s="0" t="inlineStr">
        <is>
          <t>Dólar</t>
        </is>
      </c>
      <c r="AB1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0" s="53">
        <f>IF(OR(TRIM(INDIRECT("B"&amp;ROW())) &lt;&gt; "",TRIM(INDIRECT("A"&amp;ROW())) &lt;&gt; ""),AND(TRIM(INDIRECT("A"&amp;ROW())) &lt;&gt; "",TRIM(INDIRECT("D"&amp;ROW())) = "nuevo"),"")</f>
        <v/>
      </c>
    </row>
    <row r="191" ht="27.5" customHeight="1" s="62">
      <c r="B191" t="inlineStr">
        <is>
          <t>Moneda Canadá 25 Cents 2000</t>
        </is>
      </c>
      <c r="C191" s="0">
        <f>LEN(INDIRECT(ADDRESS(ROW() + (0),COLUMN() + (-1))))</f>
        <v/>
      </c>
      <c r="D191" s="0" t="inlineStr">
        <is>
          <t>Usado</t>
        </is>
      </c>
      <c r="E191" s="38" t="inlineStr">
        <is>
          <t>https://numismaticapopper.com/images/506A.jpeg,https://numismaticapopper.com/images/506B.jpeg</t>
        </is>
      </c>
      <c r="F191" t="inlineStr">
        <is>
          <t>493</t>
        </is>
      </c>
      <c r="G191" s="40" t="n">
        <v>1</v>
      </c>
      <c r="H191" t="n">
        <v>8000</v>
      </c>
      <c r="I191" t="inlineStr">
        <is>
          <t>Estado de conservacion: Sin Circular
Referencia de catalogo: KM# 377
Material: Níquel
Harmony</t>
        </is>
      </c>
      <c r="J191" s="31">
        <f>IF(INDIRECT(ADDRESS(ROW() + (0),COLUMN() + (1)))="Agregar cuotas", IF(("16%")="", "-", "16%"), IF(INDIRECT(ADDRESS(ROW() + (0),COLUMN() + (1)))="No agregar cuotas", IF(("16%")="", "-", "16%"), "-"))</f>
        <v/>
      </c>
      <c r="K191" s="0" t="inlineStr">
        <is>
          <t>No agregar cuotas</t>
        </is>
      </c>
      <c r="L191" s="31">
        <f>IF(INDIRECT(ADDRESS(ROW() + (0),COLUMN() + (-1)))="Agregar cuotas", IF(("13.4%")="", "Sin costo", "13.4%"), IF(INDIRECT(ADDRESS(ROW() + (0),COLUMN() + (-1)))="No agregar cuotas", IF(("")="", "Sin costo", ""), "-"))</f>
        <v/>
      </c>
      <c r="M191" s="0" t="inlineStr">
        <is>
          <t>Mercado Envíos</t>
        </is>
      </c>
      <c r="N191" s="0" t="inlineStr">
        <is>
          <t>A cargo del comprador</t>
        </is>
      </c>
      <c r="O191" s="0" t="inlineStr">
        <is>
          <t>Acepto</t>
        </is>
      </c>
      <c r="P191" s="47" t="inlineStr">
        <is>
          <t>Sin garantía</t>
        </is>
      </c>
      <c r="R191" s="0" t="inlineStr">
        <is>
          <t>Seleccionar</t>
        </is>
      </c>
      <c r="S191" s="0" t="inlineStr">
        <is>
          <t>No ofrezco</t>
        </is>
      </c>
      <c r="T191" t="n">
        <v>2000</v>
      </c>
      <c r="U191" s="0" t="inlineStr">
        <is>
          <t>Canadá</t>
        </is>
      </c>
      <c r="X191" s="0" t="inlineStr">
        <is>
          <t>Níquel</t>
        </is>
      </c>
      <c r="Z191" t="inlineStr">
        <is>
          <t>25 Cents</t>
        </is>
      </c>
      <c r="AA191" s="0" t="inlineStr">
        <is>
          <t>Dólar</t>
        </is>
      </c>
      <c r="AB1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1" s="53">
        <f>IF(OR(TRIM(INDIRECT("B"&amp;ROW())) &lt;&gt; "",TRIM(INDIRECT("A"&amp;ROW())) &lt;&gt; ""),AND(TRIM(INDIRECT("A"&amp;ROW())) &lt;&gt; "",TRIM(INDIRECT("D"&amp;ROW())) = "nuevo"),"")</f>
        <v/>
      </c>
    </row>
    <row r="192" ht="27.5" customHeight="1" s="62">
      <c r="B192" t="inlineStr">
        <is>
          <t>Moneda Canadá 25 Cents 2000</t>
        </is>
      </c>
      <c r="C192" s="0">
        <f>LEN(INDIRECT(ADDRESS(ROW() + (0),COLUMN() + (-1))))</f>
        <v/>
      </c>
      <c r="D192" s="0" t="inlineStr">
        <is>
          <t>Usado</t>
        </is>
      </c>
      <c r="E192" s="38" t="inlineStr">
        <is>
          <t>https://numismaticapopper.com/images/507A.jpeg,https://numismaticapopper.com/images/507B.jpeg</t>
        </is>
      </c>
      <c r="F192" t="inlineStr">
        <is>
          <t>494</t>
        </is>
      </c>
      <c r="G192" s="40" t="n">
        <v>1</v>
      </c>
      <c r="H192" t="n">
        <v>8000</v>
      </c>
      <c r="I192" t="inlineStr">
        <is>
          <t>Estado de conservacion: Sin Circular
Referencia de catalogo: KM# 382
Material: Níquel
Natural Legacy</t>
        </is>
      </c>
      <c r="J192" s="31">
        <f>IF(INDIRECT(ADDRESS(ROW() + (0),COLUMN() + (1)))="Agregar cuotas", IF(("16%")="", "-", "16%"), IF(INDIRECT(ADDRESS(ROW() + (0),COLUMN() + (1)))="No agregar cuotas", IF(("16%")="", "-", "16%"), "-"))</f>
        <v/>
      </c>
      <c r="K192" s="0" t="inlineStr">
        <is>
          <t>No agregar cuotas</t>
        </is>
      </c>
      <c r="L192" s="31">
        <f>IF(INDIRECT(ADDRESS(ROW() + (0),COLUMN() + (-1)))="Agregar cuotas", IF(("13.4%")="", "Sin costo", "13.4%"), IF(INDIRECT(ADDRESS(ROW() + (0),COLUMN() + (-1)))="No agregar cuotas", IF(("")="", "Sin costo", ""), "-"))</f>
        <v/>
      </c>
      <c r="M192" s="0" t="inlineStr">
        <is>
          <t>Mercado Envíos</t>
        </is>
      </c>
      <c r="N192" s="0" t="inlineStr">
        <is>
          <t>A cargo del comprador</t>
        </is>
      </c>
      <c r="O192" s="0" t="inlineStr">
        <is>
          <t>Acepto</t>
        </is>
      </c>
      <c r="P192" s="47" t="inlineStr">
        <is>
          <t>Sin garantía</t>
        </is>
      </c>
      <c r="R192" s="0" t="inlineStr">
        <is>
          <t>Seleccionar</t>
        </is>
      </c>
      <c r="S192" s="0" t="inlineStr">
        <is>
          <t>No ofrezco</t>
        </is>
      </c>
      <c r="T192" t="n">
        <v>2000</v>
      </c>
      <c r="U192" s="0" t="inlineStr">
        <is>
          <t>Canadá</t>
        </is>
      </c>
      <c r="X192" s="0" t="inlineStr">
        <is>
          <t>Níquel</t>
        </is>
      </c>
      <c r="Z192" t="inlineStr">
        <is>
          <t>25 Cents</t>
        </is>
      </c>
      <c r="AA192" s="0" t="inlineStr">
        <is>
          <t>Dólar</t>
        </is>
      </c>
      <c r="AB1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2" s="53">
        <f>IF(OR(TRIM(INDIRECT("B"&amp;ROW())) &lt;&gt; "",TRIM(INDIRECT("A"&amp;ROW())) &lt;&gt; ""),AND(TRIM(INDIRECT("A"&amp;ROW())) &lt;&gt; "",TRIM(INDIRECT("D"&amp;ROW())) = "nuevo"),"")</f>
        <v/>
      </c>
    </row>
    <row r="193" ht="27.5" customHeight="1" s="62">
      <c r="B193" t="inlineStr">
        <is>
          <t>Moneda Canadá 25 Cents 2000</t>
        </is>
      </c>
      <c r="C193" s="0">
        <f>LEN(INDIRECT(ADDRESS(ROW() + (0),COLUMN() + (-1))))</f>
        <v/>
      </c>
      <c r="D193" s="0" t="inlineStr">
        <is>
          <t>Usado</t>
        </is>
      </c>
      <c r="E193" s="38" t="inlineStr">
        <is>
          <t>https://numismaticapopper.com/images/508A.jpeg,https://numismaticapopper.com/images/508B.jpeg</t>
        </is>
      </c>
      <c r="F193" t="inlineStr">
        <is>
          <t>495</t>
        </is>
      </c>
      <c r="G193" s="40" t="n">
        <v>1</v>
      </c>
      <c r="H193" t="n">
        <v>8000</v>
      </c>
      <c r="I193" t="inlineStr">
        <is>
          <t>Estado de conservacion: Sin Circular
Referencia de catalogo: KM# 373
Material: Níquel
Health</t>
        </is>
      </c>
      <c r="J193" s="31">
        <f>IF(INDIRECT(ADDRESS(ROW() + (0),COLUMN() + (1)))="Agregar cuotas", IF(("16%")="", "-", "16%"), IF(INDIRECT(ADDRESS(ROW() + (0),COLUMN() + (1)))="No agregar cuotas", IF(("16%")="", "-", "16%"), "-"))</f>
        <v/>
      </c>
      <c r="K193" s="0" t="inlineStr">
        <is>
          <t>No agregar cuotas</t>
        </is>
      </c>
      <c r="L193" s="31">
        <f>IF(INDIRECT(ADDRESS(ROW() + (0),COLUMN() + (-1)))="Agregar cuotas", IF(("13.4%")="", "Sin costo", "13.4%"), IF(INDIRECT(ADDRESS(ROW() + (0),COLUMN() + (-1)))="No agregar cuotas", IF(("")="", "Sin costo", ""), "-"))</f>
        <v/>
      </c>
      <c r="M193" s="0" t="inlineStr">
        <is>
          <t>Mercado Envíos</t>
        </is>
      </c>
      <c r="N193" s="0" t="inlineStr">
        <is>
          <t>A cargo del comprador</t>
        </is>
      </c>
      <c r="O193" s="0" t="inlineStr">
        <is>
          <t>Acepto</t>
        </is>
      </c>
      <c r="P193" s="47" t="inlineStr">
        <is>
          <t>Sin garantía</t>
        </is>
      </c>
      <c r="R193" s="0" t="inlineStr">
        <is>
          <t>Seleccionar</t>
        </is>
      </c>
      <c r="S193" s="0" t="inlineStr">
        <is>
          <t>No ofrezco</t>
        </is>
      </c>
      <c r="T193" t="n">
        <v>2000</v>
      </c>
      <c r="U193" s="0" t="inlineStr">
        <is>
          <t>Canadá</t>
        </is>
      </c>
      <c r="X193" s="0" t="inlineStr">
        <is>
          <t>Níquel</t>
        </is>
      </c>
      <c r="Z193" t="inlineStr">
        <is>
          <t>25 Cents</t>
        </is>
      </c>
      <c r="AA193" s="0" t="inlineStr">
        <is>
          <t>Dólar</t>
        </is>
      </c>
      <c r="AB1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3" s="53">
        <f>IF(OR(TRIM(INDIRECT("B"&amp;ROW())) &lt;&gt; "",TRIM(INDIRECT("A"&amp;ROW())) &lt;&gt; ""),AND(TRIM(INDIRECT("A"&amp;ROW())) &lt;&gt; "",TRIM(INDIRECT("D"&amp;ROW())) = "nuevo"),"")</f>
        <v/>
      </c>
    </row>
    <row r="194" ht="27.5" customHeight="1" s="62">
      <c r="B194" t="inlineStr">
        <is>
          <t>Moneda Canadá 25 Cents 2000</t>
        </is>
      </c>
      <c r="C194" s="0">
        <f>LEN(INDIRECT(ADDRESS(ROW() + (0),COLUMN() + (-1))))</f>
        <v/>
      </c>
      <c r="D194" s="0" t="inlineStr">
        <is>
          <t>Usado</t>
        </is>
      </c>
      <c r="E194" s="38" t="inlineStr">
        <is>
          <t>https://numismaticapopper.com/images/509A.jpeg,https://numismaticapopper.com/images/509B.jpeg</t>
        </is>
      </c>
      <c r="F194" t="inlineStr">
        <is>
          <t>496</t>
        </is>
      </c>
      <c r="G194" s="40" t="n">
        <v>1</v>
      </c>
      <c r="H194" t="n">
        <v>8000</v>
      </c>
      <c r="I194" t="inlineStr">
        <is>
          <t>Estado de conservacion: Sin Circular
Referencia de catalogo: KM# 378
Material: Níquel
Wisdom</t>
        </is>
      </c>
      <c r="J194" s="31">
        <f>IF(INDIRECT(ADDRESS(ROW() + (0),COLUMN() + (1)))="Agregar cuotas", IF(("16%")="", "-", "16%"), IF(INDIRECT(ADDRESS(ROW() + (0),COLUMN() + (1)))="No agregar cuotas", IF(("16%")="", "-", "16%"), "-"))</f>
        <v/>
      </c>
      <c r="K194" s="0" t="inlineStr">
        <is>
          <t>No agregar cuotas</t>
        </is>
      </c>
      <c r="L194" s="31">
        <f>IF(INDIRECT(ADDRESS(ROW() + (0),COLUMN() + (-1)))="Agregar cuotas", IF(("13.4%")="", "Sin costo", "13.4%"), IF(INDIRECT(ADDRESS(ROW() + (0),COLUMN() + (-1)))="No agregar cuotas", IF(("")="", "Sin costo", ""), "-"))</f>
        <v/>
      </c>
      <c r="M194" s="0" t="inlineStr">
        <is>
          <t>Mercado Envíos</t>
        </is>
      </c>
      <c r="N194" s="0" t="inlineStr">
        <is>
          <t>A cargo del comprador</t>
        </is>
      </c>
      <c r="O194" s="0" t="inlineStr">
        <is>
          <t>Acepto</t>
        </is>
      </c>
      <c r="P194" s="47" t="inlineStr">
        <is>
          <t>Sin garantía</t>
        </is>
      </c>
      <c r="R194" s="0" t="inlineStr">
        <is>
          <t>Seleccionar</t>
        </is>
      </c>
      <c r="S194" s="0" t="inlineStr">
        <is>
          <t>No ofrezco</t>
        </is>
      </c>
      <c r="T194" t="n">
        <v>2000</v>
      </c>
      <c r="U194" s="0" t="inlineStr">
        <is>
          <t>Canadá</t>
        </is>
      </c>
      <c r="X194" s="0" t="inlineStr">
        <is>
          <t>Níquel</t>
        </is>
      </c>
      <c r="Z194" t="inlineStr">
        <is>
          <t>25 Cents</t>
        </is>
      </c>
      <c r="AA194" s="0" t="inlineStr">
        <is>
          <t>Dólar</t>
        </is>
      </c>
      <c r="AB1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4" s="53">
        <f>IF(OR(TRIM(INDIRECT("B"&amp;ROW())) &lt;&gt; "",TRIM(INDIRECT("A"&amp;ROW())) &lt;&gt; ""),AND(TRIM(INDIRECT("A"&amp;ROW())) &lt;&gt; "",TRIM(INDIRECT("D"&amp;ROW())) = "nuevo"),"")</f>
        <v/>
      </c>
    </row>
    <row r="195" ht="27.5" customHeight="1" s="62">
      <c r="B195" t="inlineStr">
        <is>
          <t>Moneda Canadá 25 Cents 2000</t>
        </is>
      </c>
      <c r="C195" s="0">
        <f>LEN(INDIRECT(ADDRESS(ROW() + (0),COLUMN() + (-1))))</f>
        <v/>
      </c>
      <c r="D195" s="0" t="inlineStr">
        <is>
          <t>Usado</t>
        </is>
      </c>
      <c r="E195" s="38" t="inlineStr">
        <is>
          <t>https://numismaticapopper.com/images/510A.jpeg,https://numismaticapopper.com/images/510B.jpeg</t>
        </is>
      </c>
      <c r="F195" t="inlineStr">
        <is>
          <t>497</t>
        </is>
      </c>
      <c r="G195" s="40" t="n">
        <v>1</v>
      </c>
      <c r="H195" t="n">
        <v>8000</v>
      </c>
      <c r="I195" t="inlineStr">
        <is>
          <t>Estado de conservacion: Sin Circular
Referencia de catalogo: KM# 379
Material: Níquel
Creativity</t>
        </is>
      </c>
      <c r="J195" s="31">
        <f>IF(INDIRECT(ADDRESS(ROW() + (0),COLUMN() + (1)))="Agregar cuotas", IF(("16%")="", "-", "16%"), IF(INDIRECT(ADDRESS(ROW() + (0),COLUMN() + (1)))="No agregar cuotas", IF(("16%")="", "-", "16%"), "-"))</f>
        <v/>
      </c>
      <c r="K195" s="0" t="inlineStr">
        <is>
          <t>No agregar cuotas</t>
        </is>
      </c>
      <c r="L195" s="31">
        <f>IF(INDIRECT(ADDRESS(ROW() + (0),COLUMN() + (-1)))="Agregar cuotas", IF(("13.4%")="", "Sin costo", "13.4%"), IF(INDIRECT(ADDRESS(ROW() + (0),COLUMN() + (-1)))="No agregar cuotas", IF(("")="", "Sin costo", ""), "-"))</f>
        <v/>
      </c>
      <c r="M195" s="0" t="inlineStr">
        <is>
          <t>Mercado Envíos</t>
        </is>
      </c>
      <c r="N195" s="0" t="inlineStr">
        <is>
          <t>A cargo del comprador</t>
        </is>
      </c>
      <c r="O195" s="0" t="inlineStr">
        <is>
          <t>Acepto</t>
        </is>
      </c>
      <c r="P195" s="47" t="inlineStr">
        <is>
          <t>Sin garantía</t>
        </is>
      </c>
      <c r="R195" s="0" t="inlineStr">
        <is>
          <t>Seleccionar</t>
        </is>
      </c>
      <c r="S195" s="0" t="inlineStr">
        <is>
          <t>No ofrezco</t>
        </is>
      </c>
      <c r="T195" t="n">
        <v>2000</v>
      </c>
      <c r="U195" s="0" t="inlineStr">
        <is>
          <t>Canadá</t>
        </is>
      </c>
      <c r="X195" s="0" t="inlineStr">
        <is>
          <t>Níquel</t>
        </is>
      </c>
      <c r="Z195" t="inlineStr">
        <is>
          <t>25 Cents</t>
        </is>
      </c>
      <c r="AA195" s="0" t="inlineStr">
        <is>
          <t>Dólar</t>
        </is>
      </c>
      <c r="AB1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5" s="53">
        <f>IF(OR(TRIM(INDIRECT("B"&amp;ROW())) &lt;&gt; "",TRIM(INDIRECT("A"&amp;ROW())) &lt;&gt; ""),AND(TRIM(INDIRECT("A"&amp;ROW())) &lt;&gt; "",TRIM(INDIRECT("D"&amp;ROW())) = "nuevo"),"")</f>
        <v/>
      </c>
    </row>
    <row r="196" ht="27.5" customHeight="1" s="62">
      <c r="B196" t="inlineStr">
        <is>
          <t>Moneda Canadá 25 Cents 2000</t>
        </is>
      </c>
      <c r="C196" s="0">
        <f>LEN(INDIRECT(ADDRESS(ROW() + (0),COLUMN() + (-1))))</f>
        <v/>
      </c>
      <c r="D196" s="0" t="inlineStr">
        <is>
          <t>Usado</t>
        </is>
      </c>
      <c r="E196" s="38" t="inlineStr">
        <is>
          <t>https://numismaticapopper.com/images/511A.jpeg,https://numismaticapopper.com/images/511B.jpeg</t>
        </is>
      </c>
      <c r="F196" t="inlineStr">
        <is>
          <t>498</t>
        </is>
      </c>
      <c r="G196" s="40" t="n">
        <v>1</v>
      </c>
      <c r="H196" t="n">
        <v>8000</v>
      </c>
      <c r="I196" t="inlineStr">
        <is>
          <t>Estado de conservacion: Sin Circular
Referencia de catalogo: KM# 375
Material: Níquel
Family</t>
        </is>
      </c>
      <c r="J196" s="31">
        <f>IF(INDIRECT(ADDRESS(ROW() + (0),COLUMN() + (1)))="Agregar cuotas", IF(("16%")="", "-", "16%"), IF(INDIRECT(ADDRESS(ROW() + (0),COLUMN() + (1)))="No agregar cuotas", IF(("16%")="", "-", "16%"), "-"))</f>
        <v/>
      </c>
      <c r="K196" s="0" t="inlineStr">
        <is>
          <t>No agregar cuotas</t>
        </is>
      </c>
      <c r="L196" s="31">
        <f>IF(INDIRECT(ADDRESS(ROW() + (0),COLUMN() + (-1)))="Agregar cuotas", IF(("13.4%")="", "Sin costo", "13.4%"), IF(INDIRECT(ADDRESS(ROW() + (0),COLUMN() + (-1)))="No agregar cuotas", IF(("")="", "Sin costo", ""), "-"))</f>
        <v/>
      </c>
      <c r="M196" s="0" t="inlineStr">
        <is>
          <t>Mercado Envíos</t>
        </is>
      </c>
      <c r="N196" s="0" t="inlineStr">
        <is>
          <t>A cargo del comprador</t>
        </is>
      </c>
      <c r="O196" s="0" t="inlineStr">
        <is>
          <t>Acepto</t>
        </is>
      </c>
      <c r="P196" s="47" t="inlineStr">
        <is>
          <t>Sin garantía</t>
        </is>
      </c>
      <c r="R196" s="0" t="inlineStr">
        <is>
          <t>Seleccionar</t>
        </is>
      </c>
      <c r="S196" s="0" t="inlineStr">
        <is>
          <t>No ofrezco</t>
        </is>
      </c>
      <c r="T196" t="n">
        <v>2000</v>
      </c>
      <c r="U196" s="0" t="inlineStr">
        <is>
          <t>Canadá</t>
        </is>
      </c>
      <c r="X196" s="0" t="inlineStr">
        <is>
          <t>Níquel</t>
        </is>
      </c>
      <c r="Z196" t="inlineStr">
        <is>
          <t>25 Cents</t>
        </is>
      </c>
      <c r="AA196" s="0" t="inlineStr">
        <is>
          <t>Dólar</t>
        </is>
      </c>
      <c r="AB1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6" s="53">
        <f>IF(OR(TRIM(INDIRECT("B"&amp;ROW())) &lt;&gt; "",TRIM(INDIRECT("A"&amp;ROW())) &lt;&gt; ""),AND(TRIM(INDIRECT("A"&amp;ROW())) &lt;&gt; "",TRIM(INDIRECT("D"&amp;ROW())) = "nuevo"),"")</f>
        <v/>
      </c>
    </row>
    <row r="197" ht="27.5" customHeight="1" s="62">
      <c r="B197" t="inlineStr">
        <is>
          <t>Moneda Canadá 25 Cents 2000</t>
        </is>
      </c>
      <c r="C197" s="0">
        <f>LEN(INDIRECT(ADDRESS(ROW() + (0),COLUMN() + (-1))))</f>
        <v/>
      </c>
      <c r="D197" s="0" t="inlineStr">
        <is>
          <t>Usado</t>
        </is>
      </c>
      <c r="E197" s="38" t="inlineStr">
        <is>
          <t>https://numismaticapopper.com/images/512A.jpeg,https://numismaticapopper.com/images/512B.jpeg</t>
        </is>
      </c>
      <c r="F197" t="inlineStr">
        <is>
          <t>499</t>
        </is>
      </c>
      <c r="G197" s="40" t="n">
        <v>1</v>
      </c>
      <c r="H197" t="n">
        <v>8000</v>
      </c>
      <c r="I197" t="inlineStr">
        <is>
          <t>Estado de conservacion: Sin Circular
Referencia de catalogo: KM# 383
Material: Níquel
Celebration</t>
        </is>
      </c>
      <c r="J197" s="31">
        <f>IF(INDIRECT(ADDRESS(ROW() + (0),COLUMN() + (1)))="Agregar cuotas", IF(("16%")="", "-", "16%"), IF(INDIRECT(ADDRESS(ROW() + (0),COLUMN() + (1)))="No agregar cuotas", IF(("16%")="", "-", "16%"), "-"))</f>
        <v/>
      </c>
      <c r="K197" s="0" t="inlineStr">
        <is>
          <t>No agregar cuotas</t>
        </is>
      </c>
      <c r="L197" s="31">
        <f>IF(INDIRECT(ADDRESS(ROW() + (0),COLUMN() + (-1)))="Agregar cuotas", IF(("13.4%")="", "Sin costo", "13.4%"), IF(INDIRECT(ADDRESS(ROW() + (0),COLUMN() + (-1)))="No agregar cuotas", IF(("")="", "Sin costo", ""), "-"))</f>
        <v/>
      </c>
      <c r="M197" s="0" t="inlineStr">
        <is>
          <t>Mercado Envíos</t>
        </is>
      </c>
      <c r="N197" s="0" t="inlineStr">
        <is>
          <t>A cargo del comprador</t>
        </is>
      </c>
      <c r="O197" s="0" t="inlineStr">
        <is>
          <t>Acepto</t>
        </is>
      </c>
      <c r="P197" s="47" t="inlineStr">
        <is>
          <t>Sin garantía</t>
        </is>
      </c>
      <c r="R197" s="0" t="inlineStr">
        <is>
          <t>Seleccionar</t>
        </is>
      </c>
      <c r="S197" s="0" t="inlineStr">
        <is>
          <t>No ofrezco</t>
        </is>
      </c>
      <c r="T197" t="n">
        <v>2000</v>
      </c>
      <c r="U197" s="0" t="inlineStr">
        <is>
          <t>Canadá</t>
        </is>
      </c>
      <c r="X197" s="0" t="inlineStr">
        <is>
          <t>Níquel</t>
        </is>
      </c>
      <c r="Z197" t="inlineStr">
        <is>
          <t>25 Cents</t>
        </is>
      </c>
      <c r="AA197" s="0" t="inlineStr">
        <is>
          <t>Dólar</t>
        </is>
      </c>
      <c r="AB1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7" s="53">
        <f>IF(OR(TRIM(INDIRECT("B"&amp;ROW())) &lt;&gt; "",TRIM(INDIRECT("A"&amp;ROW())) &lt;&gt; ""),AND(TRIM(INDIRECT("A"&amp;ROW())) &lt;&gt; "",TRIM(INDIRECT("D"&amp;ROW())) = "nuevo"),"")</f>
        <v/>
      </c>
    </row>
    <row r="198" ht="27.5" customHeight="1" s="62">
      <c r="B198" t="inlineStr">
        <is>
          <t>Moneda Canadá 25 Cents 2000</t>
        </is>
      </c>
      <c r="C198" s="0">
        <f>LEN(INDIRECT(ADDRESS(ROW() + (0),COLUMN() + (-1))))</f>
        <v/>
      </c>
      <c r="D198" s="0" t="inlineStr">
        <is>
          <t>Usado</t>
        </is>
      </c>
      <c r="E198" s="38" t="inlineStr">
        <is>
          <t>https://numismaticapopper.com/images/513A.jpeg,https://numismaticapopper.com/images/513B.jpeg</t>
        </is>
      </c>
      <c r="F198" t="inlineStr">
        <is>
          <t>500</t>
        </is>
      </c>
      <c r="G198" s="40" t="n">
        <v>1</v>
      </c>
      <c r="H198" t="n">
        <v>8000</v>
      </c>
      <c r="I198" t="inlineStr">
        <is>
          <t>Estado de conservacion: Sin Circular
Referencia de catalogo: KM# 380
Material: Níquel
Ingenuity</t>
        </is>
      </c>
      <c r="J198" s="31">
        <f>IF(INDIRECT(ADDRESS(ROW() + (0),COLUMN() + (1)))="Agregar cuotas", IF(("16%")="", "-", "16%"), IF(INDIRECT(ADDRESS(ROW() + (0),COLUMN() + (1)))="No agregar cuotas", IF(("16%")="", "-", "16%"), "-"))</f>
        <v/>
      </c>
      <c r="K198" s="0" t="inlineStr">
        <is>
          <t>No agregar cuotas</t>
        </is>
      </c>
      <c r="L198" s="31">
        <f>IF(INDIRECT(ADDRESS(ROW() + (0),COLUMN() + (-1)))="Agregar cuotas", IF(("13.4%")="", "Sin costo", "13.4%"), IF(INDIRECT(ADDRESS(ROW() + (0),COLUMN() + (-1)))="No agregar cuotas", IF(("")="", "Sin costo", ""), "-"))</f>
        <v/>
      </c>
      <c r="M198" s="0" t="inlineStr">
        <is>
          <t>Mercado Envíos</t>
        </is>
      </c>
      <c r="N198" s="0" t="inlineStr">
        <is>
          <t>A cargo del comprador</t>
        </is>
      </c>
      <c r="O198" s="0" t="inlineStr">
        <is>
          <t>Acepto</t>
        </is>
      </c>
      <c r="P198" s="47" t="inlineStr">
        <is>
          <t>Sin garantía</t>
        </is>
      </c>
      <c r="R198" s="0" t="inlineStr">
        <is>
          <t>Seleccionar</t>
        </is>
      </c>
      <c r="S198" s="0" t="inlineStr">
        <is>
          <t>No ofrezco</t>
        </is>
      </c>
      <c r="T198" t="n">
        <v>2000</v>
      </c>
      <c r="U198" s="0" t="inlineStr">
        <is>
          <t>Canadá</t>
        </is>
      </c>
      <c r="X198" s="0" t="inlineStr">
        <is>
          <t>Níquel</t>
        </is>
      </c>
      <c r="Z198" t="inlineStr">
        <is>
          <t>25 Cents</t>
        </is>
      </c>
      <c r="AA198" s="0" t="inlineStr">
        <is>
          <t>Dólar</t>
        </is>
      </c>
      <c r="AB1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8" s="53">
        <f>IF(OR(TRIM(INDIRECT("B"&amp;ROW())) &lt;&gt; "",TRIM(INDIRECT("A"&amp;ROW())) &lt;&gt; ""),AND(TRIM(INDIRECT("A"&amp;ROW())) &lt;&gt; "",TRIM(INDIRECT("D"&amp;ROW())) = "nuevo"),"")</f>
        <v/>
      </c>
    </row>
    <row r="199" ht="27.5" customHeight="1" s="62">
      <c r="B199" t="inlineStr">
        <is>
          <t>Moneda Argentina 50 Centavos 1996</t>
        </is>
      </c>
      <c r="C199" s="0">
        <f>LEN(INDIRECT(ADDRESS(ROW() + (0),COLUMN() + (-1))))</f>
        <v/>
      </c>
      <c r="D199" s="0" t="inlineStr">
        <is>
          <t>Usado</t>
        </is>
      </c>
      <c r="E199" s="38" t="inlineStr">
        <is>
          <t>https://numismaticapopper.com/images/514A.jpeg,https://numismaticapopper.com/images/514B.jpeg</t>
        </is>
      </c>
      <c r="F199" t="inlineStr">
        <is>
          <t>501</t>
        </is>
      </c>
      <c r="G199" s="40" t="n">
        <v>1</v>
      </c>
      <c r="H199" t="n">
        <v>8000</v>
      </c>
      <c r="I199" t="inlineStr">
        <is>
          <t>Estado de conservacion: Excelente +
Referencia de catalogo: CJ# 5.4
Material: Bronce de aluminio
Unicef</t>
        </is>
      </c>
      <c r="J199" s="31">
        <f>IF(INDIRECT(ADDRESS(ROW() + (0),COLUMN() + (1)))="Agregar cuotas", IF(("16%")="", "-", "16%"), IF(INDIRECT(ADDRESS(ROW() + (0),COLUMN() + (1)))="No agregar cuotas", IF(("16%")="", "-", "16%"), "-"))</f>
        <v/>
      </c>
      <c r="K199" s="0" t="inlineStr">
        <is>
          <t>No agregar cuotas</t>
        </is>
      </c>
      <c r="L199" s="31">
        <f>IF(INDIRECT(ADDRESS(ROW() + (0),COLUMN() + (-1)))="Agregar cuotas", IF(("13.4%")="", "Sin costo", "13.4%"), IF(INDIRECT(ADDRESS(ROW() + (0),COLUMN() + (-1)))="No agregar cuotas", IF(("")="", "Sin costo", ""), "-"))</f>
        <v/>
      </c>
      <c r="M199" s="0" t="inlineStr">
        <is>
          <t>Mercado Envíos</t>
        </is>
      </c>
      <c r="N199" s="0" t="inlineStr">
        <is>
          <t>A cargo del comprador</t>
        </is>
      </c>
      <c r="O199" s="0" t="inlineStr">
        <is>
          <t>Acepto</t>
        </is>
      </c>
      <c r="P199" s="47" t="inlineStr">
        <is>
          <t>Sin garantía</t>
        </is>
      </c>
      <c r="R199" s="0" t="inlineStr">
        <is>
          <t>Seleccionar</t>
        </is>
      </c>
      <c r="S199" s="0" t="inlineStr">
        <is>
          <t>No ofrezco</t>
        </is>
      </c>
      <c r="T199" t="n">
        <v>1996</v>
      </c>
      <c r="U199" s="0" t="inlineStr">
        <is>
          <t>Argentina</t>
        </is>
      </c>
      <c r="X199" s="0" t="inlineStr">
        <is>
          <t>Bronce</t>
        </is>
      </c>
      <c r="Z199" t="inlineStr">
        <is>
          <t>50 Centavos</t>
        </is>
      </c>
      <c r="AA199" s="0" t="inlineStr">
        <is>
          <t>Peso</t>
        </is>
      </c>
      <c r="AB1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99" s="53">
        <f>IF(OR(TRIM(INDIRECT("B"&amp;ROW())) &lt;&gt; "",TRIM(INDIRECT("A"&amp;ROW())) &lt;&gt; ""),AND(TRIM(INDIRECT("A"&amp;ROW())) &lt;&gt; "",TRIM(INDIRECT("D"&amp;ROW())) = "nuevo"),"")</f>
        <v/>
      </c>
    </row>
    <row r="200" ht="27.5" customHeight="1" s="62">
      <c r="B200" t="inlineStr">
        <is>
          <t>Moneda Argentina 50 Centavos 2000</t>
        </is>
      </c>
      <c r="C200" s="0">
        <f>LEN(INDIRECT(ADDRESS(ROW() + (0),COLUMN() + (-1))))</f>
        <v/>
      </c>
      <c r="D200" s="0" t="inlineStr">
        <is>
          <t>Usado</t>
        </is>
      </c>
      <c r="E200" s="38" t="inlineStr">
        <is>
          <t>https://numismaticapopper.com/images/516A.jpeg,https://numismaticapopper.com/images/516B.jpeg</t>
        </is>
      </c>
      <c r="F200" t="inlineStr">
        <is>
          <t>503</t>
        </is>
      </c>
      <c r="G200" s="40" t="n">
        <v>1</v>
      </c>
      <c r="H200" t="n">
        <v>8000</v>
      </c>
      <c r="I200" t="inlineStr">
        <is>
          <t>Estado de conservacion: Sin Circular
Referencia de catalogo: CJ# 5.8.1
Material: Bronce de aluminio
San Martín</t>
        </is>
      </c>
      <c r="J200" s="31">
        <f>IF(INDIRECT(ADDRESS(ROW() + (0),COLUMN() + (1)))="Agregar cuotas", IF(("16%")="", "-", "16%"), IF(INDIRECT(ADDRESS(ROW() + (0),COLUMN() + (1)))="No agregar cuotas", IF(("16%")="", "-", "16%"), "-"))</f>
        <v/>
      </c>
      <c r="K200" s="0" t="inlineStr">
        <is>
          <t>No agregar cuotas</t>
        </is>
      </c>
      <c r="L200" s="31">
        <f>IF(INDIRECT(ADDRESS(ROW() + (0),COLUMN() + (-1)))="Agregar cuotas", IF(("13.4%")="", "Sin costo", "13.4%"), IF(INDIRECT(ADDRESS(ROW() + (0),COLUMN() + (-1)))="No agregar cuotas", IF(("")="", "Sin costo", ""), "-"))</f>
        <v/>
      </c>
      <c r="M200" s="0" t="inlineStr">
        <is>
          <t>Mercado Envíos</t>
        </is>
      </c>
      <c r="N200" s="0" t="inlineStr">
        <is>
          <t>A cargo del comprador</t>
        </is>
      </c>
      <c r="O200" s="0" t="inlineStr">
        <is>
          <t>Acepto</t>
        </is>
      </c>
      <c r="P200" s="47" t="inlineStr">
        <is>
          <t>Sin garantía</t>
        </is>
      </c>
      <c r="R200" s="0" t="inlineStr">
        <is>
          <t>Seleccionar</t>
        </is>
      </c>
      <c r="S200" s="0" t="inlineStr">
        <is>
          <t>No ofrezco</t>
        </is>
      </c>
      <c r="T200" t="n">
        <v>2000</v>
      </c>
      <c r="U200" s="0" t="inlineStr">
        <is>
          <t>Argentina</t>
        </is>
      </c>
      <c r="X200" s="0" t="inlineStr">
        <is>
          <t>Bronce</t>
        </is>
      </c>
      <c r="Z200" t="inlineStr">
        <is>
          <t>50 Centavos</t>
        </is>
      </c>
      <c r="AA200" s="0" t="inlineStr">
        <is>
          <t>Peso</t>
        </is>
      </c>
      <c r="AB2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0" s="53">
        <f>IF(OR(TRIM(INDIRECT("B"&amp;ROW())) &lt;&gt; "",TRIM(INDIRECT("A"&amp;ROW())) &lt;&gt; ""),AND(TRIM(INDIRECT("A"&amp;ROW())) &lt;&gt; "",TRIM(INDIRECT("D"&amp;ROW())) = "nuevo"),"")</f>
        <v/>
      </c>
    </row>
    <row r="201" ht="27.5" customHeight="1" s="62">
      <c r="B201" t="inlineStr">
        <is>
          <t>Moneda Argentina 50 Centavos 2000</t>
        </is>
      </c>
      <c r="C201" s="0">
        <f>LEN(INDIRECT(ADDRESS(ROW() + (0),COLUMN() + (-1))))</f>
        <v/>
      </c>
      <c r="D201" s="0" t="inlineStr">
        <is>
          <t>Usado</t>
        </is>
      </c>
      <c r="E201" s="38" t="inlineStr">
        <is>
          <t>https://numismaticapopper.com/images/517A.jpeg,https://numismaticapopper.com/images/517B.jpeg</t>
        </is>
      </c>
      <c r="F201" t="inlineStr">
        <is>
          <t>504</t>
        </is>
      </c>
      <c r="G201" s="40" t="n">
        <v>1</v>
      </c>
      <c r="H201" t="n">
        <v>8000</v>
      </c>
      <c r="I201" t="inlineStr">
        <is>
          <t>Estado de conservacion: Sin Circular
Referencia de catalogo: CJ# 5.7.1
Material: Bronce de aluminio
Güemes</t>
        </is>
      </c>
      <c r="J201" s="31">
        <f>IF(INDIRECT(ADDRESS(ROW() + (0),COLUMN() + (1)))="Agregar cuotas", IF(("16%")="", "-", "16%"), IF(INDIRECT(ADDRESS(ROW() + (0),COLUMN() + (1)))="No agregar cuotas", IF(("16%")="", "-", "16%"), "-"))</f>
        <v/>
      </c>
      <c r="K201" s="0" t="inlineStr">
        <is>
          <t>No agregar cuotas</t>
        </is>
      </c>
      <c r="L201" s="31">
        <f>IF(INDIRECT(ADDRESS(ROW() + (0),COLUMN() + (-1)))="Agregar cuotas", IF(("13.4%")="", "Sin costo", "13.4%"), IF(INDIRECT(ADDRESS(ROW() + (0),COLUMN() + (-1)))="No agregar cuotas", IF(("")="", "Sin costo", ""), "-"))</f>
        <v/>
      </c>
      <c r="M201" s="0" t="inlineStr">
        <is>
          <t>Mercado Envíos</t>
        </is>
      </c>
      <c r="N201" s="0" t="inlineStr">
        <is>
          <t>A cargo del comprador</t>
        </is>
      </c>
      <c r="O201" s="0" t="inlineStr">
        <is>
          <t>Acepto</t>
        </is>
      </c>
      <c r="P201" s="47" t="inlineStr">
        <is>
          <t>Sin garantía</t>
        </is>
      </c>
      <c r="R201" s="0" t="inlineStr">
        <is>
          <t>Seleccionar</t>
        </is>
      </c>
      <c r="S201" s="0" t="inlineStr">
        <is>
          <t>No ofrezco</t>
        </is>
      </c>
      <c r="T201" t="n">
        <v>2000</v>
      </c>
      <c r="U201" s="0" t="inlineStr">
        <is>
          <t>Argentina</t>
        </is>
      </c>
      <c r="X201" s="0" t="inlineStr">
        <is>
          <t>Bronce</t>
        </is>
      </c>
      <c r="Z201" t="inlineStr">
        <is>
          <t>50 Centavos</t>
        </is>
      </c>
      <c r="AA201" s="0" t="inlineStr">
        <is>
          <t>Peso</t>
        </is>
      </c>
      <c r="AB2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1" s="53">
        <f>IF(OR(TRIM(INDIRECT("B"&amp;ROW())) &lt;&gt; "",TRIM(INDIRECT("A"&amp;ROW())) &lt;&gt; ""),AND(TRIM(INDIRECT("A"&amp;ROW())) &lt;&gt; "",TRIM(INDIRECT("D"&amp;ROW())) = "nuevo"),"")</f>
        <v/>
      </c>
    </row>
    <row r="202" ht="27.5" customHeight="1" s="62">
      <c r="B202" t="inlineStr">
        <is>
          <t>Moneda Argentina 50 Centavos 1998</t>
        </is>
      </c>
      <c r="C202" s="0">
        <f>LEN(INDIRECT(ADDRESS(ROW() + (0),COLUMN() + (-1))))</f>
        <v/>
      </c>
      <c r="D202" s="0" t="inlineStr">
        <is>
          <t>Usado</t>
        </is>
      </c>
      <c r="E202" s="38" t="inlineStr">
        <is>
          <t>https://numismaticapopper.com/images/518A.jpeg,https://numismaticapopper.com/images/518B.jpeg</t>
        </is>
      </c>
      <c r="F202" t="inlineStr">
        <is>
          <t>505</t>
        </is>
      </c>
      <c r="G202" s="40" t="n">
        <v>1</v>
      </c>
      <c r="H202" t="n">
        <v>8000</v>
      </c>
      <c r="I202" t="inlineStr">
        <is>
          <t>Estado de conservacion: Sin Circular
Referencia de catalogo: CJ# 5.6
Material: Bronce de aluminio
Mercosur</t>
        </is>
      </c>
      <c r="J202" s="31">
        <f>IF(INDIRECT(ADDRESS(ROW() + (0),COLUMN() + (1)))="Agregar cuotas", IF(("16%")="", "-", "16%"), IF(INDIRECT(ADDRESS(ROW() + (0),COLUMN() + (1)))="No agregar cuotas", IF(("16%")="", "-", "16%"), "-"))</f>
        <v/>
      </c>
      <c r="K202" s="0" t="inlineStr">
        <is>
          <t>No agregar cuotas</t>
        </is>
      </c>
      <c r="L202" s="31">
        <f>IF(INDIRECT(ADDRESS(ROW() + (0),COLUMN() + (-1)))="Agregar cuotas", IF(("13.4%")="", "Sin costo", "13.4%"), IF(INDIRECT(ADDRESS(ROW() + (0),COLUMN() + (-1)))="No agregar cuotas", IF(("")="", "Sin costo", ""), "-"))</f>
        <v/>
      </c>
      <c r="M202" s="0" t="inlineStr">
        <is>
          <t>Mercado Envíos</t>
        </is>
      </c>
      <c r="N202" s="0" t="inlineStr">
        <is>
          <t>A cargo del comprador</t>
        </is>
      </c>
      <c r="O202" s="0" t="inlineStr">
        <is>
          <t>Acepto</t>
        </is>
      </c>
      <c r="P202" s="47" t="inlineStr">
        <is>
          <t>Sin garantía</t>
        </is>
      </c>
      <c r="R202" s="0" t="inlineStr">
        <is>
          <t>Seleccionar</t>
        </is>
      </c>
      <c r="S202" s="0" t="inlineStr">
        <is>
          <t>No ofrezco</t>
        </is>
      </c>
      <c r="T202" t="n">
        <v>1998</v>
      </c>
      <c r="U202" s="0" t="inlineStr">
        <is>
          <t>Argentina</t>
        </is>
      </c>
      <c r="X202" s="0" t="inlineStr">
        <is>
          <t>Bronce</t>
        </is>
      </c>
      <c r="Z202" t="inlineStr">
        <is>
          <t>50 Centavos</t>
        </is>
      </c>
      <c r="AA202" s="0" t="inlineStr">
        <is>
          <t>Peso</t>
        </is>
      </c>
      <c r="AB2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2" s="53">
        <f>IF(OR(TRIM(INDIRECT("B"&amp;ROW())) &lt;&gt; "",TRIM(INDIRECT("A"&amp;ROW())) &lt;&gt; ""),AND(TRIM(INDIRECT("A"&amp;ROW())) &lt;&gt; "",TRIM(INDIRECT("D"&amp;ROW())) = "nuevo"),"")</f>
        <v/>
      </c>
    </row>
    <row r="203" ht="27.5" customHeight="1" s="62">
      <c r="B203" t="inlineStr">
        <is>
          <t>Moneda Argentina 1 Peso 2001</t>
        </is>
      </c>
      <c r="C203" s="0">
        <f>LEN(INDIRECT(ADDRESS(ROW() + (0),COLUMN() + (-1))))</f>
        <v/>
      </c>
      <c r="D203" s="0" t="inlineStr">
        <is>
          <t>Usado</t>
        </is>
      </c>
      <c r="E203" s="38" t="inlineStr">
        <is>
          <t>https://numismaticapopper.com/images/519A.jpeg,https://numismaticapopper.com/images/519B.jpeg</t>
        </is>
      </c>
      <c r="F203" t="inlineStr">
        <is>
          <t>506</t>
        </is>
      </c>
      <c r="G203" s="40" t="n">
        <v>1</v>
      </c>
      <c r="H203" t="n">
        <v>8000</v>
      </c>
      <c r="I203" t="inlineStr">
        <is>
          <t>Estado de conservacion: Excelente +
Referencia de catalogo: CJ# 6.7.1
Material: Bimetálica
Urquiza</t>
        </is>
      </c>
      <c r="J203" s="31">
        <f>IF(INDIRECT(ADDRESS(ROW() + (0),COLUMN() + (1)))="Agregar cuotas", IF(("16%")="", "-", "16%"), IF(INDIRECT(ADDRESS(ROW() + (0),COLUMN() + (1)))="No agregar cuotas", IF(("16%")="", "-", "16%"), "-"))</f>
        <v/>
      </c>
      <c r="K203" s="0" t="inlineStr">
        <is>
          <t>No agregar cuotas</t>
        </is>
      </c>
      <c r="L203" s="31">
        <f>IF(INDIRECT(ADDRESS(ROW() + (0),COLUMN() + (-1)))="Agregar cuotas", IF(("13.4%")="", "Sin costo", "13.4%"), IF(INDIRECT(ADDRESS(ROW() + (0),COLUMN() + (-1)))="No agregar cuotas", IF(("")="", "Sin costo", ""), "-"))</f>
        <v/>
      </c>
      <c r="M203" s="0" t="inlineStr">
        <is>
          <t>Mercado Envíos</t>
        </is>
      </c>
      <c r="N203" s="0" t="inlineStr">
        <is>
          <t>A cargo del comprador</t>
        </is>
      </c>
      <c r="O203" s="0" t="inlineStr">
        <is>
          <t>Acepto</t>
        </is>
      </c>
      <c r="P203" s="47" t="inlineStr">
        <is>
          <t>Sin garantía</t>
        </is>
      </c>
      <c r="R203" s="0" t="inlineStr">
        <is>
          <t>Seleccionar</t>
        </is>
      </c>
      <c r="S203" s="0" t="inlineStr">
        <is>
          <t>No ofrezco</t>
        </is>
      </c>
      <c r="T203" t="n">
        <v>2001</v>
      </c>
      <c r="U203" s="0" t="inlineStr">
        <is>
          <t>Argentina</t>
        </is>
      </c>
      <c r="X203" s="0" t="inlineStr">
        <is>
          <t>Níquel</t>
        </is>
      </c>
      <c r="Z203" t="inlineStr">
        <is>
          <t>1 Peso</t>
        </is>
      </c>
      <c r="AA203" s="0" t="inlineStr">
        <is>
          <t>Peso</t>
        </is>
      </c>
      <c r="AB2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3" s="53">
        <f>IF(OR(TRIM(INDIRECT("B"&amp;ROW())) &lt;&gt; "",TRIM(INDIRECT("A"&amp;ROW())) &lt;&gt; ""),AND(TRIM(INDIRECT("A"&amp;ROW())) &lt;&gt; "",TRIM(INDIRECT("D"&amp;ROW())) = "nuevo"),"")</f>
        <v/>
      </c>
    </row>
    <row r="204" ht="27.5" customHeight="1" s="62">
      <c r="B204" t="inlineStr">
        <is>
          <t>Moneda Argentina 1 Peso 1997</t>
        </is>
      </c>
      <c r="C204" s="0">
        <f>LEN(INDIRECT(ADDRESS(ROW() + (0),COLUMN() + (-1))))</f>
        <v/>
      </c>
      <c r="D204" s="0" t="inlineStr">
        <is>
          <t>Usado</t>
        </is>
      </c>
      <c r="E204" s="38" t="inlineStr">
        <is>
          <t>https://numismaticapopper.com/images/520A.jpeg,https://numismaticapopper.com/images/520B.jpeg</t>
        </is>
      </c>
      <c r="F204" t="inlineStr">
        <is>
          <t>507</t>
        </is>
      </c>
      <c r="G204" s="40" t="n">
        <v>1</v>
      </c>
      <c r="H204" t="n">
        <v>8000</v>
      </c>
      <c r="I204" t="inlineStr">
        <is>
          <t>Estado de conservacion: Sin Circular
Referencia de catalogo: CJ# 6.5
Material: Bimetálica
Evita</t>
        </is>
      </c>
      <c r="J204" s="31">
        <f>IF(INDIRECT(ADDRESS(ROW() + (0),COLUMN() + (1)))="Agregar cuotas", IF(("16%")="", "-", "16%"), IF(INDIRECT(ADDRESS(ROW() + (0),COLUMN() + (1)))="No agregar cuotas", IF(("16%")="", "-", "16%"), "-"))</f>
        <v/>
      </c>
      <c r="K204" s="0" t="inlineStr">
        <is>
          <t>No agregar cuotas</t>
        </is>
      </c>
      <c r="L204" s="31">
        <f>IF(INDIRECT(ADDRESS(ROW() + (0),COLUMN() + (-1)))="Agregar cuotas", IF(("13.4%")="", "Sin costo", "13.4%"), IF(INDIRECT(ADDRESS(ROW() + (0),COLUMN() + (-1)))="No agregar cuotas", IF(("")="", "Sin costo", ""), "-"))</f>
        <v/>
      </c>
      <c r="M204" s="0" t="inlineStr">
        <is>
          <t>Mercado Envíos</t>
        </is>
      </c>
      <c r="N204" s="0" t="inlineStr">
        <is>
          <t>A cargo del comprador</t>
        </is>
      </c>
      <c r="O204" s="0" t="inlineStr">
        <is>
          <t>Acepto</t>
        </is>
      </c>
      <c r="P204" s="47" t="inlineStr">
        <is>
          <t>Sin garantía</t>
        </is>
      </c>
      <c r="R204" s="0" t="inlineStr">
        <is>
          <t>Seleccionar</t>
        </is>
      </c>
      <c r="S204" s="0" t="inlineStr">
        <is>
          <t>No ofrezco</t>
        </is>
      </c>
      <c r="T204" t="n">
        <v>1997</v>
      </c>
      <c r="U204" s="0" t="inlineStr">
        <is>
          <t>Argentina</t>
        </is>
      </c>
      <c r="X204" s="0" t="inlineStr">
        <is>
          <t>Níquel</t>
        </is>
      </c>
      <c r="Z204" t="inlineStr">
        <is>
          <t>1 Peso</t>
        </is>
      </c>
      <c r="AA204" s="0" t="inlineStr">
        <is>
          <t>Peso</t>
        </is>
      </c>
      <c r="AB2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4" s="53">
        <f>IF(OR(TRIM(INDIRECT("B"&amp;ROW())) &lt;&gt; "",TRIM(INDIRECT("A"&amp;ROW())) &lt;&gt; ""),AND(TRIM(INDIRECT("A"&amp;ROW())) &lt;&gt; "",TRIM(INDIRECT("D"&amp;ROW())) = "nuevo"),"")</f>
        <v/>
      </c>
    </row>
    <row r="205" ht="27.5" customHeight="1" s="62">
      <c r="B205" t="inlineStr">
        <is>
          <t>Moneda Países Bajos 1 Cent 1927</t>
        </is>
      </c>
      <c r="C205" s="0">
        <f>LEN(INDIRECT(ADDRESS(ROW() + (0),COLUMN() + (-1))))</f>
        <v/>
      </c>
      <c r="D205" s="0" t="inlineStr">
        <is>
          <t>Usado</t>
        </is>
      </c>
      <c r="E205" s="38" t="inlineStr">
        <is>
          <t>https://numismaticapopper.com/images/524A.jpeg,https://numismaticapopper.com/images/524B.jpeg</t>
        </is>
      </c>
      <c r="F205" t="inlineStr">
        <is>
          <t>511</t>
        </is>
      </c>
      <c r="G205" s="40" t="n">
        <v>1</v>
      </c>
      <c r="H205" t="n">
        <v>12000</v>
      </c>
      <c r="I205" t="inlineStr">
        <is>
          <t>Estado de conservacion: Excelente
Referencia de catalogo: KM# 152
Material: Bronce</t>
        </is>
      </c>
      <c r="J205" s="31">
        <f>IF(INDIRECT(ADDRESS(ROW() + (0),COLUMN() + (1)))="Agregar cuotas", IF(("16%")="", "-", "16%"), IF(INDIRECT(ADDRESS(ROW() + (0),COLUMN() + (1)))="No agregar cuotas", IF(("16%")="", "-", "16%"), "-"))</f>
        <v/>
      </c>
      <c r="K205" s="0" t="inlineStr">
        <is>
          <t>No agregar cuotas</t>
        </is>
      </c>
      <c r="L205" s="31">
        <f>IF(INDIRECT(ADDRESS(ROW() + (0),COLUMN() + (-1)))="Agregar cuotas", IF(("13.4%")="", "Sin costo", "13.4%"), IF(INDIRECT(ADDRESS(ROW() + (0),COLUMN() + (-1)))="No agregar cuotas", IF(("")="", "Sin costo", ""), "-"))</f>
        <v/>
      </c>
      <c r="M205" s="0" t="inlineStr">
        <is>
          <t>Mercado Envíos</t>
        </is>
      </c>
      <c r="N205" s="0" t="inlineStr">
        <is>
          <t>A cargo del comprador</t>
        </is>
      </c>
      <c r="O205" s="0" t="inlineStr">
        <is>
          <t>Acepto</t>
        </is>
      </c>
      <c r="P205" s="47" t="inlineStr">
        <is>
          <t>Sin garantía</t>
        </is>
      </c>
      <c r="R205" s="0" t="inlineStr">
        <is>
          <t>Seleccionar</t>
        </is>
      </c>
      <c r="S205" s="0" t="inlineStr">
        <is>
          <t>No ofrezco</t>
        </is>
      </c>
      <c r="T205" t="n">
        <v>1927</v>
      </c>
      <c r="U205" s="0" t="inlineStr">
        <is>
          <t>Holanda</t>
        </is>
      </c>
      <c r="X205" s="0" t="inlineStr">
        <is>
          <t>Bronce</t>
        </is>
      </c>
      <c r="Z205" t="inlineStr">
        <is>
          <t>1 Cent</t>
        </is>
      </c>
      <c r="AA205" s="0" t="inlineStr">
        <is>
          <t>Dólar</t>
        </is>
      </c>
      <c r="AB2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5" s="53">
        <f>IF(OR(TRIM(INDIRECT("B"&amp;ROW())) &lt;&gt; "",TRIM(INDIRECT("A"&amp;ROW())) &lt;&gt; ""),AND(TRIM(INDIRECT("A"&amp;ROW())) &lt;&gt; "",TRIM(INDIRECT("D"&amp;ROW())) = "nuevo"),"")</f>
        <v/>
      </c>
    </row>
    <row r="206" ht="27.5" customHeight="1" s="62">
      <c r="B206" t="inlineStr">
        <is>
          <t>Moneda Polonia 5 Groszy 1928</t>
        </is>
      </c>
      <c r="C206" s="0">
        <f>LEN(INDIRECT(ADDRESS(ROW() + (0),COLUMN() + (-1))))</f>
        <v/>
      </c>
      <c r="D206" s="0" t="inlineStr">
        <is>
          <t>Usado</t>
        </is>
      </c>
      <c r="E206" s="38" t="inlineStr">
        <is>
          <t>https://numismaticapopper.com/images/527A.jpeg,https://numismaticapopper.com/images/527B.jpeg</t>
        </is>
      </c>
      <c r="F206" t="inlineStr">
        <is>
          <t>514</t>
        </is>
      </c>
      <c r="G206" s="40" t="n">
        <v>1</v>
      </c>
      <c r="H206" t="n">
        <v>11000</v>
      </c>
      <c r="I206" t="inlineStr">
        <is>
          <t>Estado de conservacion: Excelente
Referencia de catalogo: Y# 10a
Material: Bronce</t>
        </is>
      </c>
      <c r="J206" s="31">
        <f>IF(INDIRECT(ADDRESS(ROW() + (0),COLUMN() + (1)))="Agregar cuotas", IF(("16%")="", "-", "16%"), IF(INDIRECT(ADDRESS(ROW() + (0),COLUMN() + (1)))="No agregar cuotas", IF(("16%")="", "-", "16%"), "-"))</f>
        <v/>
      </c>
      <c r="K206" s="0" t="inlineStr">
        <is>
          <t>No agregar cuotas</t>
        </is>
      </c>
      <c r="L206" s="31">
        <f>IF(INDIRECT(ADDRESS(ROW() + (0),COLUMN() + (-1)))="Agregar cuotas", IF(("13.4%")="", "Sin costo", "13.4%"), IF(INDIRECT(ADDRESS(ROW() + (0),COLUMN() + (-1)))="No agregar cuotas", IF(("")="", "Sin costo", ""), "-"))</f>
        <v/>
      </c>
      <c r="M206" s="0" t="inlineStr">
        <is>
          <t>Mercado Envíos</t>
        </is>
      </c>
      <c r="N206" s="0" t="inlineStr">
        <is>
          <t>A cargo del comprador</t>
        </is>
      </c>
      <c r="O206" s="0" t="inlineStr">
        <is>
          <t>Acepto</t>
        </is>
      </c>
      <c r="P206" s="47" t="inlineStr">
        <is>
          <t>Sin garantía</t>
        </is>
      </c>
      <c r="R206" s="0" t="inlineStr">
        <is>
          <t>Seleccionar</t>
        </is>
      </c>
      <c r="S206" s="0" t="inlineStr">
        <is>
          <t>No ofrezco</t>
        </is>
      </c>
      <c r="T206" t="n">
        <v>1928</v>
      </c>
      <c r="U206" s="0" t="inlineStr">
        <is>
          <t>Polonia</t>
        </is>
      </c>
      <c r="X206" s="0" t="inlineStr">
        <is>
          <t>Bronce</t>
        </is>
      </c>
      <c r="Z206" t="inlineStr">
        <is>
          <t>5 Groszy</t>
        </is>
      </c>
      <c r="AA206" s="0" t="inlineStr">
        <is>
          <t>Zloty</t>
        </is>
      </c>
      <c r="AB2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6" s="53">
        <f>IF(OR(TRIM(INDIRECT("B"&amp;ROW())) &lt;&gt; "",TRIM(INDIRECT("A"&amp;ROW())) &lt;&gt; ""),AND(TRIM(INDIRECT("A"&amp;ROW())) &lt;&gt; "",TRIM(INDIRECT("D"&amp;ROW())) = "nuevo"),"")</f>
        <v/>
      </c>
    </row>
    <row r="207" ht="27.5" customHeight="1" s="62">
      <c r="B207" t="inlineStr">
        <is>
          <t>Moneda Países Bajos 2 1/2 Cents 1929</t>
        </is>
      </c>
      <c r="C207" s="0">
        <f>LEN(INDIRECT(ADDRESS(ROW() + (0),COLUMN() + (-1))))</f>
        <v/>
      </c>
      <c r="D207" s="0" t="inlineStr">
        <is>
          <t>Usado</t>
        </is>
      </c>
      <c r="E207" s="38" t="inlineStr">
        <is>
          <t>https://numismaticapopper.com/images/529A.jpeg,https://numismaticapopper.com/images/529B.jpeg</t>
        </is>
      </c>
      <c r="F207" t="inlineStr">
        <is>
          <t>516</t>
        </is>
      </c>
      <c r="G207" s="40" t="n">
        <v>1</v>
      </c>
      <c r="H207" t="n">
        <v>13000</v>
      </c>
      <c r="I207" t="inlineStr">
        <is>
          <t>Estado de conservacion: Excelente
Referencia de catalogo: KM# 150
Material: Bronce</t>
        </is>
      </c>
      <c r="J207" s="31">
        <f>IF(INDIRECT(ADDRESS(ROW() + (0),COLUMN() + (1)))="Agregar cuotas", IF(("16%")="", "-", "16%"), IF(INDIRECT(ADDRESS(ROW() + (0),COLUMN() + (1)))="No agregar cuotas", IF(("16%")="", "-", "16%"), "-"))</f>
        <v/>
      </c>
      <c r="K207" s="0" t="inlineStr">
        <is>
          <t>No agregar cuotas</t>
        </is>
      </c>
      <c r="L207" s="31">
        <f>IF(INDIRECT(ADDRESS(ROW() + (0),COLUMN() + (-1)))="Agregar cuotas", IF(("13.4%")="", "Sin costo", "13.4%"), IF(INDIRECT(ADDRESS(ROW() + (0),COLUMN() + (-1)))="No agregar cuotas", IF(("")="", "Sin costo", ""), "-"))</f>
        <v/>
      </c>
      <c r="M207" s="0" t="inlineStr">
        <is>
          <t>Mercado Envíos</t>
        </is>
      </c>
      <c r="N207" s="0" t="inlineStr">
        <is>
          <t>A cargo del comprador</t>
        </is>
      </c>
      <c r="O207" s="0" t="inlineStr">
        <is>
          <t>Acepto</t>
        </is>
      </c>
      <c r="P207" s="47" t="inlineStr">
        <is>
          <t>Sin garantía</t>
        </is>
      </c>
      <c r="R207" s="0" t="inlineStr">
        <is>
          <t>Seleccionar</t>
        </is>
      </c>
      <c r="S207" s="0" t="inlineStr">
        <is>
          <t>No ofrezco</t>
        </is>
      </c>
      <c r="T207" t="n">
        <v>1929</v>
      </c>
      <c r="U207" s="0" t="inlineStr">
        <is>
          <t>Holanda</t>
        </is>
      </c>
      <c r="X207" s="0" t="inlineStr">
        <is>
          <t>Bronce</t>
        </is>
      </c>
      <c r="Z207" t="inlineStr">
        <is>
          <t>2 1/2 Cents</t>
        </is>
      </c>
      <c r="AA207" s="0" t="inlineStr">
        <is>
          <t>Dólar</t>
        </is>
      </c>
      <c r="AB2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7" s="53">
        <f>IF(OR(TRIM(INDIRECT("B"&amp;ROW())) &lt;&gt; "",TRIM(INDIRECT("A"&amp;ROW())) &lt;&gt; ""),AND(TRIM(INDIRECT("A"&amp;ROW())) &lt;&gt; "",TRIM(INDIRECT("D"&amp;ROW())) = "nuevo"),"")</f>
        <v/>
      </c>
    </row>
    <row r="208" ht="27.5" customHeight="1" s="62">
      <c r="B208" t="inlineStr">
        <is>
          <t>Moneda España 25 Céntimos 1937</t>
        </is>
      </c>
      <c r="C208" s="0">
        <f>LEN(INDIRECT(ADDRESS(ROW() + (0),COLUMN() + (-1))))</f>
        <v/>
      </c>
      <c r="D208" s="0" t="inlineStr">
        <is>
          <t>Usado</t>
        </is>
      </c>
      <c r="E208" s="38" t="inlineStr">
        <is>
          <t>https://numismaticapopper.com/images/535A.jpeg,https://numismaticapopper.com/images/535B.jpeg</t>
        </is>
      </c>
      <c r="F208" t="inlineStr">
        <is>
          <t>522</t>
        </is>
      </c>
      <c r="G208" s="40" t="n">
        <v>1</v>
      </c>
      <c r="H208" t="n">
        <v>10000</v>
      </c>
      <c r="I208" t="inlineStr">
        <is>
          <t>Estado de conservacion: Excelente
Referencia de catalogo: KM# 753
Material: Cuproníquel</t>
        </is>
      </c>
      <c r="J208" s="31">
        <f>IF(INDIRECT(ADDRESS(ROW() + (0),COLUMN() + (1)))="Agregar cuotas", IF(("16%")="", "-", "16%"), IF(INDIRECT(ADDRESS(ROW() + (0),COLUMN() + (1)))="No agregar cuotas", IF(("16%")="", "-", "16%"), "-"))</f>
        <v/>
      </c>
      <c r="K208" s="0" t="inlineStr">
        <is>
          <t>No agregar cuotas</t>
        </is>
      </c>
      <c r="L208" s="31">
        <f>IF(INDIRECT(ADDRESS(ROW() + (0),COLUMN() + (-1)))="Agregar cuotas", IF(("13.4%")="", "Sin costo", "13.4%"), IF(INDIRECT(ADDRESS(ROW() + (0),COLUMN() + (-1)))="No agregar cuotas", IF(("")="", "Sin costo", ""), "-"))</f>
        <v/>
      </c>
      <c r="M208" s="0" t="inlineStr">
        <is>
          <t>Mercado Envíos</t>
        </is>
      </c>
      <c r="N208" s="0" t="inlineStr">
        <is>
          <t>A cargo del comprador</t>
        </is>
      </c>
      <c r="O208" s="0" t="inlineStr">
        <is>
          <t>Acepto</t>
        </is>
      </c>
      <c r="P208" s="47" t="inlineStr">
        <is>
          <t>Sin garantía</t>
        </is>
      </c>
      <c r="R208" s="0" t="inlineStr">
        <is>
          <t>Seleccionar</t>
        </is>
      </c>
      <c r="S208" s="0" t="inlineStr">
        <is>
          <t>No ofrezco</t>
        </is>
      </c>
      <c r="T208" t="n">
        <v>1937</v>
      </c>
      <c r="U208" s="0" t="inlineStr">
        <is>
          <t>España</t>
        </is>
      </c>
      <c r="X208" s="0" t="inlineStr">
        <is>
          <t>Níquel</t>
        </is>
      </c>
      <c r="Z208" t="inlineStr">
        <is>
          <t>25 Céntimos</t>
        </is>
      </c>
      <c r="AA208" s="0" t="inlineStr">
        <is>
          <t>Euro</t>
        </is>
      </c>
      <c r="AB2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8" s="53">
        <f>IF(OR(TRIM(INDIRECT("B"&amp;ROW())) &lt;&gt; "",TRIM(INDIRECT("A"&amp;ROW())) &lt;&gt; ""),AND(TRIM(INDIRECT("A"&amp;ROW())) &lt;&gt; "",TRIM(INDIRECT("D"&amp;ROW())) = "nuevo"),"")</f>
        <v/>
      </c>
    </row>
    <row r="209" ht="27.5" customHeight="1" s="62">
      <c r="B209" t="inlineStr">
        <is>
          <t>Moneda España 25 Céntimos 1925</t>
        </is>
      </c>
      <c r="C209" s="0">
        <f>LEN(INDIRECT(ADDRESS(ROW() + (0),COLUMN() + (-1))))</f>
        <v/>
      </c>
      <c r="D209" s="0" t="inlineStr">
        <is>
          <t>Usado</t>
        </is>
      </c>
      <c r="E209" s="38" t="inlineStr">
        <is>
          <t>https://numismaticapopper.com/images/536A.jpeg,https://numismaticapopper.com/images/536B.jpeg</t>
        </is>
      </c>
      <c r="F209" t="inlineStr">
        <is>
          <t>523</t>
        </is>
      </c>
      <c r="G209" s="40" t="n">
        <v>1</v>
      </c>
      <c r="H209" t="n">
        <v>13000</v>
      </c>
      <c r="I209" t="inlineStr">
        <is>
          <t>Estado de conservacion: Muy Buena +
Referencia de catalogo: KM# 740
Material: Cuproníquel</t>
        </is>
      </c>
      <c r="J209" s="31">
        <f>IF(INDIRECT(ADDRESS(ROW() + (0),COLUMN() + (1)))="Agregar cuotas", IF(("16%")="", "-", "16%"), IF(INDIRECT(ADDRESS(ROW() + (0),COLUMN() + (1)))="No agregar cuotas", IF(("16%")="", "-", "16%"), "-"))</f>
        <v/>
      </c>
      <c r="K209" s="0" t="inlineStr">
        <is>
          <t>No agregar cuotas</t>
        </is>
      </c>
      <c r="L209" s="31">
        <f>IF(INDIRECT(ADDRESS(ROW() + (0),COLUMN() + (-1)))="Agregar cuotas", IF(("13.4%")="", "Sin costo", "13.4%"), IF(INDIRECT(ADDRESS(ROW() + (0),COLUMN() + (-1)))="No agregar cuotas", IF(("")="", "Sin costo", ""), "-"))</f>
        <v/>
      </c>
      <c r="M209" s="0" t="inlineStr">
        <is>
          <t>Mercado Envíos</t>
        </is>
      </c>
      <c r="N209" s="0" t="inlineStr">
        <is>
          <t>A cargo del comprador</t>
        </is>
      </c>
      <c r="O209" s="0" t="inlineStr">
        <is>
          <t>Acepto</t>
        </is>
      </c>
      <c r="P209" s="47" t="inlineStr">
        <is>
          <t>Sin garantía</t>
        </is>
      </c>
      <c r="R209" s="0" t="inlineStr">
        <is>
          <t>Seleccionar</t>
        </is>
      </c>
      <c r="S209" s="0" t="inlineStr">
        <is>
          <t>No ofrezco</t>
        </is>
      </c>
      <c r="T209" t="n">
        <v>1925</v>
      </c>
      <c r="U209" s="0" t="inlineStr">
        <is>
          <t>España</t>
        </is>
      </c>
      <c r="X209" s="0" t="inlineStr">
        <is>
          <t>Níquel</t>
        </is>
      </c>
      <c r="Z209" t="inlineStr">
        <is>
          <t>25 Céntimos</t>
        </is>
      </c>
      <c r="AA209" s="0" t="inlineStr">
        <is>
          <t>Euro</t>
        </is>
      </c>
      <c r="AB2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09" s="53">
        <f>IF(OR(TRIM(INDIRECT("B"&amp;ROW())) &lt;&gt; "",TRIM(INDIRECT("A"&amp;ROW())) &lt;&gt; ""),AND(TRIM(INDIRECT("A"&amp;ROW())) &lt;&gt; "",TRIM(INDIRECT("D"&amp;ROW())) = "nuevo"),"")</f>
        <v/>
      </c>
    </row>
    <row r="210" ht="27.5" customHeight="1" s="62">
      <c r="B210" t="inlineStr">
        <is>
          <t>Moneda Estados Unidos 1/4 Dólar (DESCENTRADA) 1999</t>
        </is>
      </c>
      <c r="C210" s="0">
        <f>LEN(INDIRECT(ADDRESS(ROW() + (0),COLUMN() + (-1))))</f>
        <v/>
      </c>
      <c r="D210" s="0" t="inlineStr">
        <is>
          <t>Usado</t>
        </is>
      </c>
      <c r="E210" s="38" t="inlineStr">
        <is>
          <t>https://numismaticapopper.com/images/538A.jpeg,https://numismaticapopper.com/images/538B.jpeg,https://numismaticapopper.com/images/538C.jpeg,https://numismaticapopper.com/images/538D.jpeg</t>
        </is>
      </c>
      <c r="F210" t="inlineStr">
        <is>
          <t>525</t>
        </is>
      </c>
      <c r="G210" s="40" t="n">
        <v>1</v>
      </c>
      <c r="H210" t="n">
        <v>13000</v>
      </c>
      <c r="I210" t="inlineStr">
        <is>
          <t>Estado de conservacion: Excelente
Referencia de catalogo: KM# 297
Material: Cuproníquel
Connecticut. Moneda descentrada.</t>
        </is>
      </c>
      <c r="J210" s="31">
        <f>IF(INDIRECT(ADDRESS(ROW() + (0),COLUMN() + (1)))="Agregar cuotas", IF(("16%")="", "-", "16%"), IF(INDIRECT(ADDRESS(ROW() + (0),COLUMN() + (1)))="No agregar cuotas", IF(("16%")="", "-", "16%"), "-"))</f>
        <v/>
      </c>
      <c r="K210" s="0" t="inlineStr">
        <is>
          <t>No agregar cuotas</t>
        </is>
      </c>
      <c r="L210" s="31">
        <f>IF(INDIRECT(ADDRESS(ROW() + (0),COLUMN() + (-1)))="Agregar cuotas", IF(("13.4%")="", "Sin costo", "13.4%"), IF(INDIRECT(ADDRESS(ROW() + (0),COLUMN() + (-1)))="No agregar cuotas", IF(("")="", "Sin costo", ""), "-"))</f>
        <v/>
      </c>
      <c r="M210" s="0" t="inlineStr">
        <is>
          <t>Mercado Envíos</t>
        </is>
      </c>
      <c r="N210" s="0" t="inlineStr">
        <is>
          <t>A cargo del comprador</t>
        </is>
      </c>
      <c r="O210" s="0" t="inlineStr">
        <is>
          <t>Acepto</t>
        </is>
      </c>
      <c r="P210" s="47" t="inlineStr">
        <is>
          <t>Sin garantía</t>
        </is>
      </c>
      <c r="R210" s="0" t="inlineStr">
        <is>
          <t>Seleccionar</t>
        </is>
      </c>
      <c r="S210" s="0" t="inlineStr">
        <is>
          <t>No ofrezco</t>
        </is>
      </c>
      <c r="T210" t="n">
        <v>1999</v>
      </c>
      <c r="U210" s="0" t="inlineStr">
        <is>
          <t>Estados Unidos</t>
        </is>
      </c>
      <c r="X210" s="0" t="inlineStr">
        <is>
          <t>Níquel</t>
        </is>
      </c>
      <c r="Z210" t="inlineStr">
        <is>
          <t>1/4 Dólar (DESCENTRADA)</t>
        </is>
      </c>
      <c r="AA210" s="0" t="inlineStr">
        <is>
          <t>Dólar</t>
        </is>
      </c>
      <c r="AB2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0" s="53">
        <f>IF(OR(TRIM(INDIRECT("B"&amp;ROW())) &lt;&gt; "",TRIM(INDIRECT("A"&amp;ROW())) &lt;&gt; ""),AND(TRIM(INDIRECT("A"&amp;ROW())) &lt;&gt; "",TRIM(INDIRECT("D"&amp;ROW())) = "nuevo"),"")</f>
        <v/>
      </c>
    </row>
    <row r="211" ht="27.5" customHeight="1" s="62">
      <c r="B211" t="inlineStr">
        <is>
          <t>Moneda Bolivia 50 Centavos (GIRADA) 1903</t>
        </is>
      </c>
      <c r="C211" s="0">
        <f>LEN(INDIRECT(ADDRESS(ROW() + (0),COLUMN() + (-1))))</f>
        <v/>
      </c>
      <c r="D211" s="0" t="inlineStr">
        <is>
          <t>Usado</t>
        </is>
      </c>
      <c r="E211" s="38" t="inlineStr">
        <is>
          <t>https://numismaticapopper.com/images/539A.jpeg,https://numismaticapopper.com/images/539B.jpeg</t>
        </is>
      </c>
      <c r="F211" t="inlineStr">
        <is>
          <t>526</t>
        </is>
      </c>
      <c r="G211" s="40" t="n">
        <v>1</v>
      </c>
      <c r="H211" t="n">
        <v>208000</v>
      </c>
      <c r="I211" t="inlineStr">
        <is>
          <t>Estado de conservacion: Excelente
Referencia de catalogo: KM# 175
Material: Plata .900
Tirada: 690.000
IMPORTANTE GIRO: unos -45 grados</t>
        </is>
      </c>
      <c r="J211" s="31">
        <f>IF(INDIRECT(ADDRESS(ROW() + (0),COLUMN() + (1)))="Agregar cuotas", IF(("16%")="", "-", "16%"), IF(INDIRECT(ADDRESS(ROW() + (0),COLUMN() + (1)))="No agregar cuotas", IF(("16%")="", "-", "16%"), "-"))</f>
        <v/>
      </c>
      <c r="K211" s="0" t="inlineStr">
        <is>
          <t>No agregar cuotas</t>
        </is>
      </c>
      <c r="L211" s="31">
        <f>IF(INDIRECT(ADDRESS(ROW() + (0),COLUMN() + (-1)))="Agregar cuotas", IF(("13.4%")="", "Sin costo", "13.4%"), IF(INDIRECT(ADDRESS(ROW() + (0),COLUMN() + (-1)))="No agregar cuotas", IF(("")="", "Sin costo", ""), "-"))</f>
        <v/>
      </c>
      <c r="M211" s="0" t="inlineStr">
        <is>
          <t>Mercado Envíos</t>
        </is>
      </c>
      <c r="N211" s="0" t="inlineStr">
        <is>
          <t>Ofrecés envío gratis</t>
        </is>
      </c>
      <c r="O211" s="0" t="inlineStr">
        <is>
          <t>Acepto</t>
        </is>
      </c>
      <c r="P211" s="47" t="inlineStr">
        <is>
          <t>Sin garantía</t>
        </is>
      </c>
      <c r="R211" s="0" t="inlineStr">
        <is>
          <t>Seleccionar</t>
        </is>
      </c>
      <c r="S211" s="0" t="inlineStr">
        <is>
          <t>No ofrezco</t>
        </is>
      </c>
      <c r="T211" t="n">
        <v>1903</v>
      </c>
      <c r="U211" s="0" t="inlineStr">
        <is>
          <t>Bolivia</t>
        </is>
      </c>
      <c r="X211" s="0" t="inlineStr">
        <is>
          <t>Plata</t>
        </is>
      </c>
      <c r="Z211" t="inlineStr">
        <is>
          <t>50 Centavos (GIRADA)</t>
        </is>
      </c>
      <c r="AA211" s="0" t="inlineStr">
        <is>
          <t>Peso</t>
        </is>
      </c>
      <c r="AB2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1" s="53">
        <f>IF(OR(TRIM(INDIRECT("B"&amp;ROW())) &lt;&gt; "",TRIM(INDIRECT("A"&amp;ROW())) &lt;&gt; ""),AND(TRIM(INDIRECT("A"&amp;ROW())) &lt;&gt; "",TRIM(INDIRECT("D"&amp;ROW())) = "nuevo"),"")</f>
        <v/>
      </c>
    </row>
    <row r="212" ht="27.5" customHeight="1" s="62">
      <c r="B212" t="inlineStr">
        <is>
          <t>Moneda Argentina 20 Centavos 1882</t>
        </is>
      </c>
      <c r="C212" s="0">
        <f>LEN(INDIRECT(ADDRESS(ROW() + (0),COLUMN() + (-1))))</f>
        <v/>
      </c>
      <c r="D212" s="0" t="inlineStr">
        <is>
          <t>Usado</t>
        </is>
      </c>
      <c r="E212" s="38" t="inlineStr">
        <is>
          <t>https://numismaticapopper.com/images/544A.jpeg,https://numismaticapopper.com/images/544B.jpeg</t>
        </is>
      </c>
      <c r="F212" t="inlineStr">
        <is>
          <t>544</t>
        </is>
      </c>
      <c r="G212" s="40" t="n">
        <v>1</v>
      </c>
      <c r="H212" t="n">
        <v>55000</v>
      </c>
      <c r="I212" t="inlineStr">
        <is>
          <t>Estado de conservacion: Excelente -
Referencia de catalogo: CJ# 19
Material: Plata .900
Tirada: 762.027
Escasa.</t>
        </is>
      </c>
      <c r="J212" s="31">
        <f>IF(INDIRECT(ADDRESS(ROW() + (0),COLUMN() + (1)))="Agregar cuotas", IF(("16%")="", "-", "16%"), IF(INDIRECT(ADDRESS(ROW() + (0),COLUMN() + (1)))="No agregar cuotas", IF(("16%")="", "-", "16%"), "-"))</f>
        <v/>
      </c>
      <c r="K212" s="0" t="inlineStr">
        <is>
          <t>No agregar cuotas</t>
        </is>
      </c>
      <c r="L212" s="31">
        <f>IF(INDIRECT(ADDRESS(ROW() + (0),COLUMN() + (-1)))="Agregar cuotas", IF(("13.4%")="", "Sin costo", "13.4%"), IF(INDIRECT(ADDRESS(ROW() + (0),COLUMN() + (-1)))="No agregar cuotas", IF(("")="", "Sin costo", ""), "-"))</f>
        <v/>
      </c>
      <c r="M212" s="0" t="inlineStr">
        <is>
          <t>Mercado Envíos</t>
        </is>
      </c>
      <c r="N212" s="0" t="inlineStr">
        <is>
          <t>A cargo del comprador</t>
        </is>
      </c>
      <c r="O212" s="0" t="inlineStr">
        <is>
          <t>Acepto</t>
        </is>
      </c>
      <c r="P212" s="47" t="inlineStr">
        <is>
          <t>Sin garantía</t>
        </is>
      </c>
      <c r="R212" s="0" t="inlineStr">
        <is>
          <t>Seleccionar</t>
        </is>
      </c>
      <c r="S212" s="0" t="inlineStr">
        <is>
          <t>No ofrezco</t>
        </is>
      </c>
      <c r="T212" t="n">
        <v>1882</v>
      </c>
      <c r="U212" s="0" t="inlineStr">
        <is>
          <t>Argentina</t>
        </is>
      </c>
      <c r="X212" s="0" t="inlineStr">
        <is>
          <t>Plata</t>
        </is>
      </c>
      <c r="Z212" t="inlineStr">
        <is>
          <t>20 Centavos</t>
        </is>
      </c>
      <c r="AA212" s="0" t="inlineStr">
        <is>
          <t>Peso</t>
        </is>
      </c>
      <c r="AB2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2" s="53">
        <f>IF(OR(TRIM(INDIRECT("B"&amp;ROW())) &lt;&gt; "",TRIM(INDIRECT("A"&amp;ROW())) &lt;&gt; ""),AND(TRIM(INDIRECT("A"&amp;ROW())) &lt;&gt; "",TRIM(INDIRECT("D"&amp;ROW())) = "nuevo"),"")</f>
        <v/>
      </c>
    </row>
    <row r="213" ht="27.5" customHeight="1" s="62">
      <c r="B213" t="inlineStr">
        <is>
          <t>Moneda Argentina 2 Centavos 1883</t>
        </is>
      </c>
      <c r="C213" s="0">
        <f>LEN(INDIRECT(ADDRESS(ROW() + (0),COLUMN() + (-1))))</f>
        <v/>
      </c>
      <c r="D213" s="0" t="inlineStr">
        <is>
          <t>Usado</t>
        </is>
      </c>
      <c r="E213" s="38" t="inlineStr">
        <is>
          <t>https://numismaticapopper.com/images/548A.jpeg,https://numismaticapopper.com/images/548B.jpeg</t>
        </is>
      </c>
      <c r="F213" t="inlineStr">
        <is>
          <t>548</t>
        </is>
      </c>
      <c r="G213" s="40" t="n">
        <v>1</v>
      </c>
      <c r="H213" t="n">
        <v>18000</v>
      </c>
      <c r="I213" t="inlineStr">
        <is>
          <t>Estado de conservacion: Muy Buena -
Referencia de catalogo: CJ# 25
Material: Bronce
Tirada: 1.300.000</t>
        </is>
      </c>
      <c r="J213" s="31">
        <f>IF(INDIRECT(ADDRESS(ROW() + (0),COLUMN() + (1)))="Agregar cuotas", IF(("16%")="", "-", "16%"), IF(INDIRECT(ADDRESS(ROW() + (0),COLUMN() + (1)))="No agregar cuotas", IF(("16%")="", "-", "16%"), "-"))</f>
        <v/>
      </c>
      <c r="K213" s="0" t="inlineStr">
        <is>
          <t>No agregar cuotas</t>
        </is>
      </c>
      <c r="L213" s="31">
        <f>IF(INDIRECT(ADDRESS(ROW() + (0),COLUMN() + (-1)))="Agregar cuotas", IF(("13.4%")="", "Sin costo", "13.4%"), IF(INDIRECT(ADDRESS(ROW() + (0),COLUMN() + (-1)))="No agregar cuotas", IF(("")="", "Sin costo", ""), "-"))</f>
        <v/>
      </c>
      <c r="M213" s="0" t="inlineStr">
        <is>
          <t>Mercado Envíos</t>
        </is>
      </c>
      <c r="N213" s="0" t="inlineStr">
        <is>
          <t>A cargo del comprador</t>
        </is>
      </c>
      <c r="O213" s="0" t="inlineStr">
        <is>
          <t>Acepto</t>
        </is>
      </c>
      <c r="P213" s="47" t="inlineStr">
        <is>
          <t>Sin garantía</t>
        </is>
      </c>
      <c r="R213" s="0" t="inlineStr">
        <is>
          <t>Seleccionar</t>
        </is>
      </c>
      <c r="S213" s="0" t="inlineStr">
        <is>
          <t>No ofrezco</t>
        </is>
      </c>
      <c r="T213" t="n">
        <v>1883</v>
      </c>
      <c r="U213" s="0" t="inlineStr">
        <is>
          <t>Argentina</t>
        </is>
      </c>
      <c r="X213" s="0" t="inlineStr">
        <is>
          <t>Bronce</t>
        </is>
      </c>
      <c r="Z213" t="inlineStr">
        <is>
          <t>2 Centavos</t>
        </is>
      </c>
      <c r="AA213" s="0" t="inlineStr">
        <is>
          <t>Peso</t>
        </is>
      </c>
      <c r="AB2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3" s="53">
        <f>IF(OR(TRIM(INDIRECT("B"&amp;ROW())) &lt;&gt; "",TRIM(INDIRECT("A"&amp;ROW())) &lt;&gt; ""),AND(TRIM(INDIRECT("A"&amp;ROW())) &lt;&gt; "",TRIM(INDIRECT("D"&amp;ROW())) = "nuevo"),"")</f>
        <v/>
      </c>
    </row>
    <row r="214" ht="27.5" customHeight="1" s="62">
      <c r="B214" t="inlineStr">
        <is>
          <t>Moneda Argentina 2 Centavos 1894</t>
        </is>
      </c>
      <c r="C214" s="0">
        <f>LEN(INDIRECT(ADDRESS(ROW() + (0),COLUMN() + (-1))))</f>
        <v/>
      </c>
      <c r="D214" s="0" t="inlineStr">
        <is>
          <t>Usado</t>
        </is>
      </c>
      <c r="E214" s="38" t="inlineStr">
        <is>
          <t>https://numismaticapopper.com/images/549A.jpeg,https://numismaticapopper.com/images/549B.jpeg</t>
        </is>
      </c>
      <c r="F214" t="inlineStr">
        <is>
          <t>549</t>
        </is>
      </c>
      <c r="G214" s="40" t="n">
        <v>1</v>
      </c>
      <c r="H214" t="n">
        <v>31000</v>
      </c>
      <c r="I214" t="inlineStr">
        <is>
          <t>Estado de conservacion: Excelente -
Referencia de catalogo: CJ# 35
Material: Bronce
Tirada: 2.200.000</t>
        </is>
      </c>
      <c r="J214" s="31">
        <f>IF(INDIRECT(ADDRESS(ROW() + (0),COLUMN() + (1)))="Agregar cuotas", IF(("16%")="", "-", "16%"), IF(INDIRECT(ADDRESS(ROW() + (0),COLUMN() + (1)))="No agregar cuotas", IF(("16%")="", "-", "16%"), "-"))</f>
        <v/>
      </c>
      <c r="K214" s="0" t="inlineStr">
        <is>
          <t>No agregar cuotas</t>
        </is>
      </c>
      <c r="L214" s="31">
        <f>IF(INDIRECT(ADDRESS(ROW() + (0),COLUMN() + (-1)))="Agregar cuotas", IF(("13.4%")="", "Sin costo", "13.4%"), IF(INDIRECT(ADDRESS(ROW() + (0),COLUMN() + (-1)))="No agregar cuotas", IF(("")="", "Sin costo", ""), "-"))</f>
        <v/>
      </c>
      <c r="M214" s="0" t="inlineStr">
        <is>
          <t>Mercado Envíos</t>
        </is>
      </c>
      <c r="N214" s="0" t="inlineStr">
        <is>
          <t>A cargo del comprador</t>
        </is>
      </c>
      <c r="O214" s="0" t="inlineStr">
        <is>
          <t>Acepto</t>
        </is>
      </c>
      <c r="P214" s="47" t="inlineStr">
        <is>
          <t>Sin garantía</t>
        </is>
      </c>
      <c r="R214" s="0" t="inlineStr">
        <is>
          <t>Seleccionar</t>
        </is>
      </c>
      <c r="S214" s="0" t="inlineStr">
        <is>
          <t>No ofrezco</t>
        </is>
      </c>
      <c r="T214" t="n">
        <v>1894</v>
      </c>
      <c r="U214" s="0" t="inlineStr">
        <is>
          <t>Argentina</t>
        </is>
      </c>
      <c r="X214" s="0" t="inlineStr">
        <is>
          <t>Bronce</t>
        </is>
      </c>
      <c r="Z214" t="inlineStr">
        <is>
          <t>2 Centavos</t>
        </is>
      </c>
      <c r="AA214" s="0" t="inlineStr">
        <is>
          <t>Peso</t>
        </is>
      </c>
      <c r="AB2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4" s="53">
        <f>IF(OR(TRIM(INDIRECT("B"&amp;ROW())) &lt;&gt; "",TRIM(INDIRECT("A"&amp;ROW())) &lt;&gt; ""),AND(TRIM(INDIRECT("A"&amp;ROW())) &lt;&gt; "",TRIM(INDIRECT("D"&amp;ROW())) = "nuevo"),"")</f>
        <v/>
      </c>
    </row>
    <row r="215" ht="27.5" customHeight="1" s="62">
      <c r="B215" t="inlineStr">
        <is>
          <t>Moneda Argentina 2 Centavos 1884</t>
        </is>
      </c>
      <c r="C215" s="0">
        <f>LEN(INDIRECT(ADDRESS(ROW() + (0),COLUMN() + (-1))))</f>
        <v/>
      </c>
      <c r="D215" s="0" t="inlineStr">
        <is>
          <t>Usado</t>
        </is>
      </c>
      <c r="E215" s="38" t="inlineStr">
        <is>
          <t>https://numismaticapopper.com/images/550A.jpeg,https://numismaticapopper.com/images/550B.jpeg</t>
        </is>
      </c>
      <c r="F215" t="inlineStr">
        <is>
          <t>550</t>
        </is>
      </c>
      <c r="G215" s="40" t="n">
        <v>1</v>
      </c>
      <c r="H215" t="n">
        <v>11000</v>
      </c>
      <c r="I215" t="inlineStr">
        <is>
          <t>Estado de conservacion: Excelente -**
Referencia de catalogo: CJ# 26
Material: Bronce
Peso: 10.0 g
Diametro: 30.0 mm
Tirada: 5.600.000</t>
        </is>
      </c>
      <c r="J215" s="31">
        <f>IF(INDIRECT(ADDRESS(ROW() + (0),COLUMN() + (1)))="Agregar cuotas", IF(("16%")="", "-", "16%"), IF(INDIRECT(ADDRESS(ROW() + (0),COLUMN() + (1)))="No agregar cuotas", IF(("16%")="", "-", "16%"), "-"))</f>
        <v/>
      </c>
      <c r="K215" s="0" t="inlineStr">
        <is>
          <t>No agregar cuotas</t>
        </is>
      </c>
      <c r="L215" s="31">
        <f>IF(INDIRECT(ADDRESS(ROW() + (0),COLUMN() + (-1)))="Agregar cuotas", IF(("13.4%")="", "Sin costo", "13.4%"), IF(INDIRECT(ADDRESS(ROW() + (0),COLUMN() + (-1)))="No agregar cuotas", IF(("")="", "Sin costo", ""), "-"))</f>
        <v/>
      </c>
      <c r="M215" s="0" t="inlineStr">
        <is>
          <t>Mercado Envíos</t>
        </is>
      </c>
      <c r="N215" s="0" t="inlineStr">
        <is>
          <t>A cargo del comprador</t>
        </is>
      </c>
      <c r="O215" s="0" t="inlineStr">
        <is>
          <t>Acepto</t>
        </is>
      </c>
      <c r="P215" s="47" t="inlineStr">
        <is>
          <t>Sin garantía</t>
        </is>
      </c>
      <c r="R215" s="0" t="inlineStr">
        <is>
          <t>Seleccionar</t>
        </is>
      </c>
      <c r="S215" s="0" t="inlineStr">
        <is>
          <t>No ofrezco</t>
        </is>
      </c>
      <c r="T215" t="n">
        <v>1884</v>
      </c>
      <c r="U215" s="0" t="inlineStr">
        <is>
          <t>Argentina</t>
        </is>
      </c>
      <c r="X215" s="0" t="inlineStr">
        <is>
          <t>Bronce</t>
        </is>
      </c>
      <c r="Z215" t="inlineStr">
        <is>
          <t>2 Centavos</t>
        </is>
      </c>
      <c r="AA215" s="0" t="inlineStr">
        <is>
          <t>Peso</t>
        </is>
      </c>
      <c r="AB2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5" s="53">
        <f>IF(OR(TRIM(INDIRECT("B"&amp;ROW())) &lt;&gt; "",TRIM(INDIRECT("A"&amp;ROW())) &lt;&gt; ""),AND(TRIM(INDIRECT("A"&amp;ROW())) &lt;&gt; "",TRIM(INDIRECT("D"&amp;ROW())) = "nuevo"),"")</f>
        <v/>
      </c>
    </row>
    <row r="216" ht="27.5" customHeight="1" s="62">
      <c r="B216" t="inlineStr">
        <is>
          <t>Moneda Estados Unidos 1/4 Dólar (patina) 2016</t>
        </is>
      </c>
      <c r="C216" s="0">
        <f>LEN(INDIRECT(ADDRESS(ROW() + (0),COLUMN() + (-1))))</f>
        <v/>
      </c>
      <c r="D216" s="0" t="inlineStr">
        <is>
          <t>Usado</t>
        </is>
      </c>
      <c r="E216" s="38" t="inlineStr">
        <is>
          <t>https://numismaticapopper.com/images/553A.jpeg,https://numismaticapopper.com/images/553B.jpeg</t>
        </is>
      </c>
      <c r="F216" t="inlineStr">
        <is>
          <t>553</t>
        </is>
      </c>
      <c r="G216" s="40" t="n">
        <v>1</v>
      </c>
      <c r="H216" t="n">
        <v>9000</v>
      </c>
      <c r="I216" t="inlineStr">
        <is>
          <t>Referencia de catalogo: KM# 636
Material: Cuproníquel
Kentucky.</t>
        </is>
      </c>
      <c r="J216" s="31">
        <f>IF(INDIRECT(ADDRESS(ROW() + (0),COLUMN() + (1)))="Agregar cuotas", IF(("16%")="", "-", "16%"), IF(INDIRECT(ADDRESS(ROW() + (0),COLUMN() + (1)))="No agregar cuotas", IF(("16%")="", "-", "16%"), "-"))</f>
        <v/>
      </c>
      <c r="K216" s="0" t="inlineStr">
        <is>
          <t>No agregar cuotas</t>
        </is>
      </c>
      <c r="L216" s="31">
        <f>IF(INDIRECT(ADDRESS(ROW() + (0),COLUMN() + (-1)))="Agregar cuotas", IF(("13.4%")="", "Sin costo", "13.4%"), IF(INDIRECT(ADDRESS(ROW() + (0),COLUMN() + (-1)))="No agregar cuotas", IF(("")="", "Sin costo", ""), "-"))</f>
        <v/>
      </c>
      <c r="M216" s="0" t="inlineStr">
        <is>
          <t>Mercado Envíos</t>
        </is>
      </c>
      <c r="N216" s="0" t="inlineStr">
        <is>
          <t>A cargo del comprador</t>
        </is>
      </c>
      <c r="O216" s="0" t="inlineStr">
        <is>
          <t>Acepto</t>
        </is>
      </c>
      <c r="P216" s="47" t="inlineStr">
        <is>
          <t>Sin garantía</t>
        </is>
      </c>
      <c r="R216" s="0" t="inlineStr">
        <is>
          <t>Seleccionar</t>
        </is>
      </c>
      <c r="S216" s="0" t="inlineStr">
        <is>
          <t>No ofrezco</t>
        </is>
      </c>
      <c r="T216" t="n">
        <v>2016</v>
      </c>
      <c r="U216" s="0" t="inlineStr">
        <is>
          <t>Estados Unidos</t>
        </is>
      </c>
      <c r="X216" s="0" t="inlineStr">
        <is>
          <t>Níquel</t>
        </is>
      </c>
      <c r="Z216" t="inlineStr">
        <is>
          <t>1/4 Dólar (patina)</t>
        </is>
      </c>
      <c r="AA216" s="0" t="inlineStr">
        <is>
          <t>Dólar</t>
        </is>
      </c>
      <c r="AB2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6" s="53">
        <f>IF(OR(TRIM(INDIRECT("B"&amp;ROW())) &lt;&gt; "",TRIM(INDIRECT("A"&amp;ROW())) &lt;&gt; ""),AND(TRIM(INDIRECT("A"&amp;ROW())) &lt;&gt; "",TRIM(INDIRECT("D"&amp;ROW())) = "nuevo"),"")</f>
        <v/>
      </c>
    </row>
    <row r="217" ht="27.5" customHeight="1" s="62">
      <c r="B217" t="inlineStr">
        <is>
          <t>Moneda Uruguay 10 Centésimos 1877</t>
        </is>
      </c>
      <c r="C217" s="0">
        <f>LEN(INDIRECT(ADDRESS(ROW() + (0),COLUMN() + (-1))))</f>
        <v/>
      </c>
      <c r="D217" s="0" t="inlineStr">
        <is>
          <t>Usado</t>
        </is>
      </c>
      <c r="E217" s="38" t="inlineStr">
        <is>
          <t>https://numismaticapopper.com/images/554A.jpeg,https://numismaticapopper.com/images/554B.jpeg</t>
        </is>
      </c>
      <c r="F217" t="inlineStr">
        <is>
          <t>554</t>
        </is>
      </c>
      <c r="G217" s="40" t="n">
        <v>1</v>
      </c>
      <c r="H217" t="n">
        <v>18000</v>
      </c>
      <c r="I217" t="inlineStr">
        <is>
          <t>Estado de conservacion: Muy Buena
Referencia de catalogo: KM# 14
Material: Plata .900
Tirada: 3.000.000</t>
        </is>
      </c>
      <c r="J217" s="31">
        <f>IF(INDIRECT(ADDRESS(ROW() + (0),COLUMN() + (1)))="Agregar cuotas", IF(("16%")="", "-", "16%"), IF(INDIRECT(ADDRESS(ROW() + (0),COLUMN() + (1)))="No agregar cuotas", IF(("16%")="", "-", "16%"), "-"))</f>
        <v/>
      </c>
      <c r="K217" s="0" t="inlineStr">
        <is>
          <t>No agregar cuotas</t>
        </is>
      </c>
      <c r="L217" s="31">
        <f>IF(INDIRECT(ADDRESS(ROW() + (0),COLUMN() + (-1)))="Agregar cuotas", IF(("13.4%")="", "Sin costo", "13.4%"), IF(INDIRECT(ADDRESS(ROW() + (0),COLUMN() + (-1)))="No agregar cuotas", IF(("")="", "Sin costo", ""), "-"))</f>
        <v/>
      </c>
      <c r="M217" s="0" t="inlineStr">
        <is>
          <t>Mercado Envíos</t>
        </is>
      </c>
      <c r="N217" s="0" t="inlineStr">
        <is>
          <t>A cargo del comprador</t>
        </is>
      </c>
      <c r="O217" s="0" t="inlineStr">
        <is>
          <t>Acepto</t>
        </is>
      </c>
      <c r="P217" s="47" t="inlineStr">
        <is>
          <t>Sin garantía</t>
        </is>
      </c>
      <c r="R217" s="0" t="inlineStr">
        <is>
          <t>Seleccionar</t>
        </is>
      </c>
      <c r="S217" s="0" t="inlineStr">
        <is>
          <t>No ofrezco</t>
        </is>
      </c>
      <c r="T217" t="n">
        <v>1877</v>
      </c>
      <c r="U217" s="0" t="inlineStr">
        <is>
          <t>Uruguay</t>
        </is>
      </c>
      <c r="X217" s="0" t="inlineStr">
        <is>
          <t>Plata</t>
        </is>
      </c>
      <c r="Z217" t="inlineStr">
        <is>
          <t>10 Centésimos</t>
        </is>
      </c>
      <c r="AA217" s="0" t="inlineStr">
        <is>
          <t>Euro</t>
        </is>
      </c>
      <c r="AB2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7" s="53">
        <f>IF(OR(TRIM(INDIRECT("B"&amp;ROW())) &lt;&gt; "",TRIM(INDIRECT("A"&amp;ROW())) &lt;&gt; ""),AND(TRIM(INDIRECT("A"&amp;ROW())) &lt;&gt; "",TRIM(INDIRECT("D"&amp;ROW())) = "nuevo"),"")</f>
        <v/>
      </c>
    </row>
    <row r="218" ht="27.5" customHeight="1" s="62">
      <c r="B218" t="inlineStr">
        <is>
          <t>Moneda Reino Unido Penny 1921</t>
        </is>
      </c>
      <c r="C218" s="0">
        <f>LEN(INDIRECT(ADDRESS(ROW() + (0),COLUMN() + (-1))))</f>
        <v/>
      </c>
      <c r="D218" s="0" t="inlineStr">
        <is>
          <t>Usado</t>
        </is>
      </c>
      <c r="E218" s="38" t="inlineStr">
        <is>
          <t>https://numismaticapopper.com/images/556A.jpeg,https://numismaticapopper.com/images/556B.jpeg</t>
        </is>
      </c>
      <c r="F218" t="inlineStr">
        <is>
          <t>556</t>
        </is>
      </c>
      <c r="G218" s="40" t="n">
        <v>1</v>
      </c>
      <c r="H218" t="n">
        <v>9000</v>
      </c>
      <c r="I218" t="inlineStr">
        <is>
          <t>Estado de conservacion: Excelente
Referencia de catalogo: KM# 810
Material: Bronce
Jorge.</t>
        </is>
      </c>
      <c r="J218" s="31">
        <f>IF(INDIRECT(ADDRESS(ROW() + (0),COLUMN() + (1)))="Agregar cuotas", IF(("16%")="", "-", "16%"), IF(INDIRECT(ADDRESS(ROW() + (0),COLUMN() + (1)))="No agregar cuotas", IF(("16%")="", "-", "16%"), "-"))</f>
        <v/>
      </c>
      <c r="K218" s="0" t="inlineStr">
        <is>
          <t>No agregar cuotas</t>
        </is>
      </c>
      <c r="L218" s="31">
        <f>IF(INDIRECT(ADDRESS(ROW() + (0),COLUMN() + (-1)))="Agregar cuotas", IF(("13.4%")="", "Sin costo", "13.4%"), IF(INDIRECT(ADDRESS(ROW() + (0),COLUMN() + (-1)))="No agregar cuotas", IF(("")="", "Sin costo", ""), "-"))</f>
        <v/>
      </c>
      <c r="M218" s="0" t="inlineStr">
        <is>
          <t>Mercado Envíos</t>
        </is>
      </c>
      <c r="N218" s="0" t="inlineStr">
        <is>
          <t>A cargo del comprador</t>
        </is>
      </c>
      <c r="O218" s="0" t="inlineStr">
        <is>
          <t>Acepto</t>
        </is>
      </c>
      <c r="P218" s="47" t="inlineStr">
        <is>
          <t>Sin garantía</t>
        </is>
      </c>
      <c r="R218" s="0" t="inlineStr">
        <is>
          <t>Seleccionar</t>
        </is>
      </c>
      <c r="S218" s="0" t="inlineStr">
        <is>
          <t>No ofrezco</t>
        </is>
      </c>
      <c r="T218" t="n">
        <v>1921</v>
      </c>
      <c r="U218" s="0" t="inlineStr">
        <is>
          <t>Inglaterra</t>
        </is>
      </c>
      <c r="X218" s="0" t="inlineStr">
        <is>
          <t>Bronce</t>
        </is>
      </c>
      <c r="Z218" t="inlineStr">
        <is>
          <t>Penny</t>
        </is>
      </c>
      <c r="AA218" s="0" t="inlineStr">
        <is>
          <t>Dólar</t>
        </is>
      </c>
      <c r="AB2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8" s="53">
        <f>IF(OR(TRIM(INDIRECT("B"&amp;ROW())) &lt;&gt; "",TRIM(INDIRECT("A"&amp;ROW())) &lt;&gt; ""),AND(TRIM(INDIRECT("A"&amp;ROW())) &lt;&gt; "",TRIM(INDIRECT("D"&amp;ROW())) = "nuevo"),"")</f>
        <v/>
      </c>
    </row>
    <row r="219" ht="27.5" customHeight="1" s="62">
      <c r="B219" t="inlineStr">
        <is>
          <t>Moneda Perú 1 Sol 2010</t>
        </is>
      </c>
      <c r="C219" s="0">
        <f>LEN(INDIRECT(ADDRESS(ROW() + (0),COLUMN() + (-1))))</f>
        <v/>
      </c>
      <c r="D219" s="0" t="inlineStr">
        <is>
          <t>Usado</t>
        </is>
      </c>
      <c r="E219" s="38" t="inlineStr">
        <is>
          <t>https://numismaticapopper.com/images/557A.jpeg,https://numismaticapopper.com/images/557B.jpeg</t>
        </is>
      </c>
      <c r="F219" t="inlineStr">
        <is>
          <t>557</t>
        </is>
      </c>
      <c r="G219" s="40" t="n">
        <v>1</v>
      </c>
      <c r="H219" t="n">
        <v>8000</v>
      </c>
      <c r="I219" t="inlineStr">
        <is>
          <t>Referencia de catalogo: KM# 342
Estela de Raimondi.</t>
        </is>
      </c>
      <c r="J219" s="31">
        <f>IF(INDIRECT(ADDRESS(ROW() + (0),COLUMN() + (1)))="Agregar cuotas", IF(("16%")="", "-", "16%"), IF(INDIRECT(ADDRESS(ROW() + (0),COLUMN() + (1)))="No agregar cuotas", IF(("16%")="", "-", "16%"), "-"))</f>
        <v/>
      </c>
      <c r="K219" s="0" t="inlineStr">
        <is>
          <t>No agregar cuotas</t>
        </is>
      </c>
      <c r="L219" s="31">
        <f>IF(INDIRECT(ADDRESS(ROW() + (0),COLUMN() + (-1)))="Agregar cuotas", IF(("13.4%")="", "Sin costo", "13.4%"), IF(INDIRECT(ADDRESS(ROW() + (0),COLUMN() + (-1)))="No agregar cuotas", IF(("")="", "Sin costo", ""), "-"))</f>
        <v/>
      </c>
      <c r="M219" s="0" t="inlineStr">
        <is>
          <t>Mercado Envíos</t>
        </is>
      </c>
      <c r="N219" s="0" t="inlineStr">
        <is>
          <t>A cargo del comprador</t>
        </is>
      </c>
      <c r="O219" s="0" t="inlineStr">
        <is>
          <t>Acepto</t>
        </is>
      </c>
      <c r="P219" s="47" t="inlineStr">
        <is>
          <t>Sin garantía</t>
        </is>
      </c>
      <c r="R219" s="0" t="inlineStr">
        <is>
          <t>Seleccionar</t>
        </is>
      </c>
      <c r="S219" s="0" t="inlineStr">
        <is>
          <t>No ofrezco</t>
        </is>
      </c>
      <c r="T219" t="n">
        <v>2010</v>
      </c>
      <c r="U219" s="0" t="inlineStr">
        <is>
          <t>Perú</t>
        </is>
      </c>
      <c r="X219" s="0" t="inlineStr">
        <is>
          <t>Níquel</t>
        </is>
      </c>
      <c r="Z219" t="inlineStr">
        <is>
          <t>1 Sol</t>
        </is>
      </c>
      <c r="AA219" s="0" t="inlineStr">
        <is>
          <t>Peso</t>
        </is>
      </c>
      <c r="AB2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19" s="53">
        <f>IF(OR(TRIM(INDIRECT("B"&amp;ROW())) &lt;&gt; "",TRIM(INDIRECT("A"&amp;ROW())) &lt;&gt; ""),AND(TRIM(INDIRECT("A"&amp;ROW())) &lt;&gt; "",TRIM(INDIRECT("D"&amp;ROW())) = "nuevo"),"")</f>
        <v/>
      </c>
    </row>
    <row r="220" ht="27.5" customHeight="1" s="62">
      <c r="B220" t="inlineStr">
        <is>
          <t>Moneda Venezuela 5 Céntimos 1938</t>
        </is>
      </c>
      <c r="C220" s="0">
        <f>LEN(INDIRECT(ADDRESS(ROW() + (0),COLUMN() + (-1))))</f>
        <v/>
      </c>
      <c r="D220" s="0" t="inlineStr">
        <is>
          <t>Usado</t>
        </is>
      </c>
      <c r="E220" s="38" t="inlineStr">
        <is>
          <t>https://numismaticapopper.com/images/558A.jpeg,https://numismaticapopper.com/images/558B.jpeg</t>
        </is>
      </c>
      <c r="F220" t="inlineStr">
        <is>
          <t>558</t>
        </is>
      </c>
      <c r="G220" s="40" t="n">
        <v>1</v>
      </c>
      <c r="H220" t="n">
        <v>11000</v>
      </c>
      <c r="I220" t="inlineStr">
        <is>
          <t>Estado de conservacion: Excelente
Referencia de catalogo: Y# 27
Material: Cuproníquel
Tirada: 6.000.000</t>
        </is>
      </c>
      <c r="J220" s="31">
        <f>IF(INDIRECT(ADDRESS(ROW() + (0),COLUMN() + (1)))="Agregar cuotas", IF(("16%")="", "-", "16%"), IF(INDIRECT(ADDRESS(ROW() + (0),COLUMN() + (1)))="No agregar cuotas", IF(("16%")="", "-", "16%"), "-"))</f>
        <v/>
      </c>
      <c r="K220" s="0" t="inlineStr">
        <is>
          <t>No agregar cuotas</t>
        </is>
      </c>
      <c r="L220" s="31">
        <f>IF(INDIRECT(ADDRESS(ROW() + (0),COLUMN() + (-1)))="Agregar cuotas", IF(("13.4%")="", "Sin costo", "13.4%"), IF(INDIRECT(ADDRESS(ROW() + (0),COLUMN() + (-1)))="No agregar cuotas", IF(("")="", "Sin costo", ""), "-"))</f>
        <v/>
      </c>
      <c r="M220" s="0" t="inlineStr">
        <is>
          <t>Mercado Envíos</t>
        </is>
      </c>
      <c r="N220" s="0" t="inlineStr">
        <is>
          <t>A cargo del comprador</t>
        </is>
      </c>
      <c r="O220" s="0" t="inlineStr">
        <is>
          <t>Acepto</t>
        </is>
      </c>
      <c r="P220" s="47" t="inlineStr">
        <is>
          <t>Sin garantía</t>
        </is>
      </c>
      <c r="R220" s="0" t="inlineStr">
        <is>
          <t>Seleccionar</t>
        </is>
      </c>
      <c r="S220" s="0" t="inlineStr">
        <is>
          <t>No ofrezco</t>
        </is>
      </c>
      <c r="T220" t="n">
        <v>1938</v>
      </c>
      <c r="U220" s="0" t="inlineStr">
        <is>
          <t>Perú</t>
        </is>
      </c>
      <c r="X220" s="0" t="inlineStr">
        <is>
          <t>Níquel</t>
        </is>
      </c>
      <c r="Z220" t="inlineStr">
        <is>
          <t>5 Céntimos</t>
        </is>
      </c>
      <c r="AA220" s="0" t="inlineStr">
        <is>
          <t>Euro</t>
        </is>
      </c>
      <c r="AB2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0" s="53">
        <f>IF(OR(TRIM(INDIRECT("B"&amp;ROW())) &lt;&gt; "",TRIM(INDIRECT("A"&amp;ROW())) &lt;&gt; ""),AND(TRIM(INDIRECT("A"&amp;ROW())) &lt;&gt; "",TRIM(INDIRECT("D"&amp;ROW())) = "nuevo"),"")</f>
        <v/>
      </c>
    </row>
    <row r="221" ht="27.5" customHeight="1" s="62">
      <c r="B221" t="inlineStr">
        <is>
          <t>Moneda Venezuela 5 Céntimos 1945</t>
        </is>
      </c>
      <c r="C221" s="0">
        <f>LEN(INDIRECT(ADDRESS(ROW() + (0),COLUMN() + (-1))))</f>
        <v/>
      </c>
      <c r="D221" s="0" t="inlineStr">
        <is>
          <t>Usado</t>
        </is>
      </c>
      <c r="E221" s="38" t="inlineStr">
        <is>
          <t>https://numismaticapopper.com/images/559A.jpeg,https://numismaticapopper.com/images/559B.jpeg</t>
        </is>
      </c>
      <c r="F221" t="inlineStr">
        <is>
          <t>559</t>
        </is>
      </c>
      <c r="G221" s="40" t="n">
        <v>1</v>
      </c>
      <c r="H221" t="n">
        <v>8000</v>
      </c>
      <c r="I221" t="inlineStr">
        <is>
          <t>Estado de conservacion: Excelente
Referencia de catalogo: Y# 29a
Material: Cuproníquel
Tirada: 12.000.000</t>
        </is>
      </c>
      <c r="J221" s="31">
        <f>IF(INDIRECT(ADDRESS(ROW() + (0),COLUMN() + (1)))="Agregar cuotas", IF(("16%")="", "-", "16%"), IF(INDIRECT(ADDRESS(ROW() + (0),COLUMN() + (1)))="No agregar cuotas", IF(("16%")="", "-", "16%"), "-"))</f>
        <v/>
      </c>
      <c r="K221" s="0" t="inlineStr">
        <is>
          <t>No agregar cuotas</t>
        </is>
      </c>
      <c r="L221" s="31">
        <f>IF(INDIRECT(ADDRESS(ROW() + (0),COLUMN() + (-1)))="Agregar cuotas", IF(("13.4%")="", "Sin costo", "13.4%"), IF(INDIRECT(ADDRESS(ROW() + (0),COLUMN() + (-1)))="No agregar cuotas", IF(("")="", "Sin costo", ""), "-"))</f>
        <v/>
      </c>
      <c r="M221" s="0" t="inlineStr">
        <is>
          <t>Mercado Envíos</t>
        </is>
      </c>
      <c r="N221" s="0" t="inlineStr">
        <is>
          <t>A cargo del comprador</t>
        </is>
      </c>
      <c r="O221" s="0" t="inlineStr">
        <is>
          <t>Acepto</t>
        </is>
      </c>
      <c r="P221" s="47" t="inlineStr">
        <is>
          <t>Sin garantía</t>
        </is>
      </c>
      <c r="R221" s="0" t="inlineStr">
        <is>
          <t>Seleccionar</t>
        </is>
      </c>
      <c r="S221" s="0" t="inlineStr">
        <is>
          <t>No ofrezco</t>
        </is>
      </c>
      <c r="T221" t="n">
        <v>1945</v>
      </c>
      <c r="U221" s="0" t="inlineStr">
        <is>
          <t>Perú</t>
        </is>
      </c>
      <c r="X221" s="0" t="inlineStr">
        <is>
          <t>Níquel</t>
        </is>
      </c>
      <c r="Z221" t="inlineStr">
        <is>
          <t>5 Céntimos</t>
        </is>
      </c>
      <c r="AA221" s="0" t="inlineStr">
        <is>
          <t>Euro</t>
        </is>
      </c>
      <c r="AB2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1" s="53">
        <f>IF(OR(TRIM(INDIRECT("B"&amp;ROW())) &lt;&gt; "",TRIM(INDIRECT("A"&amp;ROW())) &lt;&gt; ""),AND(TRIM(INDIRECT("A"&amp;ROW())) &lt;&gt; "",TRIM(INDIRECT("D"&amp;ROW())) = "nuevo"),"")</f>
        <v/>
      </c>
    </row>
    <row r="222" ht="27.5" customHeight="1" s="62">
      <c r="B222" t="inlineStr">
        <is>
          <t>Moneda Noruega 10 Øre 1946</t>
        </is>
      </c>
      <c r="C222" s="0">
        <f>LEN(INDIRECT(ADDRESS(ROW() + (0),COLUMN() + (-1))))</f>
        <v/>
      </c>
      <c r="D222" s="0" t="inlineStr">
        <is>
          <t>Usado</t>
        </is>
      </c>
      <c r="E222" s="38" t="inlineStr">
        <is>
          <t>https://numismaticapopper.com/images/560A.jpeg,https://numismaticapopper.com/images/560B.jpeg</t>
        </is>
      </c>
      <c r="F222" t="inlineStr">
        <is>
          <t>560</t>
        </is>
      </c>
      <c r="G222" s="40" t="n">
        <v>1</v>
      </c>
      <c r="H222" t="n">
        <v>11000</v>
      </c>
      <c r="I222" t="inlineStr">
        <is>
          <t>Estado de conservacion: Sin Circular -
Referencia de catalogo: KM# 383
Material: Cuproníquel
Tirada: 3.700.000</t>
        </is>
      </c>
      <c r="J222" s="31">
        <f>IF(INDIRECT(ADDRESS(ROW() + (0),COLUMN() + (1)))="Agregar cuotas", IF(("16%")="", "-", "16%"), IF(INDIRECT(ADDRESS(ROW() + (0),COLUMN() + (1)))="No agregar cuotas", IF(("16%")="", "-", "16%"), "-"))</f>
        <v/>
      </c>
      <c r="K222" s="0" t="inlineStr">
        <is>
          <t>No agregar cuotas</t>
        </is>
      </c>
      <c r="L222" s="31">
        <f>IF(INDIRECT(ADDRESS(ROW() + (0),COLUMN() + (-1)))="Agregar cuotas", IF(("13.4%")="", "Sin costo", "13.4%"), IF(INDIRECT(ADDRESS(ROW() + (0),COLUMN() + (-1)))="No agregar cuotas", IF(("")="", "Sin costo", ""), "-"))</f>
        <v/>
      </c>
      <c r="M222" s="0" t="inlineStr">
        <is>
          <t>Mercado Envíos</t>
        </is>
      </c>
      <c r="N222" s="0" t="inlineStr">
        <is>
          <t>A cargo del comprador</t>
        </is>
      </c>
      <c r="O222" s="0" t="inlineStr">
        <is>
          <t>Acepto</t>
        </is>
      </c>
      <c r="P222" s="47" t="inlineStr">
        <is>
          <t>Sin garantía</t>
        </is>
      </c>
      <c r="R222" s="0" t="inlineStr">
        <is>
          <t>Seleccionar</t>
        </is>
      </c>
      <c r="S222" s="0" t="inlineStr">
        <is>
          <t>No ofrezco</t>
        </is>
      </c>
      <c r="T222" t="n">
        <v>1946</v>
      </c>
      <c r="U222" s="0" t="inlineStr">
        <is>
          <t>Dinamarca</t>
        </is>
      </c>
      <c r="X222" s="0" t="inlineStr">
        <is>
          <t>Níquel</t>
        </is>
      </c>
      <c r="Z222" t="inlineStr">
        <is>
          <t>10 Øre</t>
        </is>
      </c>
      <c r="AA222" s="0" t="inlineStr">
        <is>
          <t>Euro</t>
        </is>
      </c>
      <c r="AB2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2" s="53">
        <f>IF(OR(TRIM(INDIRECT("B"&amp;ROW())) &lt;&gt; "",TRIM(INDIRECT("A"&amp;ROW())) &lt;&gt; ""),AND(TRIM(INDIRECT("A"&amp;ROW())) &lt;&gt; "",TRIM(INDIRECT("D"&amp;ROW())) = "nuevo"),"")</f>
        <v/>
      </c>
    </row>
    <row r="223" ht="27.5" customHeight="1" s="62">
      <c r="B223" t="inlineStr">
        <is>
          <t>Moneda Noruega 10 Øre 1957</t>
        </is>
      </c>
      <c r="C223" s="0">
        <f>LEN(INDIRECT(ADDRESS(ROW() + (0),COLUMN() + (-1))))</f>
        <v/>
      </c>
      <c r="D223" s="0" t="inlineStr">
        <is>
          <t>Usado</t>
        </is>
      </c>
      <c r="E223" s="38" t="inlineStr">
        <is>
          <t>https://numismaticapopper.com/images/561A.jpeg,https://numismaticapopper.com/images/561B.jpeg</t>
        </is>
      </c>
      <c r="F223" t="inlineStr">
        <is>
          <t>561</t>
        </is>
      </c>
      <c r="G223" s="40" t="n">
        <v>1</v>
      </c>
      <c r="H223" t="n">
        <v>8000</v>
      </c>
      <c r="I223" t="inlineStr">
        <is>
          <t>Estado de conservacion: Muy Buena +
Referencia de catalogo: KM# 396
Material: Cuproníquel
Tirada: 22.000.000</t>
        </is>
      </c>
      <c r="J223" s="31">
        <f>IF(INDIRECT(ADDRESS(ROW() + (0),COLUMN() + (1)))="Agregar cuotas", IF(("16%")="", "-", "16%"), IF(INDIRECT(ADDRESS(ROW() + (0),COLUMN() + (1)))="No agregar cuotas", IF(("16%")="", "-", "16%"), "-"))</f>
        <v/>
      </c>
      <c r="K223" s="0" t="inlineStr">
        <is>
          <t>No agregar cuotas</t>
        </is>
      </c>
      <c r="L223" s="31">
        <f>IF(INDIRECT(ADDRESS(ROW() + (0),COLUMN() + (-1)))="Agregar cuotas", IF(("13.4%")="", "Sin costo", "13.4%"), IF(INDIRECT(ADDRESS(ROW() + (0),COLUMN() + (-1)))="No agregar cuotas", IF(("")="", "Sin costo", ""), "-"))</f>
        <v/>
      </c>
      <c r="M223" s="0" t="inlineStr">
        <is>
          <t>Mercado Envíos</t>
        </is>
      </c>
      <c r="N223" s="0" t="inlineStr">
        <is>
          <t>A cargo del comprador</t>
        </is>
      </c>
      <c r="O223" s="0" t="inlineStr">
        <is>
          <t>Acepto</t>
        </is>
      </c>
      <c r="P223" s="47" t="inlineStr">
        <is>
          <t>Sin garantía</t>
        </is>
      </c>
      <c r="R223" s="0" t="inlineStr">
        <is>
          <t>Seleccionar</t>
        </is>
      </c>
      <c r="S223" s="0" t="inlineStr">
        <is>
          <t>No ofrezco</t>
        </is>
      </c>
      <c r="T223" t="n">
        <v>1957</v>
      </c>
      <c r="U223" s="0" t="inlineStr">
        <is>
          <t>Dinamarca</t>
        </is>
      </c>
      <c r="X223" s="0" t="inlineStr">
        <is>
          <t>Níquel</t>
        </is>
      </c>
      <c r="Z223" t="inlineStr">
        <is>
          <t>10 Øre</t>
        </is>
      </c>
      <c r="AA223" s="0" t="inlineStr">
        <is>
          <t>Euro</t>
        </is>
      </c>
      <c r="AB2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3" s="53">
        <f>IF(OR(TRIM(INDIRECT("B"&amp;ROW())) &lt;&gt; "",TRIM(INDIRECT("A"&amp;ROW())) &lt;&gt; ""),AND(TRIM(INDIRECT("A"&amp;ROW())) &lt;&gt; "",TRIM(INDIRECT("D"&amp;ROW())) = "nuevo"),"")</f>
        <v/>
      </c>
    </row>
    <row r="224" ht="27.5" customHeight="1" s="62">
      <c r="B224" t="inlineStr">
        <is>
          <t>Moneda Perú 5 Centavos 1962</t>
        </is>
      </c>
      <c r="C224" s="0">
        <f>LEN(INDIRECT(ADDRESS(ROW() + (0),COLUMN() + (-1))))</f>
        <v/>
      </c>
      <c r="D224" s="0" t="inlineStr">
        <is>
          <t>Usado</t>
        </is>
      </c>
      <c r="E224" s="38" t="inlineStr">
        <is>
          <t>https://numismaticapopper.com/images/564A.jpeg,https://numismaticapopper.com/images/564B.jpeg</t>
        </is>
      </c>
      <c r="F224" t="inlineStr">
        <is>
          <t>564</t>
        </is>
      </c>
      <c r="G224" s="40" t="n">
        <v>1</v>
      </c>
      <c r="H224" t="n">
        <v>8000</v>
      </c>
      <c r="I224" t="inlineStr">
        <is>
          <t>Estado de conservacion: Sin Circular
Referencia de catalogo: KM# 223.2
Material: Latón</t>
        </is>
      </c>
      <c r="J224" s="31">
        <f>IF(INDIRECT(ADDRESS(ROW() + (0),COLUMN() + (1)))="Agregar cuotas", IF(("16%")="", "-", "16%"), IF(INDIRECT(ADDRESS(ROW() + (0),COLUMN() + (1)))="No agregar cuotas", IF(("16%")="", "-", "16%"), "-"))</f>
        <v/>
      </c>
      <c r="K224" s="0" t="inlineStr">
        <is>
          <t>No agregar cuotas</t>
        </is>
      </c>
      <c r="L224" s="31">
        <f>IF(INDIRECT(ADDRESS(ROW() + (0),COLUMN() + (-1)))="Agregar cuotas", IF(("13.4%")="", "Sin costo", "13.4%"), IF(INDIRECT(ADDRESS(ROW() + (0),COLUMN() + (-1)))="No agregar cuotas", IF(("")="", "Sin costo", ""), "-"))</f>
        <v/>
      </c>
      <c r="M224" s="0" t="inlineStr">
        <is>
          <t>Mercado Envíos</t>
        </is>
      </c>
      <c r="N224" s="0" t="inlineStr">
        <is>
          <t>A cargo del comprador</t>
        </is>
      </c>
      <c r="O224" s="0" t="inlineStr">
        <is>
          <t>Acepto</t>
        </is>
      </c>
      <c r="P224" s="47" t="inlineStr">
        <is>
          <t>Sin garantía</t>
        </is>
      </c>
      <c r="R224" s="0" t="inlineStr">
        <is>
          <t>Seleccionar</t>
        </is>
      </c>
      <c r="S224" s="0" t="inlineStr">
        <is>
          <t>No ofrezco</t>
        </is>
      </c>
      <c r="T224" t="n">
        <v>1962</v>
      </c>
      <c r="U224" s="0" t="inlineStr">
        <is>
          <t>Perú</t>
        </is>
      </c>
      <c r="X224" s="0" t="inlineStr">
        <is>
          <t>Bronce</t>
        </is>
      </c>
      <c r="Z224" t="inlineStr">
        <is>
          <t>5 Centavos</t>
        </is>
      </c>
      <c r="AA224" s="0" t="inlineStr">
        <is>
          <t>Peso</t>
        </is>
      </c>
      <c r="AB2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4" s="53">
        <f>IF(OR(TRIM(INDIRECT("B"&amp;ROW())) &lt;&gt; "",TRIM(INDIRECT("A"&amp;ROW())) &lt;&gt; ""),AND(TRIM(INDIRECT("A"&amp;ROW())) &lt;&gt; "",TRIM(INDIRECT("D"&amp;ROW())) = "nuevo"),"")</f>
        <v/>
      </c>
    </row>
    <row r="225" ht="27.5" customHeight="1" s="62">
      <c r="B225" t="inlineStr">
        <is>
          <t>Moneda Perú 10 Soles 1978</t>
        </is>
      </c>
      <c r="C225" s="0">
        <f>LEN(INDIRECT(ADDRESS(ROW() + (0),COLUMN() + (-1))))</f>
        <v/>
      </c>
      <c r="D225" s="0" t="inlineStr">
        <is>
          <t>Usado</t>
        </is>
      </c>
      <c r="E225" s="38" t="inlineStr">
        <is>
          <t>https://numismaticapopper.com/images/565A.jpeg,https://numismaticapopper.com/images/565B.jpeg</t>
        </is>
      </c>
      <c r="F225" t="inlineStr">
        <is>
          <t>565</t>
        </is>
      </c>
      <c r="G225" s="40" t="n">
        <v>1</v>
      </c>
      <c r="H225" t="n">
        <v>8000</v>
      </c>
      <c r="I225" t="inlineStr">
        <is>
          <t>Estado de conservacion: Sin Circular
Referencia de catalogo: KM# 275
Túpac Amaru.</t>
        </is>
      </c>
      <c r="J225" s="31">
        <f>IF(INDIRECT(ADDRESS(ROW() + (0),COLUMN() + (1)))="Agregar cuotas", IF(("16%")="", "-", "16%"), IF(INDIRECT(ADDRESS(ROW() + (0),COLUMN() + (1)))="No agregar cuotas", IF(("16%")="", "-", "16%"), "-"))</f>
        <v/>
      </c>
      <c r="K225" s="0" t="inlineStr">
        <is>
          <t>No agregar cuotas</t>
        </is>
      </c>
      <c r="L225" s="31">
        <f>IF(INDIRECT(ADDRESS(ROW() + (0),COLUMN() + (-1)))="Agregar cuotas", IF(("13.4%")="", "Sin costo", "13.4%"), IF(INDIRECT(ADDRESS(ROW() + (0),COLUMN() + (-1)))="No agregar cuotas", IF(("")="", "Sin costo", ""), "-"))</f>
        <v/>
      </c>
      <c r="M225" s="0" t="inlineStr">
        <is>
          <t>Mercado Envíos</t>
        </is>
      </c>
      <c r="N225" s="0" t="inlineStr">
        <is>
          <t>A cargo del comprador</t>
        </is>
      </c>
      <c r="O225" s="0" t="inlineStr">
        <is>
          <t>Acepto</t>
        </is>
      </c>
      <c r="P225" s="47" t="inlineStr">
        <is>
          <t>Sin garantía</t>
        </is>
      </c>
      <c r="R225" s="0" t="inlineStr">
        <is>
          <t>Seleccionar</t>
        </is>
      </c>
      <c r="S225" s="0" t="inlineStr">
        <is>
          <t>No ofrezco</t>
        </is>
      </c>
      <c r="T225" t="n">
        <v>1978</v>
      </c>
      <c r="U225" s="0" t="inlineStr">
        <is>
          <t>Perú</t>
        </is>
      </c>
      <c r="X225" s="0" t="inlineStr">
        <is>
          <t>Níquel</t>
        </is>
      </c>
      <c r="Z225" t="inlineStr">
        <is>
          <t>10 Soles</t>
        </is>
      </c>
      <c r="AA225" s="0" t="inlineStr">
        <is>
          <t>Peso</t>
        </is>
      </c>
      <c r="AB2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5" s="53">
        <f>IF(OR(TRIM(INDIRECT("B"&amp;ROW())) &lt;&gt; "",TRIM(INDIRECT("A"&amp;ROW())) &lt;&gt; ""),AND(TRIM(INDIRECT("A"&amp;ROW())) &lt;&gt; "",TRIM(INDIRECT("D"&amp;ROW())) = "nuevo"),"")</f>
        <v/>
      </c>
    </row>
    <row r="226" ht="27.5" customHeight="1" s="62">
      <c r="B226" t="inlineStr">
        <is>
          <t>Moneda Italia 20 Centesimi 1918</t>
        </is>
      </c>
      <c r="C226" s="0">
        <f>LEN(INDIRECT(ADDRESS(ROW() + (0),COLUMN() + (-1))))</f>
        <v/>
      </c>
      <c r="D226" s="0" t="inlineStr">
        <is>
          <t>Usado</t>
        </is>
      </c>
      <c r="E226" s="38" t="inlineStr">
        <is>
          <t>https://numismaticapopper.com/images/566A.jpeg,https://numismaticapopper.com/images/566B.jpeg</t>
        </is>
      </c>
      <c r="F226" t="inlineStr">
        <is>
          <t>566</t>
        </is>
      </c>
      <c r="G226" s="40" t="n">
        <v>1</v>
      </c>
      <c r="H226" t="n">
        <v>10000</v>
      </c>
      <c r="I226" t="inlineStr">
        <is>
          <t>Estado de conservacion: Excelente -
Referencia de catalogo: KM# 58
Material: Cuproníquel</t>
        </is>
      </c>
      <c r="J226" s="31">
        <f>IF(INDIRECT(ADDRESS(ROW() + (0),COLUMN() + (1)))="Agregar cuotas", IF(("16%")="", "-", "16%"), IF(INDIRECT(ADDRESS(ROW() + (0),COLUMN() + (1)))="No agregar cuotas", IF(("16%")="", "-", "16%"), "-"))</f>
        <v/>
      </c>
      <c r="K226" s="0" t="inlineStr">
        <is>
          <t>No agregar cuotas</t>
        </is>
      </c>
      <c r="L226" s="31">
        <f>IF(INDIRECT(ADDRESS(ROW() + (0),COLUMN() + (-1)))="Agregar cuotas", IF(("13.4%")="", "Sin costo", "13.4%"), IF(INDIRECT(ADDRESS(ROW() + (0),COLUMN() + (-1)))="No agregar cuotas", IF(("")="", "Sin costo", ""), "-"))</f>
        <v/>
      </c>
      <c r="M226" s="0" t="inlineStr">
        <is>
          <t>Mercado Envíos</t>
        </is>
      </c>
      <c r="N226" s="0" t="inlineStr">
        <is>
          <t>A cargo del comprador</t>
        </is>
      </c>
      <c r="O226" s="0" t="inlineStr">
        <is>
          <t>Acepto</t>
        </is>
      </c>
      <c r="P226" s="47" t="inlineStr">
        <is>
          <t>Sin garantía</t>
        </is>
      </c>
      <c r="R226" s="0" t="inlineStr">
        <is>
          <t>Seleccionar</t>
        </is>
      </c>
      <c r="S226" s="0" t="inlineStr">
        <is>
          <t>No ofrezco</t>
        </is>
      </c>
      <c r="T226" t="n">
        <v>1918</v>
      </c>
      <c r="U226" s="0" t="inlineStr">
        <is>
          <t>Italia</t>
        </is>
      </c>
      <c r="X226" s="0" t="inlineStr">
        <is>
          <t>Níquel</t>
        </is>
      </c>
      <c r="Z226" t="inlineStr">
        <is>
          <t>20 Centesimi</t>
        </is>
      </c>
      <c r="AA226" s="0" t="inlineStr">
        <is>
          <t>Euro</t>
        </is>
      </c>
      <c r="AB2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6" s="53">
        <f>IF(OR(TRIM(INDIRECT("B"&amp;ROW())) &lt;&gt; "",TRIM(INDIRECT("A"&amp;ROW())) &lt;&gt; ""),AND(TRIM(INDIRECT("A"&amp;ROW())) &lt;&gt; "",TRIM(INDIRECT("D"&amp;ROW())) = "nuevo"),"")</f>
        <v/>
      </c>
    </row>
    <row r="227" ht="27.5" customHeight="1" s="62">
      <c r="B227" t="inlineStr">
        <is>
          <t>Moneda Francia 25 Centimes 1927</t>
        </is>
      </c>
      <c r="C227" s="0">
        <f>LEN(INDIRECT(ADDRESS(ROW() + (0),COLUMN() + (-1))))</f>
        <v/>
      </c>
      <c r="D227" s="0" t="inlineStr">
        <is>
          <t>Usado</t>
        </is>
      </c>
      <c r="E227" s="38" t="inlineStr">
        <is>
          <t>https://numismaticapopper.com/images/567A.jpeg,https://numismaticapopper.com/images/567B.jpeg</t>
        </is>
      </c>
      <c r="F227" t="inlineStr">
        <is>
          <t>567</t>
        </is>
      </c>
      <c r="G227" s="40" t="n">
        <v>1</v>
      </c>
      <c r="H227" t="n">
        <v>10000</v>
      </c>
      <c r="I227" t="inlineStr">
        <is>
          <t>Referencia de catalogo: KM# 867a
Material: Cuproníquel
Tirada: 13.000.000</t>
        </is>
      </c>
      <c r="J227" s="31">
        <f>IF(INDIRECT(ADDRESS(ROW() + (0),COLUMN() + (1)))="Agregar cuotas", IF(("16%")="", "-", "16%"), IF(INDIRECT(ADDRESS(ROW() + (0),COLUMN() + (1)))="No agregar cuotas", IF(("16%")="", "-", "16%"), "-"))</f>
        <v/>
      </c>
      <c r="K227" s="0" t="inlineStr">
        <is>
          <t>No agregar cuotas</t>
        </is>
      </c>
      <c r="L227" s="31">
        <f>IF(INDIRECT(ADDRESS(ROW() + (0),COLUMN() + (-1)))="Agregar cuotas", IF(("13.4%")="", "Sin costo", "13.4%"), IF(INDIRECT(ADDRESS(ROW() + (0),COLUMN() + (-1)))="No agregar cuotas", IF(("")="", "Sin costo", ""), "-"))</f>
        <v/>
      </c>
      <c r="M227" s="0" t="inlineStr">
        <is>
          <t>Mercado Envíos</t>
        </is>
      </c>
      <c r="N227" s="0" t="inlineStr">
        <is>
          <t>A cargo del comprador</t>
        </is>
      </c>
      <c r="O227" s="0" t="inlineStr">
        <is>
          <t>Acepto</t>
        </is>
      </c>
      <c r="P227" s="47" t="inlineStr">
        <is>
          <t>Sin garantía</t>
        </is>
      </c>
      <c r="R227" s="0" t="inlineStr">
        <is>
          <t>Seleccionar</t>
        </is>
      </c>
      <c r="S227" s="0" t="inlineStr">
        <is>
          <t>No ofrezco</t>
        </is>
      </c>
      <c r="T227" t="n">
        <v>1927</v>
      </c>
      <c r="U227" s="0" t="inlineStr">
        <is>
          <t>Francia</t>
        </is>
      </c>
      <c r="X227" s="0" t="inlineStr">
        <is>
          <t>Níquel</t>
        </is>
      </c>
      <c r="Z227" t="inlineStr">
        <is>
          <t>25 Centimes</t>
        </is>
      </c>
      <c r="AA227" s="0" t="inlineStr">
        <is>
          <t>Euro</t>
        </is>
      </c>
      <c r="AB2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7" s="53">
        <f>IF(OR(TRIM(INDIRECT("B"&amp;ROW())) &lt;&gt; "",TRIM(INDIRECT("A"&amp;ROW())) &lt;&gt; ""),AND(TRIM(INDIRECT("A"&amp;ROW())) &lt;&gt; "",TRIM(INDIRECT("D"&amp;ROW())) = "nuevo"),"")</f>
        <v/>
      </c>
    </row>
    <row r="228" ht="27.5" customHeight="1" s="62">
      <c r="B228" t="inlineStr">
        <is>
          <t>Moneda Francia 10 Francos 1948</t>
        </is>
      </c>
      <c r="C228" s="0">
        <f>LEN(INDIRECT(ADDRESS(ROW() + (0),COLUMN() + (-1))))</f>
        <v/>
      </c>
      <c r="D228" s="0" t="inlineStr">
        <is>
          <t>Usado</t>
        </is>
      </c>
      <c r="E228" s="38" t="inlineStr">
        <is>
          <t>https://numismaticapopper.com/images/568A.jpeg,https://numismaticapopper.com/images/568B.jpeg</t>
        </is>
      </c>
      <c r="F228" t="inlineStr">
        <is>
          <t>568</t>
        </is>
      </c>
      <c r="G228" s="40" t="n">
        <v>1</v>
      </c>
      <c r="H228" t="n">
        <v>10000</v>
      </c>
      <c r="I228" t="inlineStr">
        <is>
          <t>Estado de conservacion: Excelente +
Referencia de catalogo: K. 1909
Material: Cuproníquel
cabeza chica</t>
        </is>
      </c>
      <c r="J228" s="31">
        <f>IF(INDIRECT(ADDRESS(ROW() + (0),COLUMN() + (1)))="Agregar cuotas", IF(("16%")="", "-", "16%"), IF(INDIRECT(ADDRESS(ROW() + (0),COLUMN() + (1)))="No agregar cuotas", IF(("16%")="", "-", "16%"), "-"))</f>
        <v/>
      </c>
      <c r="K228" s="0" t="inlineStr">
        <is>
          <t>No agregar cuotas</t>
        </is>
      </c>
      <c r="L228" s="31">
        <f>IF(INDIRECT(ADDRESS(ROW() + (0),COLUMN() + (-1)))="Agregar cuotas", IF(("13.4%")="", "Sin costo", "13.4%"), IF(INDIRECT(ADDRESS(ROW() + (0),COLUMN() + (-1)))="No agregar cuotas", IF(("")="", "Sin costo", ""), "-"))</f>
        <v/>
      </c>
      <c r="M228" s="0" t="inlineStr">
        <is>
          <t>Mercado Envíos</t>
        </is>
      </c>
      <c r="N228" s="0" t="inlineStr">
        <is>
          <t>A cargo del comprador</t>
        </is>
      </c>
      <c r="O228" s="0" t="inlineStr">
        <is>
          <t>Acepto</t>
        </is>
      </c>
      <c r="P228" s="47" t="inlineStr">
        <is>
          <t>Sin garantía</t>
        </is>
      </c>
      <c r="R228" s="0" t="inlineStr">
        <is>
          <t>Seleccionar</t>
        </is>
      </c>
      <c r="S228" s="0" t="inlineStr">
        <is>
          <t>No ofrezco</t>
        </is>
      </c>
      <c r="T228" t="n">
        <v>1948</v>
      </c>
      <c r="U228" s="0" t="inlineStr">
        <is>
          <t>Francia</t>
        </is>
      </c>
      <c r="X228" s="0" t="inlineStr">
        <is>
          <t>Níquel</t>
        </is>
      </c>
      <c r="Z228" t="inlineStr">
        <is>
          <t>10 Francos</t>
        </is>
      </c>
      <c r="AA228" s="0" t="inlineStr">
        <is>
          <t>Euro</t>
        </is>
      </c>
      <c r="AB2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8" s="53">
        <f>IF(OR(TRIM(INDIRECT("B"&amp;ROW())) &lt;&gt; "",TRIM(INDIRECT("A"&amp;ROW())) &lt;&gt; ""),AND(TRIM(INDIRECT("A"&amp;ROW())) &lt;&gt; "",TRIM(INDIRECT("D"&amp;ROW())) = "nuevo"),"")</f>
        <v/>
      </c>
    </row>
    <row r="229" ht="27.5" customHeight="1" s="62">
      <c r="B229" t="inlineStr">
        <is>
          <t>Moneda España 25 Céntimos 1927</t>
        </is>
      </c>
      <c r="C229" s="0">
        <f>LEN(INDIRECT(ADDRESS(ROW() + (0),COLUMN() + (-1))))</f>
        <v/>
      </c>
      <c r="D229" s="0" t="inlineStr">
        <is>
          <t>Usado</t>
        </is>
      </c>
      <c r="E229" s="38" t="inlineStr">
        <is>
          <t>https://numismaticapopper.com/images/569A.jpeg,https://numismaticapopper.com/images/569B.jpeg</t>
        </is>
      </c>
      <c r="F229" t="inlineStr">
        <is>
          <t>569</t>
        </is>
      </c>
      <c r="G229" s="40" t="n">
        <v>1</v>
      </c>
      <c r="H229" t="n">
        <v>11000</v>
      </c>
      <c r="I229" t="inlineStr">
        <is>
          <t>Referencia de catalogo: KM# 742
Material: Cuproníquel
Tirada: 12.000.000</t>
        </is>
      </c>
      <c r="J229" s="31">
        <f>IF(INDIRECT(ADDRESS(ROW() + (0),COLUMN() + (1)))="Agregar cuotas", IF(("16%")="", "-", "16%"), IF(INDIRECT(ADDRESS(ROW() + (0),COLUMN() + (1)))="No agregar cuotas", IF(("16%")="", "-", "16%"), "-"))</f>
        <v/>
      </c>
      <c r="K229" s="0" t="inlineStr">
        <is>
          <t>No agregar cuotas</t>
        </is>
      </c>
      <c r="L229" s="31">
        <f>IF(INDIRECT(ADDRESS(ROW() + (0),COLUMN() + (-1)))="Agregar cuotas", IF(("13.4%")="", "Sin costo", "13.4%"), IF(INDIRECT(ADDRESS(ROW() + (0),COLUMN() + (-1)))="No agregar cuotas", IF(("")="", "Sin costo", ""), "-"))</f>
        <v/>
      </c>
      <c r="M229" s="0" t="inlineStr">
        <is>
          <t>Mercado Envíos</t>
        </is>
      </c>
      <c r="N229" s="0" t="inlineStr">
        <is>
          <t>A cargo del comprador</t>
        </is>
      </c>
      <c r="O229" s="0" t="inlineStr">
        <is>
          <t>Acepto</t>
        </is>
      </c>
      <c r="P229" s="47" t="inlineStr">
        <is>
          <t>Sin garantía</t>
        </is>
      </c>
      <c r="R229" s="0" t="inlineStr">
        <is>
          <t>Seleccionar</t>
        </is>
      </c>
      <c r="S229" s="0" t="inlineStr">
        <is>
          <t>No ofrezco</t>
        </is>
      </c>
      <c r="T229" t="n">
        <v>1927</v>
      </c>
      <c r="U229" s="0" t="inlineStr">
        <is>
          <t>España</t>
        </is>
      </c>
      <c r="X229" s="0" t="inlineStr">
        <is>
          <t>Níquel</t>
        </is>
      </c>
      <c r="Z229" t="inlineStr">
        <is>
          <t>25 Céntimos</t>
        </is>
      </c>
      <c r="AA229" s="0" t="inlineStr">
        <is>
          <t>Euro</t>
        </is>
      </c>
      <c r="AB2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29" s="53">
        <f>IF(OR(TRIM(INDIRECT("B"&amp;ROW())) &lt;&gt; "",TRIM(INDIRECT("A"&amp;ROW())) &lt;&gt; ""),AND(TRIM(INDIRECT("A"&amp;ROW())) &lt;&gt; "",TRIM(INDIRECT("D"&amp;ROW())) = "nuevo"),"")</f>
        <v/>
      </c>
    </row>
    <row r="230" ht="27.5" customHeight="1" s="62">
      <c r="B230" t="inlineStr">
        <is>
          <t>Moneda Argentina 2 Centavos 1883</t>
        </is>
      </c>
      <c r="C230" s="0">
        <f>LEN(INDIRECT(ADDRESS(ROW() + (0),COLUMN() + (-1))))</f>
        <v/>
      </c>
      <c r="D230" s="0" t="inlineStr">
        <is>
          <t>Usado</t>
        </is>
      </c>
      <c r="E230" s="38" t="inlineStr">
        <is>
          <t>https://numismaticapopper.com/images/570A.jpeg,https://numismaticapopper.com/images/570B.jpeg</t>
        </is>
      </c>
      <c r="F230" t="inlineStr">
        <is>
          <t>570</t>
        </is>
      </c>
      <c r="G230" s="40" t="n">
        <v>1</v>
      </c>
      <c r="H230" t="n">
        <v>31000</v>
      </c>
      <c r="I230" t="inlineStr">
        <is>
          <t>Estado de conservacion: Excelente
Referencia de catalogo: CJ# 25
Material: Bronce
Tirada: 1.300.000</t>
        </is>
      </c>
      <c r="J230" s="31">
        <f>IF(INDIRECT(ADDRESS(ROW() + (0),COLUMN() + (1)))="Agregar cuotas", IF(("16%")="", "-", "16%"), IF(INDIRECT(ADDRESS(ROW() + (0),COLUMN() + (1)))="No agregar cuotas", IF(("16%")="", "-", "16%"), "-"))</f>
        <v/>
      </c>
      <c r="K230" s="0" t="inlineStr">
        <is>
          <t>No agregar cuotas</t>
        </is>
      </c>
      <c r="L230" s="31">
        <f>IF(INDIRECT(ADDRESS(ROW() + (0),COLUMN() + (-1)))="Agregar cuotas", IF(("13.4%")="", "Sin costo", "13.4%"), IF(INDIRECT(ADDRESS(ROW() + (0),COLUMN() + (-1)))="No agregar cuotas", IF(("")="", "Sin costo", ""), "-"))</f>
        <v/>
      </c>
      <c r="M230" s="0" t="inlineStr">
        <is>
          <t>Mercado Envíos</t>
        </is>
      </c>
      <c r="N230" s="0" t="inlineStr">
        <is>
          <t>A cargo del comprador</t>
        </is>
      </c>
      <c r="O230" s="0" t="inlineStr">
        <is>
          <t>Acepto</t>
        </is>
      </c>
      <c r="P230" s="47" t="inlineStr">
        <is>
          <t>Sin garantía</t>
        </is>
      </c>
      <c r="R230" s="0" t="inlineStr">
        <is>
          <t>Seleccionar</t>
        </is>
      </c>
      <c r="S230" s="0" t="inlineStr">
        <is>
          <t>No ofrezco</t>
        </is>
      </c>
      <c r="T230" t="n">
        <v>1883</v>
      </c>
      <c r="U230" s="0" t="inlineStr">
        <is>
          <t>Argentina</t>
        </is>
      </c>
      <c r="X230" s="0" t="inlineStr">
        <is>
          <t>Bronce</t>
        </is>
      </c>
      <c r="Z230" t="inlineStr">
        <is>
          <t>2 Centavos</t>
        </is>
      </c>
      <c r="AA230" s="0" t="inlineStr">
        <is>
          <t>Peso</t>
        </is>
      </c>
      <c r="AB2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0" s="53">
        <f>IF(OR(TRIM(INDIRECT("B"&amp;ROW())) &lt;&gt; "",TRIM(INDIRECT("A"&amp;ROW())) &lt;&gt; ""),AND(TRIM(INDIRECT("A"&amp;ROW())) &lt;&gt; "",TRIM(INDIRECT("D"&amp;ROW())) = "nuevo"),"")</f>
        <v/>
      </c>
    </row>
    <row r="231" ht="27.5" customHeight="1" s="62">
      <c r="B231" t="inlineStr">
        <is>
          <t>Moneda Bolivia 50 Centavos 1902</t>
        </is>
      </c>
      <c r="C231" s="0">
        <f>LEN(INDIRECT(ADDRESS(ROW() + (0),COLUMN() + (-1))))</f>
        <v/>
      </c>
      <c r="D231" s="0" t="inlineStr">
        <is>
          <t>Usado</t>
        </is>
      </c>
      <c r="E231" s="38" t="inlineStr">
        <is>
          <t>https://numismaticapopper.com/images/572A.jpeg,https://numismaticapopper.com/images/572B.jpeg</t>
        </is>
      </c>
      <c r="F231" t="inlineStr">
        <is>
          <t>572</t>
        </is>
      </c>
      <c r="G231" s="40" t="n">
        <v>1</v>
      </c>
      <c r="H231" t="n">
        <v>52000</v>
      </c>
      <c r="I231" t="inlineStr">
        <is>
          <t>Estado de conservacion: Muy Buena +
Referencia de catalogo: KM# 175.1
Material: Plata .900
Tirada: 1.530.000</t>
        </is>
      </c>
      <c r="J231" s="31">
        <f>IF(INDIRECT(ADDRESS(ROW() + (0),COLUMN() + (1)))="Agregar cuotas", IF(("16%")="", "-", "16%"), IF(INDIRECT(ADDRESS(ROW() + (0),COLUMN() + (1)))="No agregar cuotas", IF(("16%")="", "-", "16%"), "-"))</f>
        <v/>
      </c>
      <c r="K231" s="0" t="inlineStr">
        <is>
          <t>No agregar cuotas</t>
        </is>
      </c>
      <c r="L231" s="31">
        <f>IF(INDIRECT(ADDRESS(ROW() + (0),COLUMN() + (-1)))="Agregar cuotas", IF(("13.4%")="", "Sin costo", "13.4%"), IF(INDIRECT(ADDRESS(ROW() + (0),COLUMN() + (-1)))="No agregar cuotas", IF(("")="", "Sin costo", ""), "-"))</f>
        <v/>
      </c>
      <c r="M231" s="0" t="inlineStr">
        <is>
          <t>Mercado Envíos</t>
        </is>
      </c>
      <c r="N231" s="0" t="inlineStr">
        <is>
          <t>A cargo del comprador</t>
        </is>
      </c>
      <c r="O231" s="0" t="inlineStr">
        <is>
          <t>Acepto</t>
        </is>
      </c>
      <c r="P231" s="47" t="inlineStr">
        <is>
          <t>Sin garantía</t>
        </is>
      </c>
      <c r="R231" s="0" t="inlineStr">
        <is>
          <t>Seleccionar</t>
        </is>
      </c>
      <c r="S231" s="0" t="inlineStr">
        <is>
          <t>No ofrezco</t>
        </is>
      </c>
      <c r="T231" t="n">
        <v>1902</v>
      </c>
      <c r="U231" s="0" t="inlineStr">
        <is>
          <t>Bolivia</t>
        </is>
      </c>
      <c r="X231" s="0" t="inlineStr">
        <is>
          <t>Plata</t>
        </is>
      </c>
      <c r="Z231" t="inlineStr">
        <is>
          <t>50 Centavos</t>
        </is>
      </c>
      <c r="AA231" s="0" t="inlineStr">
        <is>
          <t>Peso</t>
        </is>
      </c>
      <c r="AB2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1" s="53">
        <f>IF(OR(TRIM(INDIRECT("B"&amp;ROW())) &lt;&gt; "",TRIM(INDIRECT("A"&amp;ROW())) &lt;&gt; ""),AND(TRIM(INDIRECT("A"&amp;ROW())) &lt;&gt; "",TRIM(INDIRECT("D"&amp;ROW())) = "nuevo"),"")</f>
        <v/>
      </c>
    </row>
    <row r="232" ht="27.5" customHeight="1" s="62">
      <c r="B232" t="inlineStr">
        <is>
          <t>Moneda Bolivia 50 Centavos 1902</t>
        </is>
      </c>
      <c r="C232" s="0">
        <f>LEN(INDIRECT(ADDRESS(ROW() + (0),COLUMN() + (-1))))</f>
        <v/>
      </c>
      <c r="D232" s="0" t="inlineStr">
        <is>
          <t>Usado</t>
        </is>
      </c>
      <c r="E232" s="38" t="inlineStr">
        <is>
          <t>https://numismaticapopper.com/images/573A.jpeg,https://numismaticapopper.com/images/573B.jpeg</t>
        </is>
      </c>
      <c r="F232" t="inlineStr">
        <is>
          <t>573</t>
        </is>
      </c>
      <c r="G232" s="40" t="n">
        <v>1</v>
      </c>
      <c r="H232" t="n">
        <v>46000</v>
      </c>
      <c r="I232" t="inlineStr">
        <is>
          <t>Estado de conservacion: Muy Buena
Referencia de catalogo: KM# 175.1
Material: Plata .900
Tirada: 1.530.000</t>
        </is>
      </c>
      <c r="J232" s="31">
        <f>IF(INDIRECT(ADDRESS(ROW() + (0),COLUMN() + (1)))="Agregar cuotas", IF(("16%")="", "-", "16%"), IF(INDIRECT(ADDRESS(ROW() + (0),COLUMN() + (1)))="No agregar cuotas", IF(("16%")="", "-", "16%"), "-"))</f>
        <v/>
      </c>
      <c r="K232" s="0" t="inlineStr">
        <is>
          <t>No agregar cuotas</t>
        </is>
      </c>
      <c r="L232" s="31">
        <f>IF(INDIRECT(ADDRESS(ROW() + (0),COLUMN() + (-1)))="Agregar cuotas", IF(("13.4%")="", "Sin costo", "13.4%"), IF(INDIRECT(ADDRESS(ROW() + (0),COLUMN() + (-1)))="No agregar cuotas", IF(("")="", "Sin costo", ""), "-"))</f>
        <v/>
      </c>
      <c r="M232" s="0" t="inlineStr">
        <is>
          <t>Mercado Envíos</t>
        </is>
      </c>
      <c r="N232" s="0" t="inlineStr">
        <is>
          <t>A cargo del comprador</t>
        </is>
      </c>
      <c r="O232" s="0" t="inlineStr">
        <is>
          <t>Acepto</t>
        </is>
      </c>
      <c r="P232" s="47" t="inlineStr">
        <is>
          <t>Sin garantía</t>
        </is>
      </c>
      <c r="R232" s="0" t="inlineStr">
        <is>
          <t>Seleccionar</t>
        </is>
      </c>
      <c r="S232" s="0" t="inlineStr">
        <is>
          <t>No ofrezco</t>
        </is>
      </c>
      <c r="T232" t="n">
        <v>1902</v>
      </c>
      <c r="U232" s="0" t="inlineStr">
        <is>
          <t>Bolivia</t>
        </is>
      </c>
      <c r="X232" s="0" t="inlineStr">
        <is>
          <t>Plata</t>
        </is>
      </c>
      <c r="Z232" t="inlineStr">
        <is>
          <t>50 Centavos</t>
        </is>
      </c>
      <c r="AA232" s="0" t="inlineStr">
        <is>
          <t>Peso</t>
        </is>
      </c>
      <c r="AB2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2" s="53">
        <f>IF(OR(TRIM(INDIRECT("B"&amp;ROW())) &lt;&gt; "",TRIM(INDIRECT("A"&amp;ROW())) &lt;&gt; ""),AND(TRIM(INDIRECT("A"&amp;ROW())) &lt;&gt; "",TRIM(INDIRECT("D"&amp;ROW())) = "nuevo"),"")</f>
        <v/>
      </c>
    </row>
    <row r="233" ht="27.5" customHeight="1" s="62">
      <c r="B233" t="inlineStr">
        <is>
          <t>Moneda Israel 100 Pruta 1955</t>
        </is>
      </c>
      <c r="C233" s="0">
        <f>LEN(INDIRECT(ADDRESS(ROW() + (0),COLUMN() + (-1))))</f>
        <v/>
      </c>
      <c r="D233" s="0" t="inlineStr">
        <is>
          <t>Usado</t>
        </is>
      </c>
      <c r="E233" s="38" t="inlineStr">
        <is>
          <t>https://numismaticapopper.com/images/576A.jpeg,https://numismaticapopper.com/images/576B.jpeg</t>
        </is>
      </c>
      <c r="F233" t="inlineStr">
        <is>
          <t>576</t>
        </is>
      </c>
      <c r="G233" s="40" t="n">
        <v>1</v>
      </c>
      <c r="H233" t="n">
        <v>11000</v>
      </c>
      <c r="I233" t="inlineStr">
        <is>
          <t>Estado de conservacion: Excelente
Referencia de catalogo: KM# 14
Material: Cuproníquel
Tirada: 5.867.000</t>
        </is>
      </c>
      <c r="J233" s="31">
        <f>IF(INDIRECT(ADDRESS(ROW() + (0),COLUMN() + (1)))="Agregar cuotas", IF(("16%")="", "-", "16%"), IF(INDIRECT(ADDRESS(ROW() + (0),COLUMN() + (1)))="No agregar cuotas", IF(("16%")="", "-", "16%"), "-"))</f>
        <v/>
      </c>
      <c r="K233" s="0" t="inlineStr">
        <is>
          <t>No agregar cuotas</t>
        </is>
      </c>
      <c r="L233" s="31">
        <f>IF(INDIRECT(ADDRESS(ROW() + (0),COLUMN() + (-1)))="Agregar cuotas", IF(("13.4%")="", "Sin costo", "13.4%"), IF(INDIRECT(ADDRESS(ROW() + (0),COLUMN() + (-1)))="No agregar cuotas", IF(("")="", "Sin costo", ""), "-"))</f>
        <v/>
      </c>
      <c r="M233" s="0" t="inlineStr">
        <is>
          <t>Mercado Envíos</t>
        </is>
      </c>
      <c r="N233" s="0" t="inlineStr">
        <is>
          <t>A cargo del comprador</t>
        </is>
      </c>
      <c r="O233" s="0" t="inlineStr">
        <is>
          <t>Acepto</t>
        </is>
      </c>
      <c r="P233" s="47" t="inlineStr">
        <is>
          <t>Sin garantía</t>
        </is>
      </c>
      <c r="R233" s="0" t="inlineStr">
        <is>
          <t>Seleccionar</t>
        </is>
      </c>
      <c r="S233" s="0" t="inlineStr">
        <is>
          <t>No ofrezco</t>
        </is>
      </c>
      <c r="T233" t="n">
        <v>1955</v>
      </c>
      <c r="U233" s="0" t="inlineStr">
        <is>
          <t>Israel</t>
        </is>
      </c>
      <c r="X233" s="0" t="inlineStr">
        <is>
          <t>Níquel</t>
        </is>
      </c>
      <c r="Z233" t="inlineStr">
        <is>
          <t>100 Pruta</t>
        </is>
      </c>
      <c r="AA233" s="0" t="inlineStr">
        <is>
          <t>Sheqel</t>
        </is>
      </c>
      <c r="AB2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3" s="53">
        <f>IF(OR(TRIM(INDIRECT("B"&amp;ROW())) &lt;&gt; "",TRIM(INDIRECT("A"&amp;ROW())) &lt;&gt; ""),AND(TRIM(INDIRECT("A"&amp;ROW())) &lt;&gt; "",TRIM(INDIRECT("D"&amp;ROW())) = "nuevo"),"")</f>
        <v/>
      </c>
    </row>
    <row r="234" ht="27.5" customHeight="1" s="62">
      <c r="B234" t="inlineStr">
        <is>
          <t>Moneda Bélgica 5 Centimes 1923</t>
        </is>
      </c>
      <c r="C234" s="0">
        <f>LEN(INDIRECT(ADDRESS(ROW() + (0),COLUMN() + (-1))))</f>
        <v/>
      </c>
      <c r="D234" s="0" t="inlineStr">
        <is>
          <t>Usado</t>
        </is>
      </c>
      <c r="E234" s="38" t="inlineStr">
        <is>
          <t>https://numismaticapopper.com/images/578A.jpeg,https://numismaticapopper.com/images/578B.jpeg</t>
        </is>
      </c>
      <c r="F234" t="inlineStr">
        <is>
          <t>578</t>
        </is>
      </c>
      <c r="G234" s="40" t="n">
        <v>1</v>
      </c>
      <c r="H234" t="n">
        <v>10000</v>
      </c>
      <c r="I234" t="inlineStr">
        <is>
          <t>Estado de conservacion: Excelente
Referencia de catalogo: KM# 66
Material: Cuproníquel
Variante belgique</t>
        </is>
      </c>
      <c r="J234" s="31">
        <f>IF(INDIRECT(ADDRESS(ROW() + (0),COLUMN() + (1)))="Agregar cuotas", IF(("16%")="", "-", "16%"), IF(INDIRECT(ADDRESS(ROW() + (0),COLUMN() + (1)))="No agregar cuotas", IF(("16%")="", "-", "16%"), "-"))</f>
        <v/>
      </c>
      <c r="K234" s="0" t="inlineStr">
        <is>
          <t>No agregar cuotas</t>
        </is>
      </c>
      <c r="L234" s="31">
        <f>IF(INDIRECT(ADDRESS(ROW() + (0),COLUMN() + (-1)))="Agregar cuotas", IF(("13.4%")="", "Sin costo", "13.4%"), IF(INDIRECT(ADDRESS(ROW() + (0),COLUMN() + (-1)))="No agregar cuotas", IF(("")="", "Sin costo", ""), "-"))</f>
        <v/>
      </c>
      <c r="M234" s="0" t="inlineStr">
        <is>
          <t>Mercado Envíos</t>
        </is>
      </c>
      <c r="N234" s="0" t="inlineStr">
        <is>
          <t>A cargo del comprador</t>
        </is>
      </c>
      <c r="O234" s="0" t="inlineStr">
        <is>
          <t>Acepto</t>
        </is>
      </c>
      <c r="P234" s="47" t="inlineStr">
        <is>
          <t>Sin garantía</t>
        </is>
      </c>
      <c r="R234" s="0" t="inlineStr">
        <is>
          <t>Seleccionar</t>
        </is>
      </c>
      <c r="S234" s="0" t="inlineStr">
        <is>
          <t>No ofrezco</t>
        </is>
      </c>
      <c r="T234" t="n">
        <v>1923</v>
      </c>
      <c r="U234" s="0" t="inlineStr">
        <is>
          <t>Bélgica</t>
        </is>
      </c>
      <c r="X234" s="0" t="inlineStr">
        <is>
          <t>Níquel</t>
        </is>
      </c>
      <c r="Z234" t="inlineStr">
        <is>
          <t>5 Centimes</t>
        </is>
      </c>
      <c r="AA234" s="0" t="inlineStr">
        <is>
          <t>Euro</t>
        </is>
      </c>
      <c r="AB2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4" s="53">
        <f>IF(OR(TRIM(INDIRECT("B"&amp;ROW())) &lt;&gt; "",TRIM(INDIRECT("A"&amp;ROW())) &lt;&gt; ""),AND(TRIM(INDIRECT("A"&amp;ROW())) &lt;&gt; "",TRIM(INDIRECT("D"&amp;ROW())) = "nuevo"),"")</f>
        <v/>
      </c>
    </row>
    <row r="235" ht="27.5" customHeight="1" s="62">
      <c r="B235" t="inlineStr">
        <is>
          <t>Moneda Antillas Holandesas 2 1/2 Cent 1984</t>
        </is>
      </c>
      <c r="C235" s="0">
        <f>LEN(INDIRECT(ADDRESS(ROW() + (0),COLUMN() + (-1))))</f>
        <v/>
      </c>
      <c r="D235" s="0" t="inlineStr">
        <is>
          <t>Usado</t>
        </is>
      </c>
      <c r="E235" s="38" t="inlineStr">
        <is>
          <t>https://numismaticapopper.com/images/579A.jpeg,https://numismaticapopper.com/images/579B.jpeg</t>
        </is>
      </c>
      <c r="F235" t="inlineStr">
        <is>
          <t>579</t>
        </is>
      </c>
      <c r="G235" s="40" t="n">
        <v>1</v>
      </c>
      <c r="H235" t="n">
        <v>9000</v>
      </c>
      <c r="I235" t="inlineStr">
        <is>
          <t>Estado de conservacion: Sin Circular
Referencia de catalogo: KM# 13
Material: Aluminio</t>
        </is>
      </c>
      <c r="J235" s="31">
        <f>IF(INDIRECT(ADDRESS(ROW() + (0),COLUMN() + (1)))="Agregar cuotas", IF(("16%")="", "-", "16%"), IF(INDIRECT(ADDRESS(ROW() + (0),COLUMN() + (1)))="No agregar cuotas", IF(("16%")="", "-", "16%"), "-"))</f>
        <v/>
      </c>
      <c r="K235" s="0" t="inlineStr">
        <is>
          <t>No agregar cuotas</t>
        </is>
      </c>
      <c r="L235" s="31">
        <f>IF(INDIRECT(ADDRESS(ROW() + (0),COLUMN() + (-1)))="Agregar cuotas", IF(("13.4%")="", "Sin costo", "13.4%"), IF(INDIRECT(ADDRESS(ROW() + (0),COLUMN() + (-1)))="No agregar cuotas", IF(("")="", "Sin costo", ""), "-"))</f>
        <v/>
      </c>
      <c r="M235" s="0" t="inlineStr">
        <is>
          <t>Mercado Envíos</t>
        </is>
      </c>
      <c r="N235" s="0" t="inlineStr">
        <is>
          <t>A cargo del comprador</t>
        </is>
      </c>
      <c r="O235" s="0" t="inlineStr">
        <is>
          <t>Acepto</t>
        </is>
      </c>
      <c r="P235" s="47" t="inlineStr">
        <is>
          <t>Sin garantía</t>
        </is>
      </c>
      <c r="R235" s="0" t="inlineStr">
        <is>
          <t>Seleccionar</t>
        </is>
      </c>
      <c r="S235" s="0" t="inlineStr">
        <is>
          <t>No ofrezco</t>
        </is>
      </c>
      <c r="T235" t="n">
        <v>1984</v>
      </c>
      <c r="U235" s="0" t="inlineStr">
        <is>
          <t>Holanda</t>
        </is>
      </c>
      <c r="X235" s="0" t="inlineStr">
        <is>
          <t>Níquel</t>
        </is>
      </c>
      <c r="Z235" t="inlineStr">
        <is>
          <t>2 1/2 Cent</t>
        </is>
      </c>
      <c r="AA235" s="0" t="inlineStr">
        <is>
          <t>Dólar</t>
        </is>
      </c>
      <c r="AB2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5" s="53">
        <f>IF(OR(TRIM(INDIRECT("B"&amp;ROW())) &lt;&gt; "",TRIM(INDIRECT("A"&amp;ROW())) &lt;&gt; ""),AND(TRIM(INDIRECT("A"&amp;ROW())) &lt;&gt; "",TRIM(INDIRECT("D"&amp;ROW())) = "nuevo"),"")</f>
        <v/>
      </c>
    </row>
    <row r="236" ht="27.5" customHeight="1" s="62">
      <c r="B236" t="inlineStr">
        <is>
          <t>Moneda Alemania 5 Pfennig 1906</t>
        </is>
      </c>
      <c r="C236" s="0">
        <f>LEN(INDIRECT(ADDRESS(ROW() + (0),COLUMN() + (-1))))</f>
        <v/>
      </c>
      <c r="D236" s="0" t="inlineStr">
        <is>
          <t>Usado</t>
        </is>
      </c>
      <c r="E236" s="38" t="inlineStr">
        <is>
          <t>https://numismaticapopper.com/images/581A.jpeg,https://numismaticapopper.com/images/581B.jpeg</t>
        </is>
      </c>
      <c r="F236" t="inlineStr">
        <is>
          <t>581</t>
        </is>
      </c>
      <c r="G236" s="40" t="n">
        <v>1</v>
      </c>
      <c r="H236" t="n">
        <v>10000</v>
      </c>
      <c r="I236" t="inlineStr">
        <is>
          <t>Estado de conservacion: Excelente **
Referencia de catalogo: KM# 11
Material: Cuproníquel</t>
        </is>
      </c>
      <c r="J236" s="31">
        <f>IF(INDIRECT(ADDRESS(ROW() + (0),COLUMN() + (1)))="Agregar cuotas", IF(("16%")="", "-", "16%"), IF(INDIRECT(ADDRESS(ROW() + (0),COLUMN() + (1)))="No agregar cuotas", IF(("16%")="", "-", "16%"), "-"))</f>
        <v/>
      </c>
      <c r="K236" s="0" t="inlineStr">
        <is>
          <t>No agregar cuotas</t>
        </is>
      </c>
      <c r="L236" s="31">
        <f>IF(INDIRECT(ADDRESS(ROW() + (0),COLUMN() + (-1)))="Agregar cuotas", IF(("13.4%")="", "Sin costo", "13.4%"), IF(INDIRECT(ADDRESS(ROW() + (0),COLUMN() + (-1)))="No agregar cuotas", IF(("")="", "Sin costo", ""), "-"))</f>
        <v/>
      </c>
      <c r="M236" s="0" t="inlineStr">
        <is>
          <t>Mercado Envíos</t>
        </is>
      </c>
      <c r="N236" s="0" t="inlineStr">
        <is>
          <t>A cargo del comprador</t>
        </is>
      </c>
      <c r="O236" s="0" t="inlineStr">
        <is>
          <t>Acepto</t>
        </is>
      </c>
      <c r="P236" s="47" t="inlineStr">
        <is>
          <t>Sin garantía</t>
        </is>
      </c>
      <c r="R236" s="0" t="inlineStr">
        <is>
          <t>Seleccionar</t>
        </is>
      </c>
      <c r="S236" s="0" t="inlineStr">
        <is>
          <t>No ofrezco</t>
        </is>
      </c>
      <c r="T236" t="n">
        <v>1906</v>
      </c>
      <c r="U236" s="0" t="inlineStr">
        <is>
          <t>Alemania</t>
        </is>
      </c>
      <c r="X236" s="0" t="inlineStr">
        <is>
          <t>Níquel</t>
        </is>
      </c>
      <c r="Z236" t="inlineStr">
        <is>
          <t>5 Pfennig</t>
        </is>
      </c>
      <c r="AA236" s="0" t="inlineStr">
        <is>
          <t>Euro</t>
        </is>
      </c>
      <c r="AB2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6" s="53">
        <f>IF(OR(TRIM(INDIRECT("B"&amp;ROW())) &lt;&gt; "",TRIM(INDIRECT("A"&amp;ROW())) &lt;&gt; ""),AND(TRIM(INDIRECT("A"&amp;ROW())) &lt;&gt; "",TRIM(INDIRECT("D"&amp;ROW())) = "nuevo"),"")</f>
        <v/>
      </c>
    </row>
    <row r="237" ht="27.5" customHeight="1" s="62">
      <c r="B237" t="inlineStr">
        <is>
          <t>Moneda Egipto 10 Milliemes 1935</t>
        </is>
      </c>
      <c r="C237" s="0">
        <f>LEN(INDIRECT(ADDRESS(ROW() + (0),COLUMN() + (-1))))</f>
        <v/>
      </c>
      <c r="D237" s="0" t="inlineStr">
        <is>
          <t>Usado</t>
        </is>
      </c>
      <c r="E237" s="38" t="inlineStr">
        <is>
          <t>https://numismaticapopper.com/images/585A.jpeg,https://numismaticapopper.com/images/585B.jpeg</t>
        </is>
      </c>
      <c r="F237" t="inlineStr">
        <is>
          <t>585</t>
        </is>
      </c>
      <c r="G237" s="40" t="n">
        <v>1</v>
      </c>
      <c r="H237" t="n">
        <v>12000</v>
      </c>
      <c r="I237" t="inlineStr">
        <is>
          <t>Estado de conservacion: Buena +
Referencia de catalogo: KM# 347
Material: Cuproníquel
Tirada: 4.000.000</t>
        </is>
      </c>
      <c r="J237" s="31">
        <f>IF(INDIRECT(ADDRESS(ROW() + (0),COLUMN() + (1)))="Agregar cuotas", IF(("16%")="", "-", "16%"), IF(INDIRECT(ADDRESS(ROW() + (0),COLUMN() + (1)))="No agregar cuotas", IF(("16%")="", "-", "16%"), "-"))</f>
        <v/>
      </c>
      <c r="K237" s="0" t="inlineStr">
        <is>
          <t>No agregar cuotas</t>
        </is>
      </c>
      <c r="L237" s="31">
        <f>IF(INDIRECT(ADDRESS(ROW() + (0),COLUMN() + (-1)))="Agregar cuotas", IF(("13.4%")="", "Sin costo", "13.4%"), IF(INDIRECT(ADDRESS(ROW() + (0),COLUMN() + (-1)))="No agregar cuotas", IF(("")="", "Sin costo", ""), "-"))</f>
        <v/>
      </c>
      <c r="M237" s="0" t="inlineStr">
        <is>
          <t>Mercado Envíos</t>
        </is>
      </c>
      <c r="N237" s="0" t="inlineStr">
        <is>
          <t>A cargo del comprador</t>
        </is>
      </c>
      <c r="O237" s="0" t="inlineStr">
        <is>
          <t>Acepto</t>
        </is>
      </c>
      <c r="P237" s="47" t="inlineStr">
        <is>
          <t>Sin garantía</t>
        </is>
      </c>
      <c r="R237" s="0" t="inlineStr">
        <is>
          <t>Seleccionar</t>
        </is>
      </c>
      <c r="S237" s="0" t="inlineStr">
        <is>
          <t>No ofrezco</t>
        </is>
      </c>
      <c r="T237" t="n">
        <v>1935</v>
      </c>
      <c r="U237" s="0" t="inlineStr">
        <is>
          <t>Israel</t>
        </is>
      </c>
      <c r="X237" s="0" t="inlineStr">
        <is>
          <t>Níquel</t>
        </is>
      </c>
      <c r="Z237" t="inlineStr">
        <is>
          <t>10 Milliemes</t>
        </is>
      </c>
      <c r="AA237" s="0" t="inlineStr">
        <is>
          <t>Sheqel</t>
        </is>
      </c>
      <c r="AB2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7" s="53">
        <f>IF(OR(TRIM(INDIRECT("B"&amp;ROW())) &lt;&gt; "",TRIM(INDIRECT("A"&amp;ROW())) &lt;&gt; ""),AND(TRIM(INDIRECT("A"&amp;ROW())) &lt;&gt; "",TRIM(INDIRECT("D"&amp;ROW())) = "nuevo"),"")</f>
        <v/>
      </c>
    </row>
    <row r="238" ht="27.5" customHeight="1" s="62">
      <c r="B238" t="inlineStr">
        <is>
          <t>Moneda Antillas Holandesas Cent 1985</t>
        </is>
      </c>
      <c r="C238" s="0">
        <f>LEN(INDIRECT(ADDRESS(ROW() + (0),COLUMN() + (-1))))</f>
        <v/>
      </c>
      <c r="D238" s="0" t="inlineStr">
        <is>
          <t>Usado</t>
        </is>
      </c>
      <c r="E238" s="38" t="inlineStr">
        <is>
          <t>https://numismaticapopper.com/images/586A.jpeg,https://numismaticapopper.com/images/586B.jpeg</t>
        </is>
      </c>
      <c r="F238" t="inlineStr">
        <is>
          <t>586</t>
        </is>
      </c>
      <c r="G238" s="40" t="n">
        <v>1</v>
      </c>
      <c r="H238" t="n">
        <v>8000</v>
      </c>
      <c r="I238" t="inlineStr">
        <is>
          <t>Estado de conservacion: Sin Circular
Referencia de catalogo: KM# 13
Material: Aluminio</t>
        </is>
      </c>
      <c r="J238" s="31">
        <f>IF(INDIRECT(ADDRESS(ROW() + (0),COLUMN() + (1)))="Agregar cuotas", IF(("16%")="", "-", "16%"), IF(INDIRECT(ADDRESS(ROW() + (0),COLUMN() + (1)))="No agregar cuotas", IF(("16%")="", "-", "16%"), "-"))</f>
        <v/>
      </c>
      <c r="K238" s="0" t="inlineStr">
        <is>
          <t>No agregar cuotas</t>
        </is>
      </c>
      <c r="L238" s="31">
        <f>IF(INDIRECT(ADDRESS(ROW() + (0),COLUMN() + (-1)))="Agregar cuotas", IF(("13.4%")="", "Sin costo", "13.4%"), IF(INDIRECT(ADDRESS(ROW() + (0),COLUMN() + (-1)))="No agregar cuotas", IF(("")="", "Sin costo", ""), "-"))</f>
        <v/>
      </c>
      <c r="M238" s="0" t="inlineStr">
        <is>
          <t>Mercado Envíos</t>
        </is>
      </c>
      <c r="N238" s="0" t="inlineStr">
        <is>
          <t>A cargo del comprador</t>
        </is>
      </c>
      <c r="O238" s="0" t="inlineStr">
        <is>
          <t>Acepto</t>
        </is>
      </c>
      <c r="P238" s="47" t="inlineStr">
        <is>
          <t>Sin garantía</t>
        </is>
      </c>
      <c r="R238" s="0" t="inlineStr">
        <is>
          <t>Seleccionar</t>
        </is>
      </c>
      <c r="S238" s="0" t="inlineStr">
        <is>
          <t>No ofrezco</t>
        </is>
      </c>
      <c r="T238" t="n">
        <v>1985</v>
      </c>
      <c r="U238" s="0" t="inlineStr">
        <is>
          <t>Holanda</t>
        </is>
      </c>
      <c r="X238" s="0" t="inlineStr">
        <is>
          <t>Níquel</t>
        </is>
      </c>
      <c r="Z238" t="inlineStr">
        <is>
          <t>Cent</t>
        </is>
      </c>
      <c r="AA238" s="0" t="inlineStr">
        <is>
          <t>Dólar</t>
        </is>
      </c>
      <c r="AB2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8" s="53">
        <f>IF(OR(TRIM(INDIRECT("B"&amp;ROW())) &lt;&gt; "",TRIM(INDIRECT("A"&amp;ROW())) &lt;&gt; ""),AND(TRIM(INDIRECT("A"&amp;ROW())) &lt;&gt; "",TRIM(INDIRECT("D"&amp;ROW())) = "nuevo"),"")</f>
        <v/>
      </c>
    </row>
    <row r="239" ht="27.5" customHeight="1" s="62">
      <c r="B239" t="inlineStr">
        <is>
          <t>Moneda Países Bajos Cent 1884</t>
        </is>
      </c>
      <c r="C239" s="0">
        <f>LEN(INDIRECT(ADDRESS(ROW() + (0),COLUMN() + (-1))))</f>
        <v/>
      </c>
      <c r="D239" s="0" t="inlineStr">
        <is>
          <t>Usado</t>
        </is>
      </c>
      <c r="E239" s="38" t="inlineStr">
        <is>
          <t>https://numismaticapopper.com/images/588A.jpeg,https://numismaticapopper.com/images/588B.jpeg</t>
        </is>
      </c>
      <c r="F239" t="inlineStr">
        <is>
          <t>588</t>
        </is>
      </c>
      <c r="G239" s="40" t="n">
        <v>1</v>
      </c>
      <c r="H239" t="n">
        <v>14000</v>
      </c>
      <c r="I239" t="inlineStr">
        <is>
          <t>Estado de conservacion: Muy Buena -
Referencia de catalogo: KM# 107.1
Material: Bronce
Peso: 2.5 g
Diametro: 19.0 mm</t>
        </is>
      </c>
      <c r="J239" s="31">
        <f>IF(INDIRECT(ADDRESS(ROW() + (0),COLUMN() + (1)))="Agregar cuotas", IF(("16%")="", "-", "16%"), IF(INDIRECT(ADDRESS(ROW() + (0),COLUMN() + (1)))="No agregar cuotas", IF(("16%")="", "-", "16%"), "-"))</f>
        <v/>
      </c>
      <c r="K239" s="0" t="inlineStr">
        <is>
          <t>No agregar cuotas</t>
        </is>
      </c>
      <c r="L239" s="31">
        <f>IF(INDIRECT(ADDRESS(ROW() + (0),COLUMN() + (-1)))="Agregar cuotas", IF(("13.4%")="", "Sin costo", "13.4%"), IF(INDIRECT(ADDRESS(ROW() + (0),COLUMN() + (-1)))="No agregar cuotas", IF(("")="", "Sin costo", ""), "-"))</f>
        <v/>
      </c>
      <c r="M239" s="0" t="inlineStr">
        <is>
          <t>Mercado Envíos</t>
        </is>
      </c>
      <c r="N239" s="0" t="inlineStr">
        <is>
          <t>A cargo del comprador</t>
        </is>
      </c>
      <c r="O239" s="0" t="inlineStr">
        <is>
          <t>Acepto</t>
        </is>
      </c>
      <c r="P239" s="47" t="inlineStr">
        <is>
          <t>Sin garantía</t>
        </is>
      </c>
      <c r="R239" s="0" t="inlineStr">
        <is>
          <t>Seleccionar</t>
        </is>
      </c>
      <c r="S239" s="0" t="inlineStr">
        <is>
          <t>No ofrezco</t>
        </is>
      </c>
      <c r="T239" t="n">
        <v>1884</v>
      </c>
      <c r="U239" s="0" t="inlineStr">
        <is>
          <t>Holanda</t>
        </is>
      </c>
      <c r="X239" s="0" t="inlineStr">
        <is>
          <t>Bronce</t>
        </is>
      </c>
      <c r="Z239" t="inlineStr">
        <is>
          <t>Cent</t>
        </is>
      </c>
      <c r="AA239" s="0" t="inlineStr">
        <is>
          <t>Dólar</t>
        </is>
      </c>
      <c r="AB2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39" s="53">
        <f>IF(OR(TRIM(INDIRECT("B"&amp;ROW())) &lt;&gt; "",TRIM(INDIRECT("A"&amp;ROW())) &lt;&gt; ""),AND(TRIM(INDIRECT("A"&amp;ROW())) &lt;&gt; "",TRIM(INDIRECT("D"&amp;ROW())) = "nuevo"),"")</f>
        <v/>
      </c>
    </row>
    <row r="240" ht="27.5" customHeight="1" s="62">
      <c r="B240" t="inlineStr">
        <is>
          <t>Moneda Países Bajos Cent 1837</t>
        </is>
      </c>
      <c r="C240" s="0">
        <f>LEN(INDIRECT(ADDRESS(ROW() + (0),COLUMN() + (-1))))</f>
        <v/>
      </c>
      <c r="D240" s="0" t="inlineStr">
        <is>
          <t>Usado</t>
        </is>
      </c>
      <c r="E240" s="38" t="inlineStr">
        <is>
          <t>https://numismaticapopper.com/images/589A.jpeg,https://numismaticapopper.com/images/589B.jpeg</t>
        </is>
      </c>
      <c r="F240" t="inlineStr">
        <is>
          <t>589</t>
        </is>
      </c>
      <c r="G240" s="40" t="n">
        <v>1</v>
      </c>
      <c r="H240" t="n">
        <v>15000</v>
      </c>
      <c r="I240" t="inlineStr">
        <is>
          <t>Estado de conservacion: Buena -
Referencia de catalogo: KM# 47
Material: Cobre
Tirada: 5.202.040</t>
        </is>
      </c>
      <c r="J240" s="31">
        <f>IF(INDIRECT(ADDRESS(ROW() + (0),COLUMN() + (1)))="Agregar cuotas", IF(("16%")="", "-", "16%"), IF(INDIRECT(ADDRESS(ROW() + (0),COLUMN() + (1)))="No agregar cuotas", IF(("16%")="", "-", "16%"), "-"))</f>
        <v/>
      </c>
      <c r="K240" s="0" t="inlineStr">
        <is>
          <t>No agregar cuotas</t>
        </is>
      </c>
      <c r="L240" s="31">
        <f>IF(INDIRECT(ADDRESS(ROW() + (0),COLUMN() + (-1)))="Agregar cuotas", IF(("13.4%")="", "Sin costo", "13.4%"), IF(INDIRECT(ADDRESS(ROW() + (0),COLUMN() + (-1)))="No agregar cuotas", IF(("")="", "Sin costo", ""), "-"))</f>
        <v/>
      </c>
      <c r="M240" s="0" t="inlineStr">
        <is>
          <t>Mercado Envíos</t>
        </is>
      </c>
      <c r="N240" s="0" t="inlineStr">
        <is>
          <t>A cargo del comprador</t>
        </is>
      </c>
      <c r="O240" s="0" t="inlineStr">
        <is>
          <t>Acepto</t>
        </is>
      </c>
      <c r="P240" s="47" t="inlineStr">
        <is>
          <t>Sin garantía</t>
        </is>
      </c>
      <c r="R240" s="0" t="inlineStr">
        <is>
          <t>Seleccionar</t>
        </is>
      </c>
      <c r="S240" s="0" t="inlineStr">
        <is>
          <t>No ofrezco</t>
        </is>
      </c>
      <c r="T240" t="n">
        <v>1837</v>
      </c>
      <c r="U240" s="0" t="inlineStr">
        <is>
          <t>Holanda</t>
        </is>
      </c>
      <c r="X240" s="0" t="inlineStr">
        <is>
          <t>Cobre</t>
        </is>
      </c>
      <c r="Z240" t="inlineStr">
        <is>
          <t>Cent</t>
        </is>
      </c>
      <c r="AA240" s="0" t="inlineStr">
        <is>
          <t>Dólar</t>
        </is>
      </c>
      <c r="AB2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0" s="53">
        <f>IF(OR(TRIM(INDIRECT("B"&amp;ROW())) &lt;&gt; "",TRIM(INDIRECT("A"&amp;ROW())) &lt;&gt; ""),AND(TRIM(INDIRECT("A"&amp;ROW())) &lt;&gt; "",TRIM(INDIRECT("D"&amp;ROW())) = "nuevo"),"")</f>
        <v/>
      </c>
    </row>
    <row r="241" ht="27.5" customHeight="1" s="62">
      <c r="B241" t="inlineStr">
        <is>
          <t>Moneda Argentina Blister 2 Pesos Malvinas 2012</t>
        </is>
      </c>
      <c r="C241" s="0">
        <f>LEN(INDIRECT(ADDRESS(ROW() + (0),COLUMN() + (-1))))</f>
        <v/>
      </c>
      <c r="D241" s="0" t="inlineStr">
        <is>
          <t>Usado</t>
        </is>
      </c>
      <c r="E241" s="38" t="inlineStr">
        <is>
          <t>https://numismaticapopper.com/images/590A.jpeg,https://numismaticapopper.com/images/590B.jpeg,https://numismaticapopper.com/images/590C.jpeg,https://numismaticapopper.com/images/590D.jpeg</t>
        </is>
      </c>
      <c r="F241" t="inlineStr">
        <is>
          <t>590</t>
        </is>
      </c>
      <c r="G241" s="40" t="n">
        <v>1</v>
      </c>
      <c r="H241" t="n">
        <v>18000</v>
      </c>
      <c r="I241" t="inlineStr">
        <is>
          <t>Estado de conservacion: Sin Circular
30 Aniversario</t>
        </is>
      </c>
      <c r="J241" s="31">
        <f>IF(INDIRECT(ADDRESS(ROW() + (0),COLUMN() + (1)))="Agregar cuotas", IF(("16%")="", "-", "16%"), IF(INDIRECT(ADDRESS(ROW() + (0),COLUMN() + (1)))="No agregar cuotas", IF(("16%")="", "-", "16%"), "-"))</f>
        <v/>
      </c>
      <c r="K241" s="0" t="inlineStr">
        <is>
          <t>No agregar cuotas</t>
        </is>
      </c>
      <c r="L241" s="31">
        <f>IF(INDIRECT(ADDRESS(ROW() + (0),COLUMN() + (-1)))="Agregar cuotas", IF(("13.4%")="", "Sin costo", "13.4%"), IF(INDIRECT(ADDRESS(ROW() + (0),COLUMN() + (-1)))="No agregar cuotas", IF(("")="", "Sin costo", ""), "-"))</f>
        <v/>
      </c>
      <c r="M241" s="0" t="inlineStr">
        <is>
          <t>Mercado Envíos</t>
        </is>
      </c>
      <c r="N241" s="0" t="inlineStr">
        <is>
          <t>A cargo del comprador</t>
        </is>
      </c>
      <c r="O241" s="0" t="inlineStr">
        <is>
          <t>Acepto</t>
        </is>
      </c>
      <c r="P241" s="47" t="inlineStr">
        <is>
          <t>Sin garantía</t>
        </is>
      </c>
      <c r="R241" s="0" t="inlineStr">
        <is>
          <t>Seleccionar</t>
        </is>
      </c>
      <c r="S241" s="0" t="inlineStr">
        <is>
          <t>No ofrezco</t>
        </is>
      </c>
      <c r="T241" t="n">
        <v>2012</v>
      </c>
      <c r="U241" s="0" t="inlineStr">
        <is>
          <t>Argentina</t>
        </is>
      </c>
      <c r="X241" s="0" t="inlineStr">
        <is>
          <t>Níquel</t>
        </is>
      </c>
      <c r="Z241" t="inlineStr">
        <is>
          <t>Blister 2 Pesos Malvinas</t>
        </is>
      </c>
      <c r="AA241" s="0" t="inlineStr">
        <is>
          <t>Peso</t>
        </is>
      </c>
      <c r="AB2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1" s="53">
        <f>IF(OR(TRIM(INDIRECT("B"&amp;ROW())) &lt;&gt; "",TRIM(INDIRECT("A"&amp;ROW())) &lt;&gt; ""),AND(TRIM(INDIRECT("A"&amp;ROW())) &lt;&gt; "",TRIM(INDIRECT("D"&amp;ROW())) = "nuevo"),"")</f>
        <v/>
      </c>
    </row>
    <row r="242" ht="27.5" customHeight="1" s="62">
      <c r="B242" t="inlineStr">
        <is>
          <t>Moneda Siria 25 Qirsh 1979</t>
        </is>
      </c>
      <c r="C242" s="0">
        <f>LEN(INDIRECT(ADDRESS(ROW() + (0),COLUMN() + (-1))))</f>
        <v/>
      </c>
      <c r="D242" s="0" t="inlineStr">
        <is>
          <t>Usado</t>
        </is>
      </c>
      <c r="E242" s="38" t="inlineStr">
        <is>
          <t>https://numismaticapopper.com/images/594A.jpeg,https://numismaticapopper.com/images/594B.jpeg</t>
        </is>
      </c>
      <c r="F242" t="inlineStr">
        <is>
          <t>594</t>
        </is>
      </c>
      <c r="G242" s="40" t="n">
        <v>1</v>
      </c>
      <c r="H242" t="n">
        <v>11000</v>
      </c>
      <c r="I242" t="inlineStr">
        <is>
          <t>Estado de conservacion: Excelente -
Referencia de catalogo: KM# 118
Material: Cuproníquel
Año único</t>
        </is>
      </c>
      <c r="J242" s="31">
        <f>IF(INDIRECT(ADDRESS(ROW() + (0),COLUMN() + (1)))="Agregar cuotas", IF(("16%")="", "-", "16%"), IF(INDIRECT(ADDRESS(ROW() + (0),COLUMN() + (1)))="No agregar cuotas", IF(("16%")="", "-", "16%"), "-"))</f>
        <v/>
      </c>
      <c r="K242" s="0" t="inlineStr">
        <is>
          <t>No agregar cuotas</t>
        </is>
      </c>
      <c r="L242" s="31">
        <f>IF(INDIRECT(ADDRESS(ROW() + (0),COLUMN() + (-1)))="Agregar cuotas", IF(("13.4%")="", "Sin costo", "13.4%"), IF(INDIRECT(ADDRESS(ROW() + (0),COLUMN() + (-1)))="No agregar cuotas", IF(("")="", "Sin costo", ""), "-"))</f>
        <v/>
      </c>
      <c r="M242" s="0" t="inlineStr">
        <is>
          <t>Mercado Envíos</t>
        </is>
      </c>
      <c r="N242" s="0" t="inlineStr">
        <is>
          <t>A cargo del comprador</t>
        </is>
      </c>
      <c r="O242" s="0" t="inlineStr">
        <is>
          <t>Acepto</t>
        </is>
      </c>
      <c r="P242" s="47" t="inlineStr">
        <is>
          <t>Sin garantía</t>
        </is>
      </c>
      <c r="R242" s="0" t="inlineStr">
        <is>
          <t>Seleccionar</t>
        </is>
      </c>
      <c r="S242" s="0" t="inlineStr">
        <is>
          <t>No ofrezco</t>
        </is>
      </c>
      <c r="T242" t="n">
        <v>1979</v>
      </c>
      <c r="U242" s="0" t="inlineStr">
        <is>
          <t>Francia</t>
        </is>
      </c>
      <c r="X242" s="0" t="inlineStr">
        <is>
          <t>Níquel</t>
        </is>
      </c>
      <c r="Z242" t="inlineStr">
        <is>
          <t>25 Qirsh</t>
        </is>
      </c>
      <c r="AA242" s="0" t="inlineStr">
        <is>
          <t>Sheqel</t>
        </is>
      </c>
      <c r="AB2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2" s="53">
        <f>IF(OR(TRIM(INDIRECT("B"&amp;ROW())) &lt;&gt; "",TRIM(INDIRECT("A"&amp;ROW())) &lt;&gt; ""),AND(TRIM(INDIRECT("A"&amp;ROW())) &lt;&gt; "",TRIM(INDIRECT("D"&amp;ROW())) = "nuevo"),"")</f>
        <v/>
      </c>
    </row>
    <row r="243" ht="27.5" customHeight="1" s="62">
      <c r="B243" t="inlineStr">
        <is>
          <t>Moneda Bélgica 10 Centimes 1904</t>
        </is>
      </c>
      <c r="C243" s="0">
        <f>LEN(INDIRECT(ADDRESS(ROW() + (0),COLUMN() + (-1))))</f>
        <v/>
      </c>
      <c r="D243" s="0" t="inlineStr">
        <is>
          <t>Usado</t>
        </is>
      </c>
      <c r="E243" s="38" t="inlineStr">
        <is>
          <t>https://numismaticapopper.com/images/595A.jpeg,https://numismaticapopper.com/images/595B.jpeg</t>
        </is>
      </c>
      <c r="F243" t="inlineStr">
        <is>
          <t>595</t>
        </is>
      </c>
      <c r="G243" s="40" t="n">
        <v>1</v>
      </c>
      <c r="H243" t="n">
        <v>10000</v>
      </c>
      <c r="I243" t="inlineStr">
        <is>
          <t>Referencia de catalogo: KM# 52
Material: Cuproníquel
Belgique</t>
        </is>
      </c>
      <c r="J243" s="31">
        <f>IF(INDIRECT(ADDRESS(ROW() + (0),COLUMN() + (1)))="Agregar cuotas", IF(("16%")="", "-", "16%"), IF(INDIRECT(ADDRESS(ROW() + (0),COLUMN() + (1)))="No agregar cuotas", IF(("16%")="", "-", "16%"), "-"))</f>
        <v/>
      </c>
      <c r="K243" s="0" t="inlineStr">
        <is>
          <t>No agregar cuotas</t>
        </is>
      </c>
      <c r="L243" s="31">
        <f>IF(INDIRECT(ADDRESS(ROW() + (0),COLUMN() + (-1)))="Agregar cuotas", IF(("13.4%")="", "Sin costo", "13.4%"), IF(INDIRECT(ADDRESS(ROW() + (0),COLUMN() + (-1)))="No agregar cuotas", IF(("")="", "Sin costo", ""), "-"))</f>
        <v/>
      </c>
      <c r="M243" s="0" t="inlineStr">
        <is>
          <t>Mercado Envíos</t>
        </is>
      </c>
      <c r="N243" s="0" t="inlineStr">
        <is>
          <t>A cargo del comprador</t>
        </is>
      </c>
      <c r="O243" s="0" t="inlineStr">
        <is>
          <t>Acepto</t>
        </is>
      </c>
      <c r="P243" s="47" t="inlineStr">
        <is>
          <t>Sin garantía</t>
        </is>
      </c>
      <c r="R243" s="0" t="inlineStr">
        <is>
          <t>Seleccionar</t>
        </is>
      </c>
      <c r="S243" s="0" t="inlineStr">
        <is>
          <t>No ofrezco</t>
        </is>
      </c>
      <c r="T243" t="n">
        <v>1904</v>
      </c>
      <c r="U243" s="0" t="inlineStr">
        <is>
          <t>Bélgica</t>
        </is>
      </c>
      <c r="X243" s="0" t="inlineStr">
        <is>
          <t>Níquel</t>
        </is>
      </c>
      <c r="Z243" t="inlineStr">
        <is>
          <t>10 Centimes</t>
        </is>
      </c>
      <c r="AA243" s="0" t="inlineStr">
        <is>
          <t>Euro</t>
        </is>
      </c>
      <c r="AB2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3" s="53">
        <f>IF(OR(TRIM(INDIRECT("B"&amp;ROW())) &lt;&gt; "",TRIM(INDIRECT("A"&amp;ROW())) &lt;&gt; ""),AND(TRIM(INDIRECT("A"&amp;ROW())) &lt;&gt; "",TRIM(INDIRECT("D"&amp;ROW())) = "nuevo"),"")</f>
        <v/>
      </c>
    </row>
    <row r="244" ht="27.5" customHeight="1" s="62">
      <c r="B244" t="inlineStr">
        <is>
          <t>Moneda Suiza 2 Francos 1969</t>
        </is>
      </c>
      <c r="C244" s="0">
        <f>LEN(INDIRECT(ADDRESS(ROW() + (0),COLUMN() + (-1))))</f>
        <v/>
      </c>
      <c r="D244" s="0" t="inlineStr">
        <is>
          <t>Usado</t>
        </is>
      </c>
      <c r="E244" s="38" t="inlineStr">
        <is>
          <t>https://numismaticapopper.com/images/597A.jpeg,https://numismaticapopper.com/images/597B.jpeg</t>
        </is>
      </c>
      <c r="F244" t="inlineStr">
        <is>
          <t>597</t>
        </is>
      </c>
      <c r="G244" s="40" t="n">
        <v>1</v>
      </c>
      <c r="H244" t="n">
        <v>9000</v>
      </c>
      <c r="I244" t="inlineStr">
        <is>
          <t>Estado de conservacion: Sin Circular -
Referencia de catalogo: KM# 21a
Material: Cuproníquel</t>
        </is>
      </c>
      <c r="J244" s="31">
        <f>IF(INDIRECT(ADDRESS(ROW() + (0),COLUMN() + (1)))="Agregar cuotas", IF(("16%")="", "-", "16%"), IF(INDIRECT(ADDRESS(ROW() + (0),COLUMN() + (1)))="No agregar cuotas", IF(("16%")="", "-", "16%"), "-"))</f>
        <v/>
      </c>
      <c r="K244" s="0" t="inlineStr">
        <is>
          <t>No agregar cuotas</t>
        </is>
      </c>
      <c r="L244" s="31">
        <f>IF(INDIRECT(ADDRESS(ROW() + (0),COLUMN() + (-1)))="Agregar cuotas", IF(("13.4%")="", "Sin costo", "13.4%"), IF(INDIRECT(ADDRESS(ROW() + (0),COLUMN() + (-1)))="No agregar cuotas", IF(("")="", "Sin costo", ""), "-"))</f>
        <v/>
      </c>
      <c r="M244" s="0" t="inlineStr">
        <is>
          <t>Mercado Envíos</t>
        </is>
      </c>
      <c r="N244" s="0" t="inlineStr">
        <is>
          <t>A cargo del comprador</t>
        </is>
      </c>
      <c r="O244" s="0" t="inlineStr">
        <is>
          <t>Acepto</t>
        </is>
      </c>
      <c r="P244" s="47" t="inlineStr">
        <is>
          <t>Sin garantía</t>
        </is>
      </c>
      <c r="R244" s="0" t="inlineStr">
        <is>
          <t>Seleccionar</t>
        </is>
      </c>
      <c r="S244" s="0" t="inlineStr">
        <is>
          <t>No ofrezco</t>
        </is>
      </c>
      <c r="T244" t="n">
        <v>1969</v>
      </c>
      <c r="U244" s="0" t="inlineStr">
        <is>
          <t>Alemania</t>
        </is>
      </c>
      <c r="X244" s="0" t="inlineStr">
        <is>
          <t>Níquel</t>
        </is>
      </c>
      <c r="Z244" t="inlineStr">
        <is>
          <t>2 Francos</t>
        </is>
      </c>
      <c r="AA244" s="0" t="inlineStr">
        <is>
          <t>Euro</t>
        </is>
      </c>
      <c r="AB2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4" s="53">
        <f>IF(OR(TRIM(INDIRECT("B"&amp;ROW())) &lt;&gt; "",TRIM(INDIRECT("A"&amp;ROW())) &lt;&gt; ""),AND(TRIM(INDIRECT("A"&amp;ROW())) &lt;&gt; "",TRIM(INDIRECT("D"&amp;ROW())) = "nuevo"),"")</f>
        <v/>
      </c>
    </row>
    <row r="245" ht="27.5" customHeight="1" s="62">
      <c r="B245" t="inlineStr">
        <is>
          <t>Moneda Antillas Holandesas 1 Gulden 1971</t>
        </is>
      </c>
      <c r="C245" s="0">
        <f>LEN(INDIRECT(ADDRESS(ROW() + (0),COLUMN() + (-1))))</f>
        <v/>
      </c>
      <c r="D245" s="0" t="inlineStr">
        <is>
          <t>Usado</t>
        </is>
      </c>
      <c r="E245" s="38" t="inlineStr">
        <is>
          <t>https://numismaticapopper.com/images/598A.jpeg,https://numismaticapopper.com/images/598B.jpeg</t>
        </is>
      </c>
      <c r="F245" t="inlineStr">
        <is>
          <t>598</t>
        </is>
      </c>
      <c r="G245" s="40" t="n">
        <v>1</v>
      </c>
      <c r="H245" t="n">
        <v>10000</v>
      </c>
      <c r="I245" t="inlineStr">
        <is>
          <t>Estado de conservacion: Excelente +
Referencia de catalogo: KM# 12
Material: Níquel</t>
        </is>
      </c>
      <c r="J245" s="31">
        <f>IF(INDIRECT(ADDRESS(ROW() + (0),COLUMN() + (1)))="Agregar cuotas", IF(("16%")="", "-", "16%"), IF(INDIRECT(ADDRESS(ROW() + (0),COLUMN() + (1)))="No agregar cuotas", IF(("16%")="", "-", "16%"), "-"))</f>
        <v/>
      </c>
      <c r="K245" s="0" t="inlineStr">
        <is>
          <t>No agregar cuotas</t>
        </is>
      </c>
      <c r="L245" s="31">
        <f>IF(INDIRECT(ADDRESS(ROW() + (0),COLUMN() + (-1)))="Agregar cuotas", IF(("13.4%")="", "Sin costo", "13.4%"), IF(INDIRECT(ADDRESS(ROW() + (0),COLUMN() + (-1)))="No agregar cuotas", IF(("")="", "Sin costo", ""), "-"))</f>
        <v/>
      </c>
      <c r="M245" s="0" t="inlineStr">
        <is>
          <t>Mercado Envíos</t>
        </is>
      </c>
      <c r="N245" s="0" t="inlineStr">
        <is>
          <t>A cargo del comprador</t>
        </is>
      </c>
      <c r="O245" s="0" t="inlineStr">
        <is>
          <t>Acepto</t>
        </is>
      </c>
      <c r="P245" s="47" t="inlineStr">
        <is>
          <t>Sin garantía</t>
        </is>
      </c>
      <c r="R245" s="0" t="inlineStr">
        <is>
          <t>Seleccionar</t>
        </is>
      </c>
      <c r="S245" s="0" t="inlineStr">
        <is>
          <t>No ofrezco</t>
        </is>
      </c>
      <c r="T245" t="n">
        <v>1971</v>
      </c>
      <c r="U245" s="0" t="inlineStr">
        <is>
          <t>Holanda</t>
        </is>
      </c>
      <c r="X245" s="0" t="inlineStr">
        <is>
          <t>Níquel</t>
        </is>
      </c>
      <c r="Z245" t="inlineStr">
        <is>
          <t>1 Gulden</t>
        </is>
      </c>
      <c r="AA245" s="0" t="inlineStr">
        <is>
          <t>Euro</t>
        </is>
      </c>
      <c r="AB2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5" s="53">
        <f>IF(OR(TRIM(INDIRECT("B"&amp;ROW())) &lt;&gt; "",TRIM(INDIRECT("A"&amp;ROW())) &lt;&gt; ""),AND(TRIM(INDIRECT("A"&amp;ROW())) &lt;&gt; "",TRIM(INDIRECT("D"&amp;ROW())) = "nuevo"),"")</f>
        <v/>
      </c>
    </row>
    <row r="246" ht="27.5" customHeight="1" s="62">
      <c r="B246" t="inlineStr">
        <is>
          <t>Moneda Antillas Holandesas 1 Gulden 1970</t>
        </is>
      </c>
      <c r="C246" s="0">
        <f>LEN(INDIRECT(ADDRESS(ROW() + (0),COLUMN() + (-1))))</f>
        <v/>
      </c>
      <c r="D246" s="0" t="inlineStr">
        <is>
          <t>Usado</t>
        </is>
      </c>
      <c r="E246" s="38" t="inlineStr">
        <is>
          <t>https://numismaticapopper.com/images/599A.jpeg,https://numismaticapopper.com/images/599B.jpeg</t>
        </is>
      </c>
      <c r="F246" t="inlineStr">
        <is>
          <t>599</t>
        </is>
      </c>
      <c r="G246" s="40" t="n">
        <v>1</v>
      </c>
      <c r="H246" t="n">
        <v>10000</v>
      </c>
      <c r="I246" t="inlineStr">
        <is>
          <t>Estado de conservacion: Excelente +
Referencia de catalogo: KM# 12
Material: Níquel</t>
        </is>
      </c>
      <c r="J246" s="31">
        <f>IF(INDIRECT(ADDRESS(ROW() + (0),COLUMN() + (1)))="Agregar cuotas", IF(("16%")="", "-", "16%"), IF(INDIRECT(ADDRESS(ROW() + (0),COLUMN() + (1)))="No agregar cuotas", IF(("16%")="", "-", "16%"), "-"))</f>
        <v/>
      </c>
      <c r="K246" s="0" t="inlineStr">
        <is>
          <t>No agregar cuotas</t>
        </is>
      </c>
      <c r="L246" s="31">
        <f>IF(INDIRECT(ADDRESS(ROW() + (0),COLUMN() + (-1)))="Agregar cuotas", IF(("13.4%")="", "Sin costo", "13.4%"), IF(INDIRECT(ADDRESS(ROW() + (0),COLUMN() + (-1)))="No agregar cuotas", IF(("")="", "Sin costo", ""), "-"))</f>
        <v/>
      </c>
      <c r="M246" s="0" t="inlineStr">
        <is>
          <t>Mercado Envíos</t>
        </is>
      </c>
      <c r="N246" s="0" t="inlineStr">
        <is>
          <t>A cargo del comprador</t>
        </is>
      </c>
      <c r="O246" s="0" t="inlineStr">
        <is>
          <t>Acepto</t>
        </is>
      </c>
      <c r="P246" s="47" t="inlineStr">
        <is>
          <t>Sin garantía</t>
        </is>
      </c>
      <c r="R246" s="0" t="inlineStr">
        <is>
          <t>Seleccionar</t>
        </is>
      </c>
      <c r="S246" s="0" t="inlineStr">
        <is>
          <t>No ofrezco</t>
        </is>
      </c>
      <c r="T246" t="n">
        <v>1970</v>
      </c>
      <c r="U246" s="0" t="inlineStr">
        <is>
          <t>Holanda</t>
        </is>
      </c>
      <c r="X246" s="0" t="inlineStr">
        <is>
          <t>Níquel</t>
        </is>
      </c>
      <c r="Z246" t="inlineStr">
        <is>
          <t>1 Gulden</t>
        </is>
      </c>
      <c r="AA246" s="0" t="inlineStr">
        <is>
          <t>Euro</t>
        </is>
      </c>
      <c r="AB2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6" s="53">
        <f>IF(OR(TRIM(INDIRECT("B"&amp;ROW())) &lt;&gt; "",TRIM(INDIRECT("A"&amp;ROW())) &lt;&gt; ""),AND(TRIM(INDIRECT("A"&amp;ROW())) &lt;&gt; "",TRIM(INDIRECT("D"&amp;ROW())) = "nuevo"),"")</f>
        <v/>
      </c>
    </row>
    <row r="247" ht="27.5" customHeight="1" s="62">
      <c r="B247" t="inlineStr">
        <is>
          <t>Moneda Suecia 25 Ore 1943</t>
        </is>
      </c>
      <c r="C247" s="0">
        <f>LEN(INDIRECT(ADDRESS(ROW() + (0),COLUMN() + (-1))))</f>
        <v/>
      </c>
      <c r="D247" s="0" t="inlineStr">
        <is>
          <t>Usado</t>
        </is>
      </c>
      <c r="E247" s="38" t="inlineStr">
        <is>
          <t>https://numismaticapopper.com/images/600A.jpeg,https://numismaticapopper.com/images/600B.jpeg</t>
        </is>
      </c>
      <c r="F247" t="inlineStr">
        <is>
          <t>600</t>
        </is>
      </c>
      <c r="G247" s="40" t="n">
        <v>1</v>
      </c>
      <c r="H247" t="n">
        <v>12000</v>
      </c>
      <c r="I247" t="inlineStr">
        <is>
          <t>Estado de conservacion: Muy Buena +
Referencia de catalogo: KM# 816
Material: Plata</t>
        </is>
      </c>
      <c r="J247" s="31">
        <f>IF(INDIRECT(ADDRESS(ROW() + (0),COLUMN() + (1)))="Agregar cuotas", IF(("16%")="", "-", "16%"), IF(INDIRECT(ADDRESS(ROW() + (0),COLUMN() + (1)))="No agregar cuotas", IF(("16%")="", "-", "16%"), "-"))</f>
        <v/>
      </c>
      <c r="K247" s="0" t="inlineStr">
        <is>
          <t>No agregar cuotas</t>
        </is>
      </c>
      <c r="L247" s="31">
        <f>IF(INDIRECT(ADDRESS(ROW() + (0),COLUMN() + (-1)))="Agregar cuotas", IF(("13.4%")="", "Sin costo", "13.4%"), IF(INDIRECT(ADDRESS(ROW() + (0),COLUMN() + (-1)))="No agregar cuotas", IF(("")="", "Sin costo", ""), "-"))</f>
        <v/>
      </c>
      <c r="M247" s="0" t="inlineStr">
        <is>
          <t>Mercado Envíos</t>
        </is>
      </c>
      <c r="N247" s="0" t="inlineStr">
        <is>
          <t>A cargo del comprador</t>
        </is>
      </c>
      <c r="O247" s="0" t="inlineStr">
        <is>
          <t>Acepto</t>
        </is>
      </c>
      <c r="P247" s="47" t="inlineStr">
        <is>
          <t>Sin garantía</t>
        </is>
      </c>
      <c r="R247" s="0" t="inlineStr">
        <is>
          <t>Seleccionar</t>
        </is>
      </c>
      <c r="S247" s="0" t="inlineStr">
        <is>
          <t>No ofrezco</t>
        </is>
      </c>
      <c r="T247" t="n">
        <v>1943</v>
      </c>
      <c r="U247" s="0" t="inlineStr">
        <is>
          <t>Dinamarca</t>
        </is>
      </c>
      <c r="X247" s="0" t="inlineStr">
        <is>
          <t>Plata</t>
        </is>
      </c>
      <c r="Z247" t="inlineStr">
        <is>
          <t>25 Ore</t>
        </is>
      </c>
      <c r="AA247" s="0" t="inlineStr">
        <is>
          <t>Euro</t>
        </is>
      </c>
      <c r="AB2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7" s="53">
        <f>IF(OR(TRIM(INDIRECT("B"&amp;ROW())) &lt;&gt; "",TRIM(INDIRECT("A"&amp;ROW())) &lt;&gt; ""),AND(TRIM(INDIRECT("A"&amp;ROW())) &lt;&gt; "",TRIM(INDIRECT("D"&amp;ROW())) = "nuevo"),"")</f>
        <v/>
      </c>
    </row>
    <row r="248" ht="27.5" customHeight="1" s="62">
      <c r="B248" t="inlineStr">
        <is>
          <t>Moneda Suecia 25 Ore 1944</t>
        </is>
      </c>
      <c r="C248" s="0">
        <f>LEN(INDIRECT(ADDRESS(ROW() + (0),COLUMN() + (-1))))</f>
        <v/>
      </c>
      <c r="D248" s="0" t="inlineStr">
        <is>
          <t>Usado</t>
        </is>
      </c>
      <c r="E248" s="38" t="inlineStr">
        <is>
          <t>https://numismaticapopper.com/images/601A.jpeg,https://numismaticapopper.com/images/601B.jpeg</t>
        </is>
      </c>
      <c r="F248" t="inlineStr">
        <is>
          <t>601</t>
        </is>
      </c>
      <c r="G248" s="40" t="n">
        <v>1</v>
      </c>
      <c r="H248" t="n">
        <v>13000</v>
      </c>
      <c r="I248" t="inlineStr">
        <is>
          <t>Estado de conservacion: Excelente
Referencia de catalogo: KM# 816
Material: Plata</t>
        </is>
      </c>
      <c r="J248" s="31">
        <f>IF(INDIRECT(ADDRESS(ROW() + (0),COLUMN() + (1)))="Agregar cuotas", IF(("16%")="", "-", "16%"), IF(INDIRECT(ADDRESS(ROW() + (0),COLUMN() + (1)))="No agregar cuotas", IF(("16%")="", "-", "16%"), "-"))</f>
        <v/>
      </c>
      <c r="K248" s="0" t="inlineStr">
        <is>
          <t>No agregar cuotas</t>
        </is>
      </c>
      <c r="L248" s="31">
        <f>IF(INDIRECT(ADDRESS(ROW() + (0),COLUMN() + (-1)))="Agregar cuotas", IF(("13.4%")="", "Sin costo", "13.4%"), IF(INDIRECT(ADDRESS(ROW() + (0),COLUMN() + (-1)))="No agregar cuotas", IF(("")="", "Sin costo", ""), "-"))</f>
        <v/>
      </c>
      <c r="M248" s="0" t="inlineStr">
        <is>
          <t>Mercado Envíos</t>
        </is>
      </c>
      <c r="N248" s="0" t="inlineStr">
        <is>
          <t>A cargo del comprador</t>
        </is>
      </c>
      <c r="O248" s="0" t="inlineStr">
        <is>
          <t>Acepto</t>
        </is>
      </c>
      <c r="P248" s="47" t="inlineStr">
        <is>
          <t>Sin garantía</t>
        </is>
      </c>
      <c r="R248" s="0" t="inlineStr">
        <is>
          <t>Seleccionar</t>
        </is>
      </c>
      <c r="S248" s="0" t="inlineStr">
        <is>
          <t>No ofrezco</t>
        </is>
      </c>
      <c r="T248" t="n">
        <v>1944</v>
      </c>
      <c r="U248" s="0" t="inlineStr">
        <is>
          <t>Dinamarca</t>
        </is>
      </c>
      <c r="X248" s="0" t="inlineStr">
        <is>
          <t>Plata</t>
        </is>
      </c>
      <c r="Z248" t="inlineStr">
        <is>
          <t>25 Ore</t>
        </is>
      </c>
      <c r="AA248" s="0" t="inlineStr">
        <is>
          <t>Euro</t>
        </is>
      </c>
      <c r="AB2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8" s="53">
        <f>IF(OR(TRIM(INDIRECT("B"&amp;ROW())) &lt;&gt; "",TRIM(INDIRECT("A"&amp;ROW())) &lt;&gt; ""),AND(TRIM(INDIRECT("A"&amp;ROW())) &lt;&gt; "",TRIM(INDIRECT("D"&amp;ROW())) = "nuevo"),"")</f>
        <v/>
      </c>
    </row>
    <row r="249" ht="27.5" customHeight="1" s="62">
      <c r="B249" t="inlineStr">
        <is>
          <t>Moneda Estados Unidos Onza MS70 certificada 2017</t>
        </is>
      </c>
      <c r="C249" s="0">
        <f>LEN(INDIRECT(ADDRESS(ROW() + (0),COLUMN() + (-1))))</f>
        <v/>
      </c>
      <c r="D249" s="0" t="inlineStr">
        <is>
          <t>Usado</t>
        </is>
      </c>
      <c r="E249" s="38" t="inlineStr">
        <is>
          <t>https://numismaticapopper.com/images/603A.jpeg,https://numismaticapopper.com/images/603B.jpeg,https://numismaticapopper.com/images/603C.jpeg,https://numismaticapopper.com/images/603D.jpeg,https://numismaticapopper.com/images/603E.jpeg,https://numismaticapopper.com/images/603F.jpeg</t>
        </is>
      </c>
      <c r="F249" t="inlineStr">
        <is>
          <t>603</t>
        </is>
      </c>
      <c r="G249" s="40" t="n">
        <v>1</v>
      </c>
      <c r="H249" t="n">
        <v>301000</v>
      </c>
      <c r="I249" t="inlineStr">
        <is>
          <t>Estado de conservacion: Sin Circular
Referencia de catalogo: KM# 273
Material: Plata 999
no se consigue ni en estados unidos. MS70 es el maximo grado de conservacion. Certificada por ANACS (empresa mas respetada que ngc o pcgs). Solo 24.205 unidades certificadas MS70.</t>
        </is>
      </c>
      <c r="J249" s="31">
        <f>IF(INDIRECT(ADDRESS(ROW() + (0),COLUMN() + (1)))="Agregar cuotas", IF(("16%")="", "-", "16%"), IF(INDIRECT(ADDRESS(ROW() + (0),COLUMN() + (1)))="No agregar cuotas", IF(("16%")="", "-", "16%"), "-"))</f>
        <v/>
      </c>
      <c r="K249" s="0" t="inlineStr">
        <is>
          <t>No agregar cuotas</t>
        </is>
      </c>
      <c r="L249" s="31">
        <f>IF(INDIRECT(ADDRESS(ROW() + (0),COLUMN() + (-1)))="Agregar cuotas", IF(("13.4%")="", "Sin costo", "13.4%"), IF(INDIRECT(ADDRESS(ROW() + (0),COLUMN() + (-1)))="No agregar cuotas", IF(("")="", "Sin costo", ""), "-"))</f>
        <v/>
      </c>
      <c r="M249" s="0" t="inlineStr">
        <is>
          <t>Mercado Envíos</t>
        </is>
      </c>
      <c r="N249" s="0" t="inlineStr">
        <is>
          <t>Ofrecés envío gratis</t>
        </is>
      </c>
      <c r="O249" s="0" t="inlineStr">
        <is>
          <t>Acepto</t>
        </is>
      </c>
      <c r="P249" s="47" t="inlineStr">
        <is>
          <t>Sin garantía</t>
        </is>
      </c>
      <c r="R249" s="0" t="inlineStr">
        <is>
          <t>Seleccionar</t>
        </is>
      </c>
      <c r="S249" s="0" t="inlineStr">
        <is>
          <t>No ofrezco</t>
        </is>
      </c>
      <c r="T249" t="n">
        <v>2017</v>
      </c>
      <c r="U249" s="0" t="inlineStr">
        <is>
          <t>Estados Unidos</t>
        </is>
      </c>
      <c r="X249" s="0" t="inlineStr">
        <is>
          <t>Plata</t>
        </is>
      </c>
      <c r="Z249" t="inlineStr">
        <is>
          <t>Onza MS70 certificada</t>
        </is>
      </c>
      <c r="AA249" s="0" t="inlineStr">
        <is>
          <t>Dólar</t>
        </is>
      </c>
      <c r="AB2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49" s="53">
        <f>IF(OR(TRIM(INDIRECT("B"&amp;ROW())) &lt;&gt; "",TRIM(INDIRECT("A"&amp;ROW())) &lt;&gt; ""),AND(TRIM(INDIRECT("A"&amp;ROW())) &lt;&gt; "",TRIM(INDIRECT("D"&amp;ROW())) = "nuevo"),"")</f>
        <v/>
      </c>
    </row>
    <row r="250" ht="27.5" customHeight="1" s="62">
      <c r="B250" t="inlineStr">
        <is>
          <t>Moneda Noruega Ore 1929</t>
        </is>
      </c>
      <c r="C250" s="0">
        <f>LEN(INDIRECT(ADDRESS(ROW() + (0),COLUMN() + (-1))))</f>
        <v/>
      </c>
      <c r="D250" s="0" t="inlineStr">
        <is>
          <t>Usado</t>
        </is>
      </c>
      <c r="E250" s="38" t="inlineStr">
        <is>
          <t>https://numismaticapopper.com/images/606A.jpeg,https://numismaticapopper.com/images/606B.jpeg</t>
        </is>
      </c>
      <c r="F250" t="inlineStr">
        <is>
          <t>606</t>
        </is>
      </c>
      <c r="G250" s="40" t="n">
        <v>1</v>
      </c>
      <c r="H250" t="n">
        <v>11000</v>
      </c>
      <c r="I250" t="inlineStr">
        <is>
          <t>Estado de conservacion: Excelente -
Referencia de catalogo: KM# 367
Material: Bronce
Peso: 2.0 g
Diametro: 16.0 mm
Tirada: 4.990.000</t>
        </is>
      </c>
      <c r="J250" s="31">
        <f>IF(INDIRECT(ADDRESS(ROW() + (0),COLUMN() + (1)))="Agregar cuotas", IF(("16%")="", "-", "16%"), IF(INDIRECT(ADDRESS(ROW() + (0),COLUMN() + (1)))="No agregar cuotas", IF(("16%")="", "-", "16%"), "-"))</f>
        <v/>
      </c>
      <c r="K250" s="0" t="inlineStr">
        <is>
          <t>No agregar cuotas</t>
        </is>
      </c>
      <c r="L250" s="31">
        <f>IF(INDIRECT(ADDRESS(ROW() + (0),COLUMN() + (-1)))="Agregar cuotas", IF(("13.4%")="", "Sin costo", "13.4%"), IF(INDIRECT(ADDRESS(ROW() + (0),COLUMN() + (-1)))="No agregar cuotas", IF(("")="", "Sin costo", ""), "-"))</f>
        <v/>
      </c>
      <c r="M250" s="0" t="inlineStr">
        <is>
          <t>Mercado Envíos</t>
        </is>
      </c>
      <c r="N250" s="0" t="inlineStr">
        <is>
          <t>A cargo del comprador</t>
        </is>
      </c>
      <c r="O250" s="0" t="inlineStr">
        <is>
          <t>Acepto</t>
        </is>
      </c>
      <c r="P250" s="47" t="inlineStr">
        <is>
          <t>Sin garantía</t>
        </is>
      </c>
      <c r="R250" s="0" t="inlineStr">
        <is>
          <t>Seleccionar</t>
        </is>
      </c>
      <c r="S250" s="0" t="inlineStr">
        <is>
          <t>No ofrezco</t>
        </is>
      </c>
      <c r="T250" t="n">
        <v>1929</v>
      </c>
      <c r="U250" s="0" t="inlineStr">
        <is>
          <t>Dinamarca</t>
        </is>
      </c>
      <c r="X250" s="0" t="inlineStr">
        <is>
          <t>Bronce</t>
        </is>
      </c>
      <c r="Z250" t="inlineStr">
        <is>
          <t>Ore</t>
        </is>
      </c>
      <c r="AA250" s="0" t="inlineStr">
        <is>
          <t>Euro</t>
        </is>
      </c>
      <c r="AB2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0" s="53">
        <f>IF(OR(TRIM(INDIRECT("B"&amp;ROW())) &lt;&gt; "",TRIM(INDIRECT("A"&amp;ROW())) &lt;&gt; ""),AND(TRIM(INDIRECT("A"&amp;ROW())) &lt;&gt; "",TRIM(INDIRECT("D"&amp;ROW())) = "nuevo"),"")</f>
        <v/>
      </c>
    </row>
    <row r="251" ht="27.5" customHeight="1" s="62">
      <c r="B251" t="inlineStr">
        <is>
          <t>Moneda Egipto 5 Milliemes 1973</t>
        </is>
      </c>
      <c r="C251" s="0">
        <f>LEN(INDIRECT(ADDRESS(ROW() + (0),COLUMN() + (-1))))</f>
        <v/>
      </c>
      <c r="D251" s="0" t="inlineStr">
        <is>
          <t>Usado</t>
        </is>
      </c>
      <c r="E251" s="38" t="inlineStr">
        <is>
          <t>https://numismaticapopper.com/images/607A.jpeg,https://numismaticapopper.com/images/607B.jpeg</t>
        </is>
      </c>
      <c r="F251" t="inlineStr">
        <is>
          <t>607</t>
        </is>
      </c>
      <c r="G251" s="40" t="n">
        <v>1</v>
      </c>
      <c r="H251" t="n">
        <v>10000</v>
      </c>
      <c r="I251" t="inlineStr">
        <is>
          <t>Estado de conservacion: Sin Circular
Referencia de catalogo: KM# 432
Material: Bronce-aluminio
Año único</t>
        </is>
      </c>
      <c r="J251" s="31">
        <f>IF(INDIRECT(ADDRESS(ROW() + (0),COLUMN() + (1)))="Agregar cuotas", IF(("16%")="", "-", "16%"), IF(INDIRECT(ADDRESS(ROW() + (0),COLUMN() + (1)))="No agregar cuotas", IF(("16%")="", "-", "16%"), "-"))</f>
        <v/>
      </c>
      <c r="K251" s="0" t="inlineStr">
        <is>
          <t>No agregar cuotas</t>
        </is>
      </c>
      <c r="L251" s="31">
        <f>IF(INDIRECT(ADDRESS(ROW() + (0),COLUMN() + (-1)))="Agregar cuotas", IF(("13.4%")="", "Sin costo", "13.4%"), IF(INDIRECT(ADDRESS(ROW() + (0),COLUMN() + (-1)))="No agregar cuotas", IF(("")="", "Sin costo", ""), "-"))</f>
        <v/>
      </c>
      <c r="M251" s="0" t="inlineStr">
        <is>
          <t>Mercado Envíos</t>
        </is>
      </c>
      <c r="N251" s="0" t="inlineStr">
        <is>
          <t>A cargo del comprador</t>
        </is>
      </c>
      <c r="O251" s="0" t="inlineStr">
        <is>
          <t>Acepto</t>
        </is>
      </c>
      <c r="P251" s="47" t="inlineStr">
        <is>
          <t>Sin garantía</t>
        </is>
      </c>
      <c r="R251" s="0" t="inlineStr">
        <is>
          <t>Seleccionar</t>
        </is>
      </c>
      <c r="S251" s="0" t="inlineStr">
        <is>
          <t>No ofrezco</t>
        </is>
      </c>
      <c r="T251" t="n">
        <v>1973</v>
      </c>
      <c r="U251" s="0" t="inlineStr">
        <is>
          <t>Israel</t>
        </is>
      </c>
      <c r="X251" s="0" t="inlineStr">
        <is>
          <t>Bronce</t>
        </is>
      </c>
      <c r="Z251" t="inlineStr">
        <is>
          <t>5 Milliemes</t>
        </is>
      </c>
      <c r="AA251" s="0" t="inlineStr">
        <is>
          <t>Sheqel</t>
        </is>
      </c>
      <c r="AB2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1" s="53">
        <f>IF(OR(TRIM(INDIRECT("B"&amp;ROW())) &lt;&gt; "",TRIM(INDIRECT("A"&amp;ROW())) &lt;&gt; ""),AND(TRIM(INDIRECT("A"&amp;ROW())) &lt;&gt; "",TRIM(INDIRECT("D"&amp;ROW())) = "nuevo"),"")</f>
        <v/>
      </c>
    </row>
    <row r="252" ht="27.5" customHeight="1" s="62">
      <c r="B252" t="inlineStr">
        <is>
          <t>Moneda Argentina Centavo 1940</t>
        </is>
      </c>
      <c r="C252" s="0">
        <f>LEN(INDIRECT(ADDRESS(ROW() + (0),COLUMN() + (-1))))</f>
        <v/>
      </c>
      <c r="D252" s="0" t="inlineStr">
        <is>
          <t>Usado</t>
        </is>
      </c>
      <c r="E252" s="38" t="inlineStr">
        <is>
          <t>https://numismaticapopper.com/images/612A.jpeg,https://numismaticapopper.com/images/612B.jpeg</t>
        </is>
      </c>
      <c r="F252" t="inlineStr">
        <is>
          <t>612</t>
        </is>
      </c>
      <c r="G252" s="40" t="n">
        <v>1</v>
      </c>
      <c r="H252" t="n">
        <v>7000</v>
      </c>
      <c r="I252" t="inlineStr">
        <is>
          <t>Referencia de catalogo: CJ# 187
limpiada</t>
        </is>
      </c>
      <c r="J252" s="31">
        <f>IF(INDIRECT(ADDRESS(ROW() + (0),COLUMN() + (1)))="Agregar cuotas", IF(("16%")="", "-", "16%"), IF(INDIRECT(ADDRESS(ROW() + (0),COLUMN() + (1)))="No agregar cuotas", IF(("16%")="", "-", "16%"), "-"))</f>
        <v/>
      </c>
      <c r="K252" s="0" t="inlineStr">
        <is>
          <t>No agregar cuotas</t>
        </is>
      </c>
      <c r="L252" s="31">
        <f>IF(INDIRECT(ADDRESS(ROW() + (0),COLUMN() + (-1)))="Agregar cuotas", IF(("13.4%")="", "Sin costo", "13.4%"), IF(INDIRECT(ADDRESS(ROW() + (0),COLUMN() + (-1)))="No agregar cuotas", IF(("")="", "Sin costo", ""), "-"))</f>
        <v/>
      </c>
      <c r="M252" s="0" t="inlineStr">
        <is>
          <t>Mercado Envíos</t>
        </is>
      </c>
      <c r="N252" s="0" t="inlineStr">
        <is>
          <t>A cargo del comprador</t>
        </is>
      </c>
      <c r="O252" s="0" t="inlineStr">
        <is>
          <t>Acepto</t>
        </is>
      </c>
      <c r="P252" s="47" t="inlineStr">
        <is>
          <t>Sin garantía</t>
        </is>
      </c>
      <c r="R252" s="0" t="inlineStr">
        <is>
          <t>Seleccionar</t>
        </is>
      </c>
      <c r="S252" s="0" t="inlineStr">
        <is>
          <t>No ofrezco</t>
        </is>
      </c>
      <c r="T252" t="n">
        <v>1940</v>
      </c>
      <c r="U252" s="0" t="inlineStr">
        <is>
          <t>Argentina</t>
        </is>
      </c>
      <c r="X252" s="0" t="inlineStr">
        <is>
          <t>Níquel</t>
        </is>
      </c>
      <c r="Z252" t="inlineStr">
        <is>
          <t>Centavo</t>
        </is>
      </c>
      <c r="AA252" s="0" t="inlineStr">
        <is>
          <t>Peso</t>
        </is>
      </c>
      <c r="AB2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2" s="53">
        <f>IF(OR(TRIM(INDIRECT("B"&amp;ROW())) &lt;&gt; "",TRIM(INDIRECT("A"&amp;ROW())) &lt;&gt; ""),AND(TRIM(INDIRECT("A"&amp;ROW())) &lt;&gt; "",TRIM(INDIRECT("D"&amp;ROW())) = "nuevo"),"")</f>
        <v/>
      </c>
    </row>
    <row r="253" ht="27.5" customHeight="1" s="62">
      <c r="B253" t="inlineStr">
        <is>
          <t>Moneda Argentina Centavo 1942</t>
        </is>
      </c>
      <c r="C253" s="0">
        <f>LEN(INDIRECT(ADDRESS(ROW() + (0),COLUMN() + (-1))))</f>
        <v/>
      </c>
      <c r="D253" s="0" t="inlineStr">
        <is>
          <t>Usado</t>
        </is>
      </c>
      <c r="E253" s="38" t="inlineStr">
        <is>
          <t>https://numismaticapopper.com/images/616A.jpeg,https://numismaticapopper.com/images/616B.jpeg</t>
        </is>
      </c>
      <c r="F253" t="inlineStr">
        <is>
          <t>616</t>
        </is>
      </c>
      <c r="G253" s="40" t="n">
        <v>1</v>
      </c>
      <c r="H253" t="n">
        <v>59000</v>
      </c>
      <c r="I253" t="inlineStr">
        <is>
          <t>Referencia de catalogo: CJ# 190
Tirada: 495.900
Escasa, marron</t>
        </is>
      </c>
      <c r="J253" s="31">
        <f>IF(INDIRECT(ADDRESS(ROW() + (0),COLUMN() + (1)))="Agregar cuotas", IF(("16%")="", "-", "16%"), IF(INDIRECT(ADDRESS(ROW() + (0),COLUMN() + (1)))="No agregar cuotas", IF(("16%")="", "-", "16%"), "-"))</f>
        <v/>
      </c>
      <c r="K253" s="0" t="inlineStr">
        <is>
          <t>No agregar cuotas</t>
        </is>
      </c>
      <c r="L253" s="31">
        <f>IF(INDIRECT(ADDRESS(ROW() + (0),COLUMN() + (-1)))="Agregar cuotas", IF(("13.4%")="", "Sin costo", "13.4%"), IF(INDIRECT(ADDRESS(ROW() + (0),COLUMN() + (-1)))="No agregar cuotas", IF(("")="", "Sin costo", ""), "-"))</f>
        <v/>
      </c>
      <c r="M253" s="0" t="inlineStr">
        <is>
          <t>Mercado Envíos</t>
        </is>
      </c>
      <c r="N253" s="0" t="inlineStr">
        <is>
          <t>A cargo del comprador</t>
        </is>
      </c>
      <c r="O253" s="0" t="inlineStr">
        <is>
          <t>Acepto</t>
        </is>
      </c>
      <c r="P253" s="47" t="inlineStr">
        <is>
          <t>Sin garantía</t>
        </is>
      </c>
      <c r="R253" s="0" t="inlineStr">
        <is>
          <t>Seleccionar</t>
        </is>
      </c>
      <c r="S253" s="0" t="inlineStr">
        <is>
          <t>No ofrezco</t>
        </is>
      </c>
      <c r="T253" t="n">
        <v>1942</v>
      </c>
      <c r="U253" s="0" t="inlineStr">
        <is>
          <t>Argentina</t>
        </is>
      </c>
      <c r="X253" s="0" t="inlineStr">
        <is>
          <t>Níquel</t>
        </is>
      </c>
      <c r="Z253" t="inlineStr">
        <is>
          <t>Centavo</t>
        </is>
      </c>
      <c r="AA253" s="0" t="inlineStr">
        <is>
          <t>Peso</t>
        </is>
      </c>
      <c r="AB2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3" s="53">
        <f>IF(OR(TRIM(INDIRECT("B"&amp;ROW())) &lt;&gt; "",TRIM(INDIRECT("A"&amp;ROW())) &lt;&gt; ""),AND(TRIM(INDIRECT("A"&amp;ROW())) &lt;&gt; "",TRIM(INDIRECT("D"&amp;ROW())) = "nuevo"),"")</f>
        <v/>
      </c>
    </row>
    <row r="254" ht="27.5" customHeight="1" s="62">
      <c r="B254" t="inlineStr">
        <is>
          <t>Moneda Argentina Centavo 1944</t>
        </is>
      </c>
      <c r="C254" s="0">
        <f>LEN(INDIRECT(ADDRESS(ROW() + (0),COLUMN() + (-1))))</f>
        <v/>
      </c>
      <c r="D254" s="0" t="inlineStr">
        <is>
          <t>Usado</t>
        </is>
      </c>
      <c r="E254" s="38" t="inlineStr">
        <is>
          <t>https://numismaticapopper.com/images/618A.jpeg,https://numismaticapopper.com/images/618B.jpeg</t>
        </is>
      </c>
      <c r="F254" t="inlineStr">
        <is>
          <t>618</t>
        </is>
      </c>
      <c r="G254" s="40" t="n">
        <v>1</v>
      </c>
      <c r="H254" t="n">
        <v>7000</v>
      </c>
      <c r="I254" t="inlineStr">
        <is>
          <t>Referencia de catalogo: CJ# 191
marron</t>
        </is>
      </c>
      <c r="J254" s="31">
        <f>IF(INDIRECT(ADDRESS(ROW() + (0),COLUMN() + (1)))="Agregar cuotas", IF(("16%")="", "-", "16%"), IF(INDIRECT(ADDRESS(ROW() + (0),COLUMN() + (1)))="No agregar cuotas", IF(("16%")="", "-", "16%"), "-"))</f>
        <v/>
      </c>
      <c r="K254" s="0" t="inlineStr">
        <is>
          <t>No agregar cuotas</t>
        </is>
      </c>
      <c r="L254" s="31">
        <f>IF(INDIRECT(ADDRESS(ROW() + (0),COLUMN() + (-1)))="Agregar cuotas", IF(("13.4%")="", "Sin costo", "13.4%"), IF(INDIRECT(ADDRESS(ROW() + (0),COLUMN() + (-1)))="No agregar cuotas", IF(("")="", "Sin costo", ""), "-"))</f>
        <v/>
      </c>
      <c r="M254" s="0" t="inlineStr">
        <is>
          <t>Mercado Envíos</t>
        </is>
      </c>
      <c r="N254" s="0" t="inlineStr">
        <is>
          <t>A cargo del comprador</t>
        </is>
      </c>
      <c r="O254" s="0" t="inlineStr">
        <is>
          <t>Acepto</t>
        </is>
      </c>
      <c r="P254" s="47" t="inlineStr">
        <is>
          <t>Sin garantía</t>
        </is>
      </c>
      <c r="R254" s="0" t="inlineStr">
        <is>
          <t>Seleccionar</t>
        </is>
      </c>
      <c r="S254" s="0" t="inlineStr">
        <is>
          <t>No ofrezco</t>
        </is>
      </c>
      <c r="T254" t="n">
        <v>1944</v>
      </c>
      <c r="U254" s="0" t="inlineStr">
        <is>
          <t>Argentina</t>
        </is>
      </c>
      <c r="X254" s="0" t="inlineStr">
        <is>
          <t>Níquel</t>
        </is>
      </c>
      <c r="Z254" t="inlineStr">
        <is>
          <t>Centavo</t>
        </is>
      </c>
      <c r="AA254" s="0" t="inlineStr">
        <is>
          <t>Peso</t>
        </is>
      </c>
      <c r="AB2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4" s="53">
        <f>IF(OR(TRIM(INDIRECT("B"&amp;ROW())) &lt;&gt; "",TRIM(INDIRECT("A"&amp;ROW())) &lt;&gt; ""),AND(TRIM(INDIRECT("A"&amp;ROW())) &lt;&gt; "",TRIM(INDIRECT("D"&amp;ROW())) = "nuevo"),"")</f>
        <v/>
      </c>
    </row>
    <row r="255" ht="27.5" customHeight="1" s="62">
      <c r="B255" t="inlineStr">
        <is>
          <t>Moneda Argentina 2 Centavos 1939</t>
        </is>
      </c>
      <c r="C255" s="0">
        <f>LEN(INDIRECT(ADDRESS(ROW() + (0),COLUMN() + (-1))))</f>
        <v/>
      </c>
      <c r="D255" s="0" t="inlineStr">
        <is>
          <t>Usado</t>
        </is>
      </c>
      <c r="E255" s="38" t="inlineStr">
        <is>
          <t>https://numismaticapopper.com/images/627A.jpeg,https://numismaticapopper.com/images/627B.jpeg</t>
        </is>
      </c>
      <c r="F255" t="inlineStr">
        <is>
          <t>627</t>
        </is>
      </c>
      <c r="G255" s="40" t="n">
        <v>1</v>
      </c>
      <c r="H255" t="n">
        <v>8000</v>
      </c>
      <c r="I255" t="inlineStr">
        <is>
          <t>Referencia de catalogo: CJ# 174
limpiada</t>
        </is>
      </c>
      <c r="J255" s="31">
        <f>IF(INDIRECT(ADDRESS(ROW() + (0),COLUMN() + (1)))="Agregar cuotas", IF(("16%")="", "-", "16%"), IF(INDIRECT(ADDRESS(ROW() + (0),COLUMN() + (1)))="No agregar cuotas", IF(("16%")="", "-", "16%"), "-"))</f>
        <v/>
      </c>
      <c r="K255" s="0" t="inlineStr">
        <is>
          <t>No agregar cuotas</t>
        </is>
      </c>
      <c r="L255" s="31">
        <f>IF(INDIRECT(ADDRESS(ROW() + (0),COLUMN() + (-1)))="Agregar cuotas", IF(("13.4%")="", "Sin costo", "13.4%"), IF(INDIRECT(ADDRESS(ROW() + (0),COLUMN() + (-1)))="No agregar cuotas", IF(("")="", "Sin costo", ""), "-"))</f>
        <v/>
      </c>
      <c r="M255" s="0" t="inlineStr">
        <is>
          <t>Mercado Envíos</t>
        </is>
      </c>
      <c r="N255" s="0" t="inlineStr">
        <is>
          <t>A cargo del comprador</t>
        </is>
      </c>
      <c r="O255" s="0" t="inlineStr">
        <is>
          <t>Acepto</t>
        </is>
      </c>
      <c r="P255" s="47" t="inlineStr">
        <is>
          <t>Sin garantía</t>
        </is>
      </c>
      <c r="R255" s="0" t="inlineStr">
        <is>
          <t>Seleccionar</t>
        </is>
      </c>
      <c r="S255" s="0" t="inlineStr">
        <is>
          <t>No ofrezco</t>
        </is>
      </c>
      <c r="T255" t="n">
        <v>1939</v>
      </c>
      <c r="U255" s="0" t="inlineStr">
        <is>
          <t>Argentina</t>
        </is>
      </c>
      <c r="X255" s="0" t="inlineStr">
        <is>
          <t>Níquel</t>
        </is>
      </c>
      <c r="Z255" t="inlineStr">
        <is>
          <t>2 Centavos</t>
        </is>
      </c>
      <c r="AA255" s="0" t="inlineStr">
        <is>
          <t>Peso</t>
        </is>
      </c>
      <c r="AB2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5" s="53">
        <f>IF(OR(TRIM(INDIRECT("B"&amp;ROW())) &lt;&gt; "",TRIM(INDIRECT("A"&amp;ROW())) &lt;&gt; ""),AND(TRIM(INDIRECT("A"&amp;ROW())) &lt;&gt; "",TRIM(INDIRECT("D"&amp;ROW())) = "nuevo"),"")</f>
        <v/>
      </c>
    </row>
    <row r="256" ht="27.5" customHeight="1" s="62">
      <c r="B256" t="inlineStr">
        <is>
          <t>Moneda Argentina 2 Centavos 1939</t>
        </is>
      </c>
      <c r="C256" s="0">
        <f>LEN(INDIRECT(ADDRESS(ROW() + (0),COLUMN() + (-1))))</f>
        <v/>
      </c>
      <c r="D256" s="0" t="inlineStr">
        <is>
          <t>Usado</t>
        </is>
      </c>
      <c r="E256" s="38" t="inlineStr">
        <is>
          <t>https://numismaticapopper.com/images/628A.jpeg,https://numismaticapopper.com/images/628B.jpeg</t>
        </is>
      </c>
      <c r="F256" t="inlineStr">
        <is>
          <t>628</t>
        </is>
      </c>
      <c r="G256" s="40" t="n">
        <v>1</v>
      </c>
      <c r="H256" t="n">
        <v>8000</v>
      </c>
      <c r="I256" t="inlineStr">
        <is>
          <t>Referencia de catalogo: CJ# 174
marron</t>
        </is>
      </c>
      <c r="J256" s="31">
        <f>IF(INDIRECT(ADDRESS(ROW() + (0),COLUMN() + (1)))="Agregar cuotas", IF(("16%")="", "-", "16%"), IF(INDIRECT(ADDRESS(ROW() + (0),COLUMN() + (1)))="No agregar cuotas", IF(("16%")="", "-", "16%"), "-"))</f>
        <v/>
      </c>
      <c r="K256" s="0" t="inlineStr">
        <is>
          <t>No agregar cuotas</t>
        </is>
      </c>
      <c r="L256" s="31">
        <f>IF(INDIRECT(ADDRESS(ROW() + (0),COLUMN() + (-1)))="Agregar cuotas", IF(("13.4%")="", "Sin costo", "13.4%"), IF(INDIRECT(ADDRESS(ROW() + (0),COLUMN() + (-1)))="No agregar cuotas", IF(("")="", "Sin costo", ""), "-"))</f>
        <v/>
      </c>
      <c r="M256" s="0" t="inlineStr">
        <is>
          <t>Mercado Envíos</t>
        </is>
      </c>
      <c r="N256" s="0" t="inlineStr">
        <is>
          <t>A cargo del comprador</t>
        </is>
      </c>
      <c r="O256" s="0" t="inlineStr">
        <is>
          <t>Acepto</t>
        </is>
      </c>
      <c r="P256" s="47" t="inlineStr">
        <is>
          <t>Sin garantía</t>
        </is>
      </c>
      <c r="R256" s="0" t="inlineStr">
        <is>
          <t>Seleccionar</t>
        </is>
      </c>
      <c r="S256" s="0" t="inlineStr">
        <is>
          <t>No ofrezco</t>
        </is>
      </c>
      <c r="T256" t="n">
        <v>1939</v>
      </c>
      <c r="U256" s="0" t="inlineStr">
        <is>
          <t>Argentina</t>
        </is>
      </c>
      <c r="X256" s="0" t="inlineStr">
        <is>
          <t>Níquel</t>
        </is>
      </c>
      <c r="Z256" t="inlineStr">
        <is>
          <t>2 Centavos</t>
        </is>
      </c>
      <c r="AA256" s="0" t="inlineStr">
        <is>
          <t>Peso</t>
        </is>
      </c>
      <c r="AB2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6" s="53">
        <f>IF(OR(TRIM(INDIRECT("B"&amp;ROW())) &lt;&gt; "",TRIM(INDIRECT("A"&amp;ROW())) &lt;&gt; ""),AND(TRIM(INDIRECT("A"&amp;ROW())) &lt;&gt; "",TRIM(INDIRECT("D"&amp;ROW())) = "nuevo"),"")</f>
        <v/>
      </c>
    </row>
    <row r="257" ht="27.5" customHeight="1" s="62">
      <c r="B257" t="inlineStr">
        <is>
          <t>Moneda Argentina 2 Centavos 1939</t>
        </is>
      </c>
      <c r="C257" s="0">
        <f>LEN(INDIRECT(ADDRESS(ROW() + (0),COLUMN() + (-1))))</f>
        <v/>
      </c>
      <c r="D257" s="0" t="inlineStr">
        <is>
          <t>Usado</t>
        </is>
      </c>
      <c r="E257" s="38" t="inlineStr">
        <is>
          <t>https://numismaticapopper.com/images/629A.jpeg,https://numismaticapopper.com/images/629B.jpeg</t>
        </is>
      </c>
      <c r="F257" t="inlineStr">
        <is>
          <t>629</t>
        </is>
      </c>
      <c r="G257" s="40" t="n">
        <v>1</v>
      </c>
      <c r="H257" t="n">
        <v>9000</v>
      </c>
      <c r="I257" t="inlineStr">
        <is>
          <t>Referencia de catalogo: CJ# 174
brillo original</t>
        </is>
      </c>
      <c r="J257" s="31">
        <f>IF(INDIRECT(ADDRESS(ROW() + (0),COLUMN() + (1)))="Agregar cuotas", IF(("16%")="", "-", "16%"), IF(INDIRECT(ADDRESS(ROW() + (0),COLUMN() + (1)))="No agregar cuotas", IF(("16%")="", "-", "16%"), "-"))</f>
        <v/>
      </c>
      <c r="K257" s="0" t="inlineStr">
        <is>
          <t>No agregar cuotas</t>
        </is>
      </c>
      <c r="L257" s="31">
        <f>IF(INDIRECT(ADDRESS(ROW() + (0),COLUMN() + (-1)))="Agregar cuotas", IF(("13.4%")="", "Sin costo", "13.4%"), IF(INDIRECT(ADDRESS(ROW() + (0),COLUMN() + (-1)))="No agregar cuotas", IF(("")="", "Sin costo", ""), "-"))</f>
        <v/>
      </c>
      <c r="M257" s="0" t="inlineStr">
        <is>
          <t>Mercado Envíos</t>
        </is>
      </c>
      <c r="N257" s="0" t="inlineStr">
        <is>
          <t>A cargo del comprador</t>
        </is>
      </c>
      <c r="O257" s="0" t="inlineStr">
        <is>
          <t>Acepto</t>
        </is>
      </c>
      <c r="P257" s="47" t="inlineStr">
        <is>
          <t>Sin garantía</t>
        </is>
      </c>
      <c r="R257" s="0" t="inlineStr">
        <is>
          <t>Seleccionar</t>
        </is>
      </c>
      <c r="S257" s="0" t="inlineStr">
        <is>
          <t>No ofrezco</t>
        </is>
      </c>
      <c r="T257" t="n">
        <v>1939</v>
      </c>
      <c r="U257" s="0" t="inlineStr">
        <is>
          <t>Argentina</t>
        </is>
      </c>
      <c r="X257" s="0" t="inlineStr">
        <is>
          <t>Níquel</t>
        </is>
      </c>
      <c r="Z257" t="inlineStr">
        <is>
          <t>2 Centavos</t>
        </is>
      </c>
      <c r="AA257" s="0" t="inlineStr">
        <is>
          <t>Peso</t>
        </is>
      </c>
      <c r="AB2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7" s="53">
        <f>IF(OR(TRIM(INDIRECT("B"&amp;ROW())) &lt;&gt; "",TRIM(INDIRECT("A"&amp;ROW())) &lt;&gt; ""),AND(TRIM(INDIRECT("A"&amp;ROW())) &lt;&gt; "",TRIM(INDIRECT("D"&amp;ROW())) = "nuevo"),"")</f>
        <v/>
      </c>
    </row>
    <row r="258" ht="27.5" customHeight="1" s="62">
      <c r="B258" t="inlineStr">
        <is>
          <t>Moneda Argentina 2 Centavos 1940</t>
        </is>
      </c>
      <c r="C258" s="0">
        <f>LEN(INDIRECT(ADDRESS(ROW() + (0),COLUMN() + (-1))))</f>
        <v/>
      </c>
      <c r="D258" s="0" t="inlineStr">
        <is>
          <t>Usado</t>
        </is>
      </c>
      <c r="E258" s="38" t="inlineStr">
        <is>
          <t>https://numismaticapopper.com/images/630A.jpeg,https://numismaticapopper.com/images/630B.jpeg</t>
        </is>
      </c>
      <c r="F258" t="inlineStr">
        <is>
          <t>630</t>
        </is>
      </c>
      <c r="G258" s="40" t="n">
        <v>1</v>
      </c>
      <c r="H258" t="n">
        <v>7000</v>
      </c>
      <c r="I258" t="inlineStr">
        <is>
          <t>Referencia de catalogo: CJ# 175
limpiada</t>
        </is>
      </c>
      <c r="J258" s="31">
        <f>IF(INDIRECT(ADDRESS(ROW() + (0),COLUMN() + (1)))="Agregar cuotas", IF(("16%")="", "-", "16%"), IF(INDIRECT(ADDRESS(ROW() + (0),COLUMN() + (1)))="No agregar cuotas", IF(("16%")="", "-", "16%"), "-"))</f>
        <v/>
      </c>
      <c r="K258" s="0" t="inlineStr">
        <is>
          <t>No agregar cuotas</t>
        </is>
      </c>
      <c r="L258" s="31">
        <f>IF(INDIRECT(ADDRESS(ROW() + (0),COLUMN() + (-1)))="Agregar cuotas", IF(("13.4%")="", "Sin costo", "13.4%"), IF(INDIRECT(ADDRESS(ROW() + (0),COLUMN() + (-1)))="No agregar cuotas", IF(("")="", "Sin costo", ""), "-"))</f>
        <v/>
      </c>
      <c r="M258" s="0" t="inlineStr">
        <is>
          <t>Mercado Envíos</t>
        </is>
      </c>
      <c r="N258" s="0" t="inlineStr">
        <is>
          <t>A cargo del comprador</t>
        </is>
      </c>
      <c r="O258" s="0" t="inlineStr">
        <is>
          <t>Acepto</t>
        </is>
      </c>
      <c r="P258" s="47" t="inlineStr">
        <is>
          <t>Sin garantía</t>
        </is>
      </c>
      <c r="R258" s="0" t="inlineStr">
        <is>
          <t>Seleccionar</t>
        </is>
      </c>
      <c r="S258" s="0" t="inlineStr">
        <is>
          <t>No ofrezco</t>
        </is>
      </c>
      <c r="T258" t="n">
        <v>1940</v>
      </c>
      <c r="U258" s="0" t="inlineStr">
        <is>
          <t>Argentina</t>
        </is>
      </c>
      <c r="X258" s="0" t="inlineStr">
        <is>
          <t>Níquel</t>
        </is>
      </c>
      <c r="Z258" t="inlineStr">
        <is>
          <t>2 Centavos</t>
        </is>
      </c>
      <c r="AA258" s="0" t="inlineStr">
        <is>
          <t>Peso</t>
        </is>
      </c>
      <c r="AB2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8" s="53">
        <f>IF(OR(TRIM(INDIRECT("B"&amp;ROW())) &lt;&gt; "",TRIM(INDIRECT("A"&amp;ROW())) &lt;&gt; ""),AND(TRIM(INDIRECT("A"&amp;ROW())) &lt;&gt; "",TRIM(INDIRECT("D"&amp;ROW())) = "nuevo"),"")</f>
        <v/>
      </c>
    </row>
    <row r="259" ht="27.5" customHeight="1" s="62">
      <c r="B259" t="inlineStr">
        <is>
          <t>Moneda Argentina 2 Centavos 1940</t>
        </is>
      </c>
      <c r="C259" s="0">
        <f>LEN(INDIRECT(ADDRESS(ROW() + (0),COLUMN() + (-1))))</f>
        <v/>
      </c>
      <c r="D259" s="0" t="inlineStr">
        <is>
          <t>Usado</t>
        </is>
      </c>
      <c r="E259" s="38" t="inlineStr">
        <is>
          <t>https://numismaticapopper.com/images/631A.jpeg,https://numismaticapopper.com/images/631B.jpeg</t>
        </is>
      </c>
      <c r="F259" t="inlineStr">
        <is>
          <t>631</t>
        </is>
      </c>
      <c r="G259" s="40" t="n">
        <v>1</v>
      </c>
      <c r="H259" t="n">
        <v>7000</v>
      </c>
      <c r="I259" t="inlineStr">
        <is>
          <t>Referencia de catalogo: CJ# 175
marron</t>
        </is>
      </c>
      <c r="J259" s="31">
        <f>IF(INDIRECT(ADDRESS(ROW() + (0),COLUMN() + (1)))="Agregar cuotas", IF(("16%")="", "-", "16%"), IF(INDIRECT(ADDRESS(ROW() + (0),COLUMN() + (1)))="No agregar cuotas", IF(("16%")="", "-", "16%"), "-"))</f>
        <v/>
      </c>
      <c r="K259" s="0" t="inlineStr">
        <is>
          <t>No agregar cuotas</t>
        </is>
      </c>
      <c r="L259" s="31">
        <f>IF(INDIRECT(ADDRESS(ROW() + (0),COLUMN() + (-1)))="Agregar cuotas", IF(("13.4%")="", "Sin costo", "13.4%"), IF(INDIRECT(ADDRESS(ROW() + (0),COLUMN() + (-1)))="No agregar cuotas", IF(("")="", "Sin costo", ""), "-"))</f>
        <v/>
      </c>
      <c r="M259" s="0" t="inlineStr">
        <is>
          <t>Mercado Envíos</t>
        </is>
      </c>
      <c r="N259" s="0" t="inlineStr">
        <is>
          <t>A cargo del comprador</t>
        </is>
      </c>
      <c r="O259" s="0" t="inlineStr">
        <is>
          <t>Acepto</t>
        </is>
      </c>
      <c r="P259" s="47" t="inlineStr">
        <is>
          <t>Sin garantía</t>
        </is>
      </c>
      <c r="R259" s="0" t="inlineStr">
        <is>
          <t>Seleccionar</t>
        </is>
      </c>
      <c r="S259" s="0" t="inlineStr">
        <is>
          <t>No ofrezco</t>
        </is>
      </c>
      <c r="T259" t="n">
        <v>1940</v>
      </c>
      <c r="U259" s="0" t="inlineStr">
        <is>
          <t>Argentina</t>
        </is>
      </c>
      <c r="X259" s="0" t="inlineStr">
        <is>
          <t>Níquel</t>
        </is>
      </c>
      <c r="Z259" t="inlineStr">
        <is>
          <t>2 Centavos</t>
        </is>
      </c>
      <c r="AA259" s="0" t="inlineStr">
        <is>
          <t>Peso</t>
        </is>
      </c>
      <c r="AB2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59" s="53">
        <f>IF(OR(TRIM(INDIRECT("B"&amp;ROW())) &lt;&gt; "",TRIM(INDIRECT("A"&amp;ROW())) &lt;&gt; ""),AND(TRIM(INDIRECT("A"&amp;ROW())) &lt;&gt; "",TRIM(INDIRECT("D"&amp;ROW())) = "nuevo"),"")</f>
        <v/>
      </c>
    </row>
    <row r="260" ht="27.5" customHeight="1" s="62">
      <c r="B260" t="inlineStr">
        <is>
          <t>Moneda Argentina 2 Centavos 1941</t>
        </is>
      </c>
      <c r="C260" s="0">
        <f>LEN(INDIRECT(ADDRESS(ROW() + (0),COLUMN() + (-1))))</f>
        <v/>
      </c>
      <c r="D260" s="0" t="inlineStr">
        <is>
          <t>Usado</t>
        </is>
      </c>
      <c r="E260" s="38" t="inlineStr">
        <is>
          <t>https://numismaticapopper.com/images/632A.jpeg,https://numismaticapopper.com/images/632B.jpeg</t>
        </is>
      </c>
      <c r="F260" t="inlineStr">
        <is>
          <t>632</t>
        </is>
      </c>
      <c r="G260" s="40" t="n">
        <v>1</v>
      </c>
      <c r="H260" t="n">
        <v>7000</v>
      </c>
      <c r="I260" t="inlineStr">
        <is>
          <t>Referencia de catalogo: CJ# 176
limpiada</t>
        </is>
      </c>
      <c r="J260" s="31">
        <f>IF(INDIRECT(ADDRESS(ROW() + (0),COLUMN() + (1)))="Agregar cuotas", IF(("16%")="", "-", "16%"), IF(INDIRECT(ADDRESS(ROW() + (0),COLUMN() + (1)))="No agregar cuotas", IF(("16%")="", "-", "16%"), "-"))</f>
        <v/>
      </c>
      <c r="K260" s="0" t="inlineStr">
        <is>
          <t>No agregar cuotas</t>
        </is>
      </c>
      <c r="L260" s="31">
        <f>IF(INDIRECT(ADDRESS(ROW() + (0),COLUMN() + (-1)))="Agregar cuotas", IF(("13.4%")="", "Sin costo", "13.4%"), IF(INDIRECT(ADDRESS(ROW() + (0),COLUMN() + (-1)))="No agregar cuotas", IF(("")="", "Sin costo", ""), "-"))</f>
        <v/>
      </c>
      <c r="M260" s="0" t="inlineStr">
        <is>
          <t>Mercado Envíos</t>
        </is>
      </c>
      <c r="N260" s="0" t="inlineStr">
        <is>
          <t>A cargo del comprador</t>
        </is>
      </c>
      <c r="O260" s="0" t="inlineStr">
        <is>
          <t>Acepto</t>
        </is>
      </c>
      <c r="P260" s="47" t="inlineStr">
        <is>
          <t>Sin garantía</t>
        </is>
      </c>
      <c r="R260" s="0" t="inlineStr">
        <is>
          <t>Seleccionar</t>
        </is>
      </c>
      <c r="S260" s="0" t="inlineStr">
        <is>
          <t>No ofrezco</t>
        </is>
      </c>
      <c r="T260" t="n">
        <v>1941</v>
      </c>
      <c r="U260" s="0" t="inlineStr">
        <is>
          <t>Argentina</t>
        </is>
      </c>
      <c r="X260" s="0" t="inlineStr">
        <is>
          <t>Níquel</t>
        </is>
      </c>
      <c r="Z260" t="inlineStr">
        <is>
          <t>2 Centavos</t>
        </is>
      </c>
      <c r="AA260" s="0" t="inlineStr">
        <is>
          <t>Peso</t>
        </is>
      </c>
      <c r="AB2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0" s="53">
        <f>IF(OR(TRIM(INDIRECT("B"&amp;ROW())) &lt;&gt; "",TRIM(INDIRECT("A"&amp;ROW())) &lt;&gt; ""),AND(TRIM(INDIRECT("A"&amp;ROW())) &lt;&gt; "",TRIM(INDIRECT("D"&amp;ROW())) = "nuevo"),"")</f>
        <v/>
      </c>
    </row>
    <row r="261" ht="27.5" customHeight="1" s="62">
      <c r="B261" t="inlineStr">
        <is>
          <t>Moneda Argentina 2 Centavos 1941</t>
        </is>
      </c>
      <c r="C261" s="0">
        <f>LEN(INDIRECT(ADDRESS(ROW() + (0),COLUMN() + (-1))))</f>
        <v/>
      </c>
      <c r="D261" s="0" t="inlineStr">
        <is>
          <t>Usado</t>
        </is>
      </c>
      <c r="E261" s="38" t="inlineStr">
        <is>
          <t>https://numismaticapopper.com/images/633A.jpeg,https://numismaticapopper.com/images/633B.jpeg</t>
        </is>
      </c>
      <c r="F261" t="inlineStr">
        <is>
          <t>633</t>
        </is>
      </c>
      <c r="G261" s="40" t="n">
        <v>1</v>
      </c>
      <c r="H261" t="n">
        <v>7000</v>
      </c>
      <c r="I261" t="inlineStr">
        <is>
          <t>Referencia de catalogo: CJ# 176
marron</t>
        </is>
      </c>
      <c r="J261" s="31">
        <f>IF(INDIRECT(ADDRESS(ROW() + (0),COLUMN() + (1)))="Agregar cuotas", IF(("16%")="", "-", "16%"), IF(INDIRECT(ADDRESS(ROW() + (0),COLUMN() + (1)))="No agregar cuotas", IF(("16%")="", "-", "16%"), "-"))</f>
        <v/>
      </c>
      <c r="K261" s="0" t="inlineStr">
        <is>
          <t>No agregar cuotas</t>
        </is>
      </c>
      <c r="L261" s="31">
        <f>IF(INDIRECT(ADDRESS(ROW() + (0),COLUMN() + (-1)))="Agregar cuotas", IF(("13.4%")="", "Sin costo", "13.4%"), IF(INDIRECT(ADDRESS(ROW() + (0),COLUMN() + (-1)))="No agregar cuotas", IF(("")="", "Sin costo", ""), "-"))</f>
        <v/>
      </c>
      <c r="M261" s="0" t="inlineStr">
        <is>
          <t>Mercado Envíos</t>
        </is>
      </c>
      <c r="N261" s="0" t="inlineStr">
        <is>
          <t>A cargo del comprador</t>
        </is>
      </c>
      <c r="O261" s="0" t="inlineStr">
        <is>
          <t>Acepto</t>
        </is>
      </c>
      <c r="P261" s="47" t="inlineStr">
        <is>
          <t>Sin garantía</t>
        </is>
      </c>
      <c r="R261" s="0" t="inlineStr">
        <is>
          <t>Seleccionar</t>
        </is>
      </c>
      <c r="S261" s="0" t="inlineStr">
        <is>
          <t>No ofrezco</t>
        </is>
      </c>
      <c r="T261" t="n">
        <v>1941</v>
      </c>
      <c r="U261" s="0" t="inlineStr">
        <is>
          <t>Argentina</t>
        </is>
      </c>
      <c r="X261" s="0" t="inlineStr">
        <is>
          <t>Níquel</t>
        </is>
      </c>
      <c r="Z261" t="inlineStr">
        <is>
          <t>2 Centavos</t>
        </is>
      </c>
      <c r="AA261" s="0" t="inlineStr">
        <is>
          <t>Peso</t>
        </is>
      </c>
      <c r="AB2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1" s="53">
        <f>IF(OR(TRIM(INDIRECT("B"&amp;ROW())) &lt;&gt; "",TRIM(INDIRECT("A"&amp;ROW())) &lt;&gt; ""),AND(TRIM(INDIRECT("A"&amp;ROW())) &lt;&gt; "",TRIM(INDIRECT("D"&amp;ROW())) = "nuevo"),"")</f>
        <v/>
      </c>
    </row>
    <row r="262" ht="27.5" customHeight="1" s="62">
      <c r="B262" t="inlineStr">
        <is>
          <t>Moneda Argentina 2 Centavos 1941</t>
        </is>
      </c>
      <c r="C262" s="0">
        <f>LEN(INDIRECT(ADDRESS(ROW() + (0),COLUMN() + (-1))))</f>
        <v/>
      </c>
      <c r="D262" s="0" t="inlineStr">
        <is>
          <t>Usado</t>
        </is>
      </c>
      <c r="E262" s="38" t="inlineStr">
        <is>
          <t>https://numismaticapopper.com/images/634A.jpeg,https://numismaticapopper.com/images/634B.jpeg</t>
        </is>
      </c>
      <c r="F262" t="inlineStr">
        <is>
          <t>634</t>
        </is>
      </c>
      <c r="G262" s="40" t="n">
        <v>1</v>
      </c>
      <c r="H262" t="n">
        <v>9000</v>
      </c>
      <c r="I262" t="inlineStr">
        <is>
          <t>Referencia de catalogo: CJ# 176
brillo original</t>
        </is>
      </c>
      <c r="J262" s="31">
        <f>IF(INDIRECT(ADDRESS(ROW() + (0),COLUMN() + (1)))="Agregar cuotas", IF(("16%")="", "-", "16%"), IF(INDIRECT(ADDRESS(ROW() + (0),COLUMN() + (1)))="No agregar cuotas", IF(("16%")="", "-", "16%"), "-"))</f>
        <v/>
      </c>
      <c r="K262" s="0" t="inlineStr">
        <is>
          <t>No agregar cuotas</t>
        </is>
      </c>
      <c r="L262" s="31">
        <f>IF(INDIRECT(ADDRESS(ROW() + (0),COLUMN() + (-1)))="Agregar cuotas", IF(("13.4%")="", "Sin costo", "13.4%"), IF(INDIRECT(ADDRESS(ROW() + (0),COLUMN() + (-1)))="No agregar cuotas", IF(("")="", "Sin costo", ""), "-"))</f>
        <v/>
      </c>
      <c r="M262" s="0" t="inlineStr">
        <is>
          <t>Mercado Envíos</t>
        </is>
      </c>
      <c r="N262" s="0" t="inlineStr">
        <is>
          <t>A cargo del comprador</t>
        </is>
      </c>
      <c r="O262" s="0" t="inlineStr">
        <is>
          <t>Acepto</t>
        </is>
      </c>
      <c r="P262" s="47" t="inlineStr">
        <is>
          <t>Sin garantía</t>
        </is>
      </c>
      <c r="R262" s="0" t="inlineStr">
        <is>
          <t>Seleccionar</t>
        </is>
      </c>
      <c r="S262" s="0" t="inlineStr">
        <is>
          <t>No ofrezco</t>
        </is>
      </c>
      <c r="T262" t="n">
        <v>1941</v>
      </c>
      <c r="U262" s="0" t="inlineStr">
        <is>
          <t>Argentina</t>
        </is>
      </c>
      <c r="X262" s="0" t="inlineStr">
        <is>
          <t>Níquel</t>
        </is>
      </c>
      <c r="Z262" t="inlineStr">
        <is>
          <t>2 Centavos</t>
        </is>
      </c>
      <c r="AA262" s="0" t="inlineStr">
        <is>
          <t>Peso</t>
        </is>
      </c>
      <c r="AB2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2" s="53">
        <f>IF(OR(TRIM(INDIRECT("B"&amp;ROW())) &lt;&gt; "",TRIM(INDIRECT("A"&amp;ROW())) &lt;&gt; ""),AND(TRIM(INDIRECT("A"&amp;ROW())) &lt;&gt; "",TRIM(INDIRECT("D"&amp;ROW())) = "nuevo"),"")</f>
        <v/>
      </c>
    </row>
    <row r="263" ht="27.5" customHeight="1" s="62">
      <c r="B263" t="inlineStr">
        <is>
          <t>Moneda Argentina 2 Centavos 1942</t>
        </is>
      </c>
      <c r="C263" s="0">
        <f>LEN(INDIRECT(ADDRESS(ROW() + (0),COLUMN() + (-1))))</f>
        <v/>
      </c>
      <c r="D263" s="0" t="inlineStr">
        <is>
          <t>Usado</t>
        </is>
      </c>
      <c r="E263" s="38" t="inlineStr">
        <is>
          <t>https://numismaticapopper.com/images/636A.jpeg,https://numismaticapopper.com/images/636B.jpeg</t>
        </is>
      </c>
      <c r="F263" t="inlineStr">
        <is>
          <t>636</t>
        </is>
      </c>
      <c r="G263" s="40" t="n">
        <v>1</v>
      </c>
      <c r="H263" t="n">
        <v>7000</v>
      </c>
      <c r="I263" t="inlineStr">
        <is>
          <t>Referencia de catalogo: CJ# 177
marron</t>
        </is>
      </c>
      <c r="J263" s="31">
        <f>IF(INDIRECT(ADDRESS(ROW() + (0),COLUMN() + (1)))="Agregar cuotas", IF(("16%")="", "-", "16%"), IF(INDIRECT(ADDRESS(ROW() + (0),COLUMN() + (1)))="No agregar cuotas", IF(("16%")="", "-", "16%"), "-"))</f>
        <v/>
      </c>
      <c r="K263" s="0" t="inlineStr">
        <is>
          <t>No agregar cuotas</t>
        </is>
      </c>
      <c r="L263" s="31">
        <f>IF(INDIRECT(ADDRESS(ROW() + (0),COLUMN() + (-1)))="Agregar cuotas", IF(("13.4%")="", "Sin costo", "13.4%"), IF(INDIRECT(ADDRESS(ROW() + (0),COLUMN() + (-1)))="No agregar cuotas", IF(("")="", "Sin costo", ""), "-"))</f>
        <v/>
      </c>
      <c r="M263" s="0" t="inlineStr">
        <is>
          <t>Mercado Envíos</t>
        </is>
      </c>
      <c r="N263" s="0" t="inlineStr">
        <is>
          <t>A cargo del comprador</t>
        </is>
      </c>
      <c r="O263" s="0" t="inlineStr">
        <is>
          <t>Acepto</t>
        </is>
      </c>
      <c r="P263" s="47" t="inlineStr">
        <is>
          <t>Sin garantía</t>
        </is>
      </c>
      <c r="R263" s="0" t="inlineStr">
        <is>
          <t>Seleccionar</t>
        </is>
      </c>
      <c r="S263" s="0" t="inlineStr">
        <is>
          <t>No ofrezco</t>
        </is>
      </c>
      <c r="T263" t="n">
        <v>1942</v>
      </c>
      <c r="U263" s="0" t="inlineStr">
        <is>
          <t>Argentina</t>
        </is>
      </c>
      <c r="X263" s="0" t="inlineStr">
        <is>
          <t>Níquel</t>
        </is>
      </c>
      <c r="Z263" t="inlineStr">
        <is>
          <t>2 Centavos</t>
        </is>
      </c>
      <c r="AA263" s="0" t="inlineStr">
        <is>
          <t>Peso</t>
        </is>
      </c>
      <c r="AB2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3" s="53">
        <f>IF(OR(TRIM(INDIRECT("B"&amp;ROW())) &lt;&gt; "",TRIM(INDIRECT("A"&amp;ROW())) &lt;&gt; ""),AND(TRIM(INDIRECT("A"&amp;ROW())) &lt;&gt; "",TRIM(INDIRECT("D"&amp;ROW())) = "nuevo"),"")</f>
        <v/>
      </c>
    </row>
    <row r="264" ht="27.5" customHeight="1" s="62">
      <c r="B264" t="inlineStr">
        <is>
          <t>Moneda Argentina 2 Centavos 1942</t>
        </is>
      </c>
      <c r="C264" s="0">
        <f>LEN(INDIRECT(ADDRESS(ROW() + (0),COLUMN() + (-1))))</f>
        <v/>
      </c>
      <c r="D264" s="0" t="inlineStr">
        <is>
          <t>Usado</t>
        </is>
      </c>
      <c r="E264" s="38" t="inlineStr">
        <is>
          <t>https://numismaticapopper.com/images/637A.jpeg,https://numismaticapopper.com/images/637B.jpeg</t>
        </is>
      </c>
      <c r="F264" t="inlineStr">
        <is>
          <t>637</t>
        </is>
      </c>
      <c r="G264" s="40" t="n">
        <v>1</v>
      </c>
      <c r="H264" t="n">
        <v>11000</v>
      </c>
      <c r="I264" t="inlineStr">
        <is>
          <t>Referencia de catalogo: CJ# 177
brillo original</t>
        </is>
      </c>
      <c r="J264" s="31">
        <f>IF(INDIRECT(ADDRESS(ROW() + (0),COLUMN() + (1)))="Agregar cuotas", IF(("16%")="", "-", "16%"), IF(INDIRECT(ADDRESS(ROW() + (0),COLUMN() + (1)))="No agregar cuotas", IF(("16%")="", "-", "16%"), "-"))</f>
        <v/>
      </c>
      <c r="K264" s="0" t="inlineStr">
        <is>
          <t>No agregar cuotas</t>
        </is>
      </c>
      <c r="L264" s="31">
        <f>IF(INDIRECT(ADDRESS(ROW() + (0),COLUMN() + (-1)))="Agregar cuotas", IF(("13.4%")="", "Sin costo", "13.4%"), IF(INDIRECT(ADDRESS(ROW() + (0),COLUMN() + (-1)))="No agregar cuotas", IF(("")="", "Sin costo", ""), "-"))</f>
        <v/>
      </c>
      <c r="M264" s="0" t="inlineStr">
        <is>
          <t>Mercado Envíos</t>
        </is>
      </c>
      <c r="N264" s="0" t="inlineStr">
        <is>
          <t>A cargo del comprador</t>
        </is>
      </c>
      <c r="O264" s="0" t="inlineStr">
        <is>
          <t>Acepto</t>
        </is>
      </c>
      <c r="P264" s="47" t="inlineStr">
        <is>
          <t>Sin garantía</t>
        </is>
      </c>
      <c r="R264" s="0" t="inlineStr">
        <is>
          <t>Seleccionar</t>
        </is>
      </c>
      <c r="S264" s="0" t="inlineStr">
        <is>
          <t>No ofrezco</t>
        </is>
      </c>
      <c r="T264" t="n">
        <v>1942</v>
      </c>
      <c r="U264" s="0" t="inlineStr">
        <is>
          <t>Argentina</t>
        </is>
      </c>
      <c r="X264" s="0" t="inlineStr">
        <is>
          <t>Níquel</t>
        </is>
      </c>
      <c r="Z264" t="inlineStr">
        <is>
          <t>2 Centavos</t>
        </is>
      </c>
      <c r="AA264" s="0" t="inlineStr">
        <is>
          <t>Peso</t>
        </is>
      </c>
      <c r="AB2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4" s="53">
        <f>IF(OR(TRIM(INDIRECT("B"&amp;ROW())) &lt;&gt; "",TRIM(INDIRECT("A"&amp;ROW())) &lt;&gt; ""),AND(TRIM(INDIRECT("A"&amp;ROW())) &lt;&gt; "",TRIM(INDIRECT("D"&amp;ROW())) = "nuevo"),"")</f>
        <v/>
      </c>
    </row>
    <row r="265" ht="27.5" customHeight="1" s="62">
      <c r="B265" t="inlineStr">
        <is>
          <t>Moneda Argentina 2 Centavos 1945</t>
        </is>
      </c>
      <c r="C265" s="0">
        <f>LEN(INDIRECT(ADDRESS(ROW() + (0),COLUMN() + (-1))))</f>
        <v/>
      </c>
      <c r="D265" s="0" t="inlineStr">
        <is>
          <t>Usado</t>
        </is>
      </c>
      <c r="E265" s="38" t="inlineStr">
        <is>
          <t>https://numismaticapopper.com/images/638A.jpeg,https://numismaticapopper.com/images/638B.jpeg</t>
        </is>
      </c>
      <c r="F265" t="inlineStr">
        <is>
          <t>638</t>
        </is>
      </c>
      <c r="G265" s="40" t="n">
        <v>1</v>
      </c>
      <c r="H265" t="n">
        <v>7000</v>
      </c>
      <c r="I265" t="inlineStr">
        <is>
          <t>Referencia de catalogo: CJ# 179
limpiada</t>
        </is>
      </c>
      <c r="J265" s="31">
        <f>IF(INDIRECT(ADDRESS(ROW() + (0),COLUMN() + (1)))="Agregar cuotas", IF(("16%")="", "-", "16%"), IF(INDIRECT(ADDRESS(ROW() + (0),COLUMN() + (1)))="No agregar cuotas", IF(("16%")="", "-", "16%"), "-"))</f>
        <v/>
      </c>
      <c r="K265" s="0" t="inlineStr">
        <is>
          <t>No agregar cuotas</t>
        </is>
      </c>
      <c r="L265" s="31">
        <f>IF(INDIRECT(ADDRESS(ROW() + (0),COLUMN() + (-1)))="Agregar cuotas", IF(("13.4%")="", "Sin costo", "13.4%"), IF(INDIRECT(ADDRESS(ROW() + (0),COLUMN() + (-1)))="No agregar cuotas", IF(("")="", "Sin costo", ""), "-"))</f>
        <v/>
      </c>
      <c r="M265" s="0" t="inlineStr">
        <is>
          <t>Mercado Envíos</t>
        </is>
      </c>
      <c r="N265" s="0" t="inlineStr">
        <is>
          <t>A cargo del comprador</t>
        </is>
      </c>
      <c r="O265" s="0" t="inlineStr">
        <is>
          <t>Acepto</t>
        </is>
      </c>
      <c r="P265" s="47" t="inlineStr">
        <is>
          <t>Sin garantía</t>
        </is>
      </c>
      <c r="R265" s="0" t="inlineStr">
        <is>
          <t>Seleccionar</t>
        </is>
      </c>
      <c r="S265" s="0" t="inlineStr">
        <is>
          <t>No ofrezco</t>
        </is>
      </c>
      <c r="T265" t="n">
        <v>1945</v>
      </c>
      <c r="U265" s="0" t="inlineStr">
        <is>
          <t>Argentina</t>
        </is>
      </c>
      <c r="X265" s="0" t="inlineStr">
        <is>
          <t>Níquel</t>
        </is>
      </c>
      <c r="Z265" t="inlineStr">
        <is>
          <t>2 Centavos</t>
        </is>
      </c>
      <c r="AA265" s="0" t="inlineStr">
        <is>
          <t>Peso</t>
        </is>
      </c>
      <c r="AB2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5" s="53">
        <f>IF(OR(TRIM(INDIRECT("B"&amp;ROW())) &lt;&gt; "",TRIM(INDIRECT("A"&amp;ROW())) &lt;&gt; ""),AND(TRIM(INDIRECT("A"&amp;ROW())) &lt;&gt; "",TRIM(INDIRECT("D"&amp;ROW())) = "nuevo"),"")</f>
        <v/>
      </c>
    </row>
    <row r="266" ht="27.5" customHeight="1" s="62">
      <c r="B266" t="inlineStr">
        <is>
          <t>Moneda Argentina 2 Centavos 1945</t>
        </is>
      </c>
      <c r="C266" s="0">
        <f>LEN(INDIRECT(ADDRESS(ROW() + (0),COLUMN() + (-1))))</f>
        <v/>
      </c>
      <c r="D266" s="0" t="inlineStr">
        <is>
          <t>Usado</t>
        </is>
      </c>
      <c r="E266" s="38" t="inlineStr">
        <is>
          <t>https://numismaticapopper.com/images/639A.jpeg,https://numismaticapopper.com/images/639B.jpeg</t>
        </is>
      </c>
      <c r="F266" t="inlineStr">
        <is>
          <t>639</t>
        </is>
      </c>
      <c r="G266" s="40" t="n">
        <v>1</v>
      </c>
      <c r="H266" t="n">
        <v>7000</v>
      </c>
      <c r="I266" t="inlineStr">
        <is>
          <t>Referencia de catalogo: CJ# 179
marron</t>
        </is>
      </c>
      <c r="J266" s="31">
        <f>IF(INDIRECT(ADDRESS(ROW() + (0),COLUMN() + (1)))="Agregar cuotas", IF(("16%")="", "-", "16%"), IF(INDIRECT(ADDRESS(ROW() + (0),COLUMN() + (1)))="No agregar cuotas", IF(("16%")="", "-", "16%"), "-"))</f>
        <v/>
      </c>
      <c r="K266" s="0" t="inlineStr">
        <is>
          <t>No agregar cuotas</t>
        </is>
      </c>
      <c r="L266" s="31">
        <f>IF(INDIRECT(ADDRESS(ROW() + (0),COLUMN() + (-1)))="Agregar cuotas", IF(("13.4%")="", "Sin costo", "13.4%"), IF(INDIRECT(ADDRESS(ROW() + (0),COLUMN() + (-1)))="No agregar cuotas", IF(("")="", "Sin costo", ""), "-"))</f>
        <v/>
      </c>
      <c r="M266" s="0" t="inlineStr">
        <is>
          <t>Mercado Envíos</t>
        </is>
      </c>
      <c r="N266" s="0" t="inlineStr">
        <is>
          <t>A cargo del comprador</t>
        </is>
      </c>
      <c r="O266" s="0" t="inlineStr">
        <is>
          <t>Acepto</t>
        </is>
      </c>
      <c r="P266" s="47" t="inlineStr">
        <is>
          <t>Sin garantía</t>
        </is>
      </c>
      <c r="R266" s="0" t="inlineStr">
        <is>
          <t>Seleccionar</t>
        </is>
      </c>
      <c r="S266" s="0" t="inlineStr">
        <is>
          <t>No ofrezco</t>
        </is>
      </c>
      <c r="T266" t="n">
        <v>1945</v>
      </c>
      <c r="U266" s="0" t="inlineStr">
        <is>
          <t>Argentina</t>
        </is>
      </c>
      <c r="X266" s="0" t="inlineStr">
        <is>
          <t>Níquel</t>
        </is>
      </c>
      <c r="Z266" t="inlineStr">
        <is>
          <t>2 Centavos</t>
        </is>
      </c>
      <c r="AA266" s="0" t="inlineStr">
        <is>
          <t>Peso</t>
        </is>
      </c>
      <c r="AB2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6" s="53">
        <f>IF(OR(TRIM(INDIRECT("B"&amp;ROW())) &lt;&gt; "",TRIM(INDIRECT("A"&amp;ROW())) &lt;&gt; ""),AND(TRIM(INDIRECT("A"&amp;ROW())) &lt;&gt; "",TRIM(INDIRECT("D"&amp;ROW())) = "nuevo"),"")</f>
        <v/>
      </c>
    </row>
    <row r="267" ht="27.5" customHeight="1" s="62">
      <c r="B267" t="inlineStr">
        <is>
          <t>Moneda Argentina 2 Centavos 1945</t>
        </is>
      </c>
      <c r="C267" s="0">
        <f>LEN(INDIRECT(ADDRESS(ROW() + (0),COLUMN() + (-1))))</f>
        <v/>
      </c>
      <c r="D267" s="0" t="inlineStr">
        <is>
          <t>Usado</t>
        </is>
      </c>
      <c r="E267" s="38" t="inlineStr">
        <is>
          <t>https://numismaticapopper.com/images/640A.jpeg,https://numismaticapopper.com/images/640B.jpeg</t>
        </is>
      </c>
      <c r="F267" t="inlineStr">
        <is>
          <t>640</t>
        </is>
      </c>
      <c r="G267" s="40" t="n">
        <v>1</v>
      </c>
      <c r="H267" t="n">
        <v>9000</v>
      </c>
      <c r="I267" t="inlineStr">
        <is>
          <t>Referencia de catalogo: CJ# 179
brillo original</t>
        </is>
      </c>
      <c r="J267" s="31">
        <f>IF(INDIRECT(ADDRESS(ROW() + (0),COLUMN() + (1)))="Agregar cuotas", IF(("16%")="", "-", "16%"), IF(INDIRECT(ADDRESS(ROW() + (0),COLUMN() + (1)))="No agregar cuotas", IF(("16%")="", "-", "16%"), "-"))</f>
        <v/>
      </c>
      <c r="K267" s="0" t="inlineStr">
        <is>
          <t>No agregar cuotas</t>
        </is>
      </c>
      <c r="L267" s="31">
        <f>IF(INDIRECT(ADDRESS(ROW() + (0),COLUMN() + (-1)))="Agregar cuotas", IF(("13.4%")="", "Sin costo", "13.4%"), IF(INDIRECT(ADDRESS(ROW() + (0),COLUMN() + (-1)))="No agregar cuotas", IF(("")="", "Sin costo", ""), "-"))</f>
        <v/>
      </c>
      <c r="M267" s="0" t="inlineStr">
        <is>
          <t>Mercado Envíos</t>
        </is>
      </c>
      <c r="N267" s="0" t="inlineStr">
        <is>
          <t>A cargo del comprador</t>
        </is>
      </c>
      <c r="O267" s="0" t="inlineStr">
        <is>
          <t>Acepto</t>
        </is>
      </c>
      <c r="P267" s="47" t="inlineStr">
        <is>
          <t>Sin garantía</t>
        </is>
      </c>
      <c r="R267" s="0" t="inlineStr">
        <is>
          <t>Seleccionar</t>
        </is>
      </c>
      <c r="S267" s="0" t="inlineStr">
        <is>
          <t>No ofrezco</t>
        </is>
      </c>
      <c r="T267" t="n">
        <v>1945</v>
      </c>
      <c r="U267" s="0" t="inlineStr">
        <is>
          <t>Argentina</t>
        </is>
      </c>
      <c r="X267" s="0" t="inlineStr">
        <is>
          <t>Níquel</t>
        </is>
      </c>
      <c r="Z267" t="inlineStr">
        <is>
          <t>2 Centavos</t>
        </is>
      </c>
      <c r="AA267" s="0" t="inlineStr">
        <is>
          <t>Peso</t>
        </is>
      </c>
      <c r="AB2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7" s="53">
        <f>IF(OR(TRIM(INDIRECT("B"&amp;ROW())) &lt;&gt; "",TRIM(INDIRECT("A"&amp;ROW())) &lt;&gt; ""),AND(TRIM(INDIRECT("A"&amp;ROW())) &lt;&gt; "",TRIM(INDIRECT("D"&amp;ROW())) = "nuevo"),"")</f>
        <v/>
      </c>
    </row>
    <row r="268" ht="27.5" customHeight="1" s="62">
      <c r="B268" t="inlineStr">
        <is>
          <t>Moneda Argentina 2 Centavos 1946</t>
        </is>
      </c>
      <c r="C268" s="0">
        <f>LEN(INDIRECT(ADDRESS(ROW() + (0),COLUMN() + (-1))))</f>
        <v/>
      </c>
      <c r="D268" s="0" t="inlineStr">
        <is>
          <t>Usado</t>
        </is>
      </c>
      <c r="E268" s="38" t="inlineStr">
        <is>
          <t>https://numismaticapopper.com/images/641A.jpeg,https://numismaticapopper.com/images/641B.jpeg</t>
        </is>
      </c>
      <c r="F268" t="inlineStr">
        <is>
          <t>641</t>
        </is>
      </c>
      <c r="G268" s="40" t="n">
        <v>1</v>
      </c>
      <c r="H268" t="n">
        <v>7000</v>
      </c>
      <c r="I268" t="inlineStr">
        <is>
          <t>Referencia de catalogo: CJ# 180
limpiada</t>
        </is>
      </c>
      <c r="J268" s="31">
        <f>IF(INDIRECT(ADDRESS(ROW() + (0),COLUMN() + (1)))="Agregar cuotas", IF(("16%")="", "-", "16%"), IF(INDIRECT(ADDRESS(ROW() + (0),COLUMN() + (1)))="No agregar cuotas", IF(("16%")="", "-", "16%"), "-"))</f>
        <v/>
      </c>
      <c r="K268" s="0" t="inlineStr">
        <is>
          <t>No agregar cuotas</t>
        </is>
      </c>
      <c r="L268" s="31">
        <f>IF(INDIRECT(ADDRESS(ROW() + (0),COLUMN() + (-1)))="Agregar cuotas", IF(("13.4%")="", "Sin costo", "13.4%"), IF(INDIRECT(ADDRESS(ROW() + (0),COLUMN() + (-1)))="No agregar cuotas", IF(("")="", "Sin costo", ""), "-"))</f>
        <v/>
      </c>
      <c r="M268" s="0" t="inlineStr">
        <is>
          <t>Mercado Envíos</t>
        </is>
      </c>
      <c r="N268" s="0" t="inlineStr">
        <is>
          <t>A cargo del comprador</t>
        </is>
      </c>
      <c r="O268" s="0" t="inlineStr">
        <is>
          <t>Acepto</t>
        </is>
      </c>
      <c r="P268" s="47" t="inlineStr">
        <is>
          <t>Sin garantía</t>
        </is>
      </c>
      <c r="R268" s="0" t="inlineStr">
        <is>
          <t>Seleccionar</t>
        </is>
      </c>
      <c r="S268" s="0" t="inlineStr">
        <is>
          <t>No ofrezco</t>
        </is>
      </c>
      <c r="T268" t="n">
        <v>1946</v>
      </c>
      <c r="U268" s="0" t="inlineStr">
        <is>
          <t>Argentina</t>
        </is>
      </c>
      <c r="X268" s="0" t="inlineStr">
        <is>
          <t>Níquel</t>
        </is>
      </c>
      <c r="Z268" t="inlineStr">
        <is>
          <t>2 Centavos</t>
        </is>
      </c>
      <c r="AA268" s="0" t="inlineStr">
        <is>
          <t>Peso</t>
        </is>
      </c>
      <c r="AB2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8" s="53">
        <f>IF(OR(TRIM(INDIRECT("B"&amp;ROW())) &lt;&gt; "",TRIM(INDIRECT("A"&amp;ROW())) &lt;&gt; ""),AND(TRIM(INDIRECT("A"&amp;ROW())) &lt;&gt; "",TRIM(INDIRECT("D"&amp;ROW())) = "nuevo"),"")</f>
        <v/>
      </c>
    </row>
    <row r="269" ht="27.5" customHeight="1" s="62">
      <c r="B269" t="inlineStr">
        <is>
          <t>Moneda Argentina 2 Centavos 1946</t>
        </is>
      </c>
      <c r="C269" s="0">
        <f>LEN(INDIRECT(ADDRESS(ROW() + (0),COLUMN() + (-1))))</f>
        <v/>
      </c>
      <c r="D269" s="0" t="inlineStr">
        <is>
          <t>Usado</t>
        </is>
      </c>
      <c r="E269" s="38" t="inlineStr">
        <is>
          <t>https://numismaticapopper.com/images/642A.jpeg,https://numismaticapopper.com/images/642B.jpeg</t>
        </is>
      </c>
      <c r="F269" t="inlineStr">
        <is>
          <t>642</t>
        </is>
      </c>
      <c r="G269" s="40" t="n">
        <v>1</v>
      </c>
      <c r="H269" t="n">
        <v>7000</v>
      </c>
      <c r="I269" t="inlineStr">
        <is>
          <t>Referencia de catalogo: CJ# 180
marron</t>
        </is>
      </c>
      <c r="J269" s="31">
        <f>IF(INDIRECT(ADDRESS(ROW() + (0),COLUMN() + (1)))="Agregar cuotas", IF(("16%")="", "-", "16%"), IF(INDIRECT(ADDRESS(ROW() + (0),COLUMN() + (1)))="No agregar cuotas", IF(("16%")="", "-", "16%"), "-"))</f>
        <v/>
      </c>
      <c r="K269" s="0" t="inlineStr">
        <is>
          <t>No agregar cuotas</t>
        </is>
      </c>
      <c r="L269" s="31">
        <f>IF(INDIRECT(ADDRESS(ROW() + (0),COLUMN() + (-1)))="Agregar cuotas", IF(("13.4%")="", "Sin costo", "13.4%"), IF(INDIRECT(ADDRESS(ROW() + (0),COLUMN() + (-1)))="No agregar cuotas", IF(("")="", "Sin costo", ""), "-"))</f>
        <v/>
      </c>
      <c r="M269" s="0" t="inlineStr">
        <is>
          <t>Mercado Envíos</t>
        </is>
      </c>
      <c r="N269" s="0" t="inlineStr">
        <is>
          <t>A cargo del comprador</t>
        </is>
      </c>
      <c r="O269" s="0" t="inlineStr">
        <is>
          <t>Acepto</t>
        </is>
      </c>
      <c r="P269" s="47" t="inlineStr">
        <is>
          <t>Sin garantía</t>
        </is>
      </c>
      <c r="R269" s="0" t="inlineStr">
        <is>
          <t>Seleccionar</t>
        </is>
      </c>
      <c r="S269" s="0" t="inlineStr">
        <is>
          <t>No ofrezco</t>
        </is>
      </c>
      <c r="T269" t="n">
        <v>1946</v>
      </c>
      <c r="U269" s="0" t="inlineStr">
        <is>
          <t>Argentina</t>
        </is>
      </c>
      <c r="X269" s="0" t="inlineStr">
        <is>
          <t>Níquel</t>
        </is>
      </c>
      <c r="Z269" t="inlineStr">
        <is>
          <t>2 Centavos</t>
        </is>
      </c>
      <c r="AA269" s="0" t="inlineStr">
        <is>
          <t>Peso</t>
        </is>
      </c>
      <c r="AB2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69" s="53">
        <f>IF(OR(TRIM(INDIRECT("B"&amp;ROW())) &lt;&gt; "",TRIM(INDIRECT("A"&amp;ROW())) &lt;&gt; ""),AND(TRIM(INDIRECT("A"&amp;ROW())) &lt;&gt; "",TRIM(INDIRECT("D"&amp;ROW())) = "nuevo"),"")</f>
        <v/>
      </c>
    </row>
    <row r="270" ht="27.5" customHeight="1" s="62">
      <c r="B270" t="inlineStr">
        <is>
          <t>Moneda Argentina 2 Centavos 1947</t>
        </is>
      </c>
      <c r="C270" s="0">
        <f>LEN(INDIRECT(ADDRESS(ROW() + (0),COLUMN() + (-1))))</f>
        <v/>
      </c>
      <c r="D270" s="0" t="inlineStr">
        <is>
          <t>Usado</t>
        </is>
      </c>
      <c r="E270" s="38" t="inlineStr">
        <is>
          <t>https://numismaticapopper.com/images/644A.jpeg,https://numismaticapopper.com/images/644B.jpeg</t>
        </is>
      </c>
      <c r="F270" t="inlineStr">
        <is>
          <t>644</t>
        </is>
      </c>
      <c r="G270" s="40" t="n">
        <v>1</v>
      </c>
      <c r="H270" t="n">
        <v>7000</v>
      </c>
      <c r="I270" t="inlineStr">
        <is>
          <t>Referencia de catalogo: CJ# 181
limpiada</t>
        </is>
      </c>
      <c r="J270" s="31">
        <f>IF(INDIRECT(ADDRESS(ROW() + (0),COLUMN() + (1)))="Agregar cuotas", IF(("16%")="", "-", "16%"), IF(INDIRECT(ADDRESS(ROW() + (0),COLUMN() + (1)))="No agregar cuotas", IF(("16%")="", "-", "16%"), "-"))</f>
        <v/>
      </c>
      <c r="K270" s="0" t="inlineStr">
        <is>
          <t>No agregar cuotas</t>
        </is>
      </c>
      <c r="L270" s="31">
        <f>IF(INDIRECT(ADDRESS(ROW() + (0),COLUMN() + (-1)))="Agregar cuotas", IF(("13.4%")="", "Sin costo", "13.4%"), IF(INDIRECT(ADDRESS(ROW() + (0),COLUMN() + (-1)))="No agregar cuotas", IF(("")="", "Sin costo", ""), "-"))</f>
        <v/>
      </c>
      <c r="M270" s="0" t="inlineStr">
        <is>
          <t>Mercado Envíos</t>
        </is>
      </c>
      <c r="N270" s="0" t="inlineStr">
        <is>
          <t>A cargo del comprador</t>
        </is>
      </c>
      <c r="O270" s="0" t="inlineStr">
        <is>
          <t>Acepto</t>
        </is>
      </c>
      <c r="P270" s="47" t="inlineStr">
        <is>
          <t>Sin garantía</t>
        </is>
      </c>
      <c r="R270" s="0" t="inlineStr">
        <is>
          <t>Seleccionar</t>
        </is>
      </c>
      <c r="S270" s="0" t="inlineStr">
        <is>
          <t>No ofrezco</t>
        </is>
      </c>
      <c r="T270" t="n">
        <v>1947</v>
      </c>
      <c r="U270" s="0" t="inlineStr">
        <is>
          <t>Argentina</t>
        </is>
      </c>
      <c r="X270" s="0" t="inlineStr">
        <is>
          <t>Níquel</t>
        </is>
      </c>
      <c r="Z270" t="inlineStr">
        <is>
          <t>2 Centavos</t>
        </is>
      </c>
      <c r="AA270" s="0" t="inlineStr">
        <is>
          <t>Peso</t>
        </is>
      </c>
      <c r="AB2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0" s="53">
        <f>IF(OR(TRIM(INDIRECT("B"&amp;ROW())) &lt;&gt; "",TRIM(INDIRECT("A"&amp;ROW())) &lt;&gt; ""),AND(TRIM(INDIRECT("A"&amp;ROW())) &lt;&gt; "",TRIM(INDIRECT("D"&amp;ROW())) = "nuevo"),"")</f>
        <v/>
      </c>
    </row>
    <row r="271" ht="27.5" customHeight="1" s="62">
      <c r="B271" t="inlineStr">
        <is>
          <t>Moneda Argentina 2 Centavos 1947</t>
        </is>
      </c>
      <c r="C271" s="0">
        <f>LEN(INDIRECT(ADDRESS(ROW() + (0),COLUMN() + (-1))))</f>
        <v/>
      </c>
      <c r="D271" s="0" t="inlineStr">
        <is>
          <t>Usado</t>
        </is>
      </c>
      <c r="E271" s="38" t="inlineStr">
        <is>
          <t>https://numismaticapopper.com/images/645A.jpeg,https://numismaticapopper.com/images/645B.jpeg</t>
        </is>
      </c>
      <c r="F271" t="inlineStr">
        <is>
          <t>645</t>
        </is>
      </c>
      <c r="G271" s="40" t="n">
        <v>1</v>
      </c>
      <c r="H271" t="n">
        <v>7000</v>
      </c>
      <c r="I271" t="inlineStr">
        <is>
          <t>Referencia de catalogo: CJ# 181
marron</t>
        </is>
      </c>
      <c r="J271" s="31">
        <f>IF(INDIRECT(ADDRESS(ROW() + (0),COLUMN() + (1)))="Agregar cuotas", IF(("16%")="", "-", "16%"), IF(INDIRECT(ADDRESS(ROW() + (0),COLUMN() + (1)))="No agregar cuotas", IF(("16%")="", "-", "16%"), "-"))</f>
        <v/>
      </c>
      <c r="K271" s="0" t="inlineStr">
        <is>
          <t>No agregar cuotas</t>
        </is>
      </c>
      <c r="L271" s="31">
        <f>IF(INDIRECT(ADDRESS(ROW() + (0),COLUMN() + (-1)))="Agregar cuotas", IF(("13.4%")="", "Sin costo", "13.4%"), IF(INDIRECT(ADDRESS(ROW() + (0),COLUMN() + (-1)))="No agregar cuotas", IF(("")="", "Sin costo", ""), "-"))</f>
        <v/>
      </c>
      <c r="M271" s="0" t="inlineStr">
        <is>
          <t>Mercado Envíos</t>
        </is>
      </c>
      <c r="N271" s="0" t="inlineStr">
        <is>
          <t>A cargo del comprador</t>
        </is>
      </c>
      <c r="O271" s="0" t="inlineStr">
        <is>
          <t>Acepto</t>
        </is>
      </c>
      <c r="P271" s="47" t="inlineStr">
        <is>
          <t>Sin garantía</t>
        </is>
      </c>
      <c r="R271" s="0" t="inlineStr">
        <is>
          <t>Seleccionar</t>
        </is>
      </c>
      <c r="S271" s="0" t="inlineStr">
        <is>
          <t>No ofrezco</t>
        </is>
      </c>
      <c r="T271" t="n">
        <v>1947</v>
      </c>
      <c r="U271" s="0" t="inlineStr">
        <is>
          <t>Argentina</t>
        </is>
      </c>
      <c r="X271" s="0" t="inlineStr">
        <is>
          <t>Níquel</t>
        </is>
      </c>
      <c r="Z271" t="inlineStr">
        <is>
          <t>2 Centavos</t>
        </is>
      </c>
      <c r="AA271" s="0" t="inlineStr">
        <is>
          <t>Peso</t>
        </is>
      </c>
      <c r="AB2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1" s="53">
        <f>IF(OR(TRIM(INDIRECT("B"&amp;ROW())) &lt;&gt; "",TRIM(INDIRECT("A"&amp;ROW())) &lt;&gt; ""),AND(TRIM(INDIRECT("A"&amp;ROW())) &lt;&gt; "",TRIM(INDIRECT("D"&amp;ROW())) = "nuevo"),"")</f>
        <v/>
      </c>
    </row>
    <row r="272" ht="27.5" customHeight="1" s="62">
      <c r="B272" t="inlineStr">
        <is>
          <t>Moneda Argentina 2 Centavos 1948</t>
        </is>
      </c>
      <c r="C272" s="0">
        <f>LEN(INDIRECT(ADDRESS(ROW() + (0),COLUMN() + (-1))))</f>
        <v/>
      </c>
      <c r="D272" s="0" t="inlineStr">
        <is>
          <t>Usado</t>
        </is>
      </c>
      <c r="E272" s="38" t="inlineStr">
        <is>
          <t>https://numismaticapopper.com/images/647A.jpeg,https://numismaticapopper.com/images/647B.jpeg</t>
        </is>
      </c>
      <c r="F272" t="inlineStr">
        <is>
          <t>647</t>
        </is>
      </c>
      <c r="G272" s="40" t="n">
        <v>1</v>
      </c>
      <c r="H272" t="n">
        <v>7000</v>
      </c>
      <c r="I272" t="inlineStr">
        <is>
          <t>Referencia de catalogo: CJ# 182
limpiada</t>
        </is>
      </c>
      <c r="J272" s="31">
        <f>IF(INDIRECT(ADDRESS(ROW() + (0),COLUMN() + (1)))="Agregar cuotas", IF(("16%")="", "-", "16%"), IF(INDIRECT(ADDRESS(ROW() + (0),COLUMN() + (1)))="No agregar cuotas", IF(("16%")="", "-", "16%"), "-"))</f>
        <v/>
      </c>
      <c r="K272" s="0" t="inlineStr">
        <is>
          <t>No agregar cuotas</t>
        </is>
      </c>
      <c r="L272" s="31">
        <f>IF(INDIRECT(ADDRESS(ROW() + (0),COLUMN() + (-1)))="Agregar cuotas", IF(("13.4%")="", "Sin costo", "13.4%"), IF(INDIRECT(ADDRESS(ROW() + (0),COLUMN() + (-1)))="No agregar cuotas", IF(("")="", "Sin costo", ""), "-"))</f>
        <v/>
      </c>
      <c r="M272" s="0" t="inlineStr">
        <is>
          <t>Mercado Envíos</t>
        </is>
      </c>
      <c r="N272" s="0" t="inlineStr">
        <is>
          <t>A cargo del comprador</t>
        </is>
      </c>
      <c r="O272" s="0" t="inlineStr">
        <is>
          <t>Acepto</t>
        </is>
      </c>
      <c r="P272" s="47" t="inlineStr">
        <is>
          <t>Sin garantía</t>
        </is>
      </c>
      <c r="R272" s="0" t="inlineStr">
        <is>
          <t>Seleccionar</t>
        </is>
      </c>
      <c r="S272" s="0" t="inlineStr">
        <is>
          <t>No ofrezco</t>
        </is>
      </c>
      <c r="T272" t="n">
        <v>1948</v>
      </c>
      <c r="U272" s="0" t="inlineStr">
        <is>
          <t>Argentina</t>
        </is>
      </c>
      <c r="X272" s="0" t="inlineStr">
        <is>
          <t>Níquel</t>
        </is>
      </c>
      <c r="Z272" t="inlineStr">
        <is>
          <t>2 Centavos</t>
        </is>
      </c>
      <c r="AA272" s="0" t="inlineStr">
        <is>
          <t>Peso</t>
        </is>
      </c>
      <c r="AB2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2" s="53">
        <f>IF(OR(TRIM(INDIRECT("B"&amp;ROW())) &lt;&gt; "",TRIM(INDIRECT("A"&amp;ROW())) &lt;&gt; ""),AND(TRIM(INDIRECT("A"&amp;ROW())) &lt;&gt; "",TRIM(INDIRECT("D"&amp;ROW())) = "nuevo"),"")</f>
        <v/>
      </c>
    </row>
    <row r="273" ht="27.5" customHeight="1" s="62">
      <c r="B273" t="inlineStr">
        <is>
          <t>Moneda Argentina 2 Centavos 1948</t>
        </is>
      </c>
      <c r="C273" s="0">
        <f>LEN(INDIRECT(ADDRESS(ROW() + (0),COLUMN() + (-1))))</f>
        <v/>
      </c>
      <c r="D273" s="0" t="inlineStr">
        <is>
          <t>Usado</t>
        </is>
      </c>
      <c r="E273" s="38" t="inlineStr">
        <is>
          <t>https://numismaticapopper.com/images/648A.jpeg,https://numismaticapopper.com/images/648B.jpeg</t>
        </is>
      </c>
      <c r="F273" t="inlineStr">
        <is>
          <t>648</t>
        </is>
      </c>
      <c r="G273" s="40" t="n">
        <v>1</v>
      </c>
      <c r="H273" t="n">
        <v>7000</v>
      </c>
      <c r="I273" t="inlineStr">
        <is>
          <t>Referencia de catalogo: CJ# 182
marron</t>
        </is>
      </c>
      <c r="J273" s="31">
        <f>IF(INDIRECT(ADDRESS(ROW() + (0),COLUMN() + (1)))="Agregar cuotas", IF(("16%")="", "-", "16%"), IF(INDIRECT(ADDRESS(ROW() + (0),COLUMN() + (1)))="No agregar cuotas", IF(("16%")="", "-", "16%"), "-"))</f>
        <v/>
      </c>
      <c r="K273" s="0" t="inlineStr">
        <is>
          <t>No agregar cuotas</t>
        </is>
      </c>
      <c r="L273" s="31">
        <f>IF(INDIRECT(ADDRESS(ROW() + (0),COLUMN() + (-1)))="Agregar cuotas", IF(("13.4%")="", "Sin costo", "13.4%"), IF(INDIRECT(ADDRESS(ROW() + (0),COLUMN() + (-1)))="No agregar cuotas", IF(("")="", "Sin costo", ""), "-"))</f>
        <v/>
      </c>
      <c r="M273" s="0" t="inlineStr">
        <is>
          <t>Mercado Envíos</t>
        </is>
      </c>
      <c r="N273" s="0" t="inlineStr">
        <is>
          <t>A cargo del comprador</t>
        </is>
      </c>
      <c r="O273" s="0" t="inlineStr">
        <is>
          <t>Acepto</t>
        </is>
      </c>
      <c r="P273" s="47" t="inlineStr">
        <is>
          <t>Sin garantía</t>
        </is>
      </c>
      <c r="R273" s="0" t="inlineStr">
        <is>
          <t>Seleccionar</t>
        </is>
      </c>
      <c r="S273" s="0" t="inlineStr">
        <is>
          <t>No ofrezco</t>
        </is>
      </c>
      <c r="T273" t="n">
        <v>1948</v>
      </c>
      <c r="U273" s="0" t="inlineStr">
        <is>
          <t>Argentina</t>
        </is>
      </c>
      <c r="X273" s="0" t="inlineStr">
        <is>
          <t>Níquel</t>
        </is>
      </c>
      <c r="Z273" t="inlineStr">
        <is>
          <t>2 Centavos</t>
        </is>
      </c>
      <c r="AA273" s="0" t="inlineStr">
        <is>
          <t>Peso</t>
        </is>
      </c>
      <c r="AB2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3" s="53">
        <f>IF(OR(TRIM(INDIRECT("B"&amp;ROW())) &lt;&gt; "",TRIM(INDIRECT("A"&amp;ROW())) &lt;&gt; ""),AND(TRIM(INDIRECT("A"&amp;ROW())) &lt;&gt; "",TRIM(INDIRECT("D"&amp;ROW())) = "nuevo"),"")</f>
        <v/>
      </c>
    </row>
    <row r="274" ht="27.5" customHeight="1" s="62">
      <c r="B274" t="inlineStr">
        <is>
          <t>Moneda Argentina 2 Centavos 1949</t>
        </is>
      </c>
      <c r="C274" s="0">
        <f>LEN(INDIRECT(ADDRESS(ROW() + (0),COLUMN() + (-1))))</f>
        <v/>
      </c>
      <c r="D274" s="0" t="inlineStr">
        <is>
          <t>Usado</t>
        </is>
      </c>
      <c r="E274" s="38" t="inlineStr">
        <is>
          <t>https://numismaticapopper.com/images/650A.jpeg,https://numismaticapopper.com/images/650B.jpeg</t>
        </is>
      </c>
      <c r="F274" t="inlineStr">
        <is>
          <t>650</t>
        </is>
      </c>
      <c r="G274" s="40" t="n">
        <v>1</v>
      </c>
      <c r="H274" t="n">
        <v>7000</v>
      </c>
      <c r="I274" t="inlineStr">
        <is>
          <t>Referencia de catalogo: CJ# 183
limpiada</t>
        </is>
      </c>
      <c r="J274" s="31">
        <f>IF(INDIRECT(ADDRESS(ROW() + (0),COLUMN() + (1)))="Agregar cuotas", IF(("16%")="", "-", "16%"), IF(INDIRECT(ADDRESS(ROW() + (0),COLUMN() + (1)))="No agregar cuotas", IF(("16%")="", "-", "16%"), "-"))</f>
        <v/>
      </c>
      <c r="K274" s="0" t="inlineStr">
        <is>
          <t>No agregar cuotas</t>
        </is>
      </c>
      <c r="L274" s="31">
        <f>IF(INDIRECT(ADDRESS(ROW() + (0),COLUMN() + (-1)))="Agregar cuotas", IF(("13.4%")="", "Sin costo", "13.4%"), IF(INDIRECT(ADDRESS(ROW() + (0),COLUMN() + (-1)))="No agregar cuotas", IF(("")="", "Sin costo", ""), "-"))</f>
        <v/>
      </c>
      <c r="M274" s="0" t="inlineStr">
        <is>
          <t>Mercado Envíos</t>
        </is>
      </c>
      <c r="N274" s="0" t="inlineStr">
        <is>
          <t>A cargo del comprador</t>
        </is>
      </c>
      <c r="O274" s="0" t="inlineStr">
        <is>
          <t>Acepto</t>
        </is>
      </c>
      <c r="P274" s="47" t="inlineStr">
        <is>
          <t>Sin garantía</t>
        </is>
      </c>
      <c r="R274" s="0" t="inlineStr">
        <is>
          <t>Seleccionar</t>
        </is>
      </c>
      <c r="S274" s="0" t="inlineStr">
        <is>
          <t>No ofrezco</t>
        </is>
      </c>
      <c r="T274" t="n">
        <v>1949</v>
      </c>
      <c r="U274" s="0" t="inlineStr">
        <is>
          <t>Argentina</t>
        </is>
      </c>
      <c r="X274" s="0" t="inlineStr">
        <is>
          <t>Níquel</t>
        </is>
      </c>
      <c r="Z274" t="inlineStr">
        <is>
          <t>2 Centavos</t>
        </is>
      </c>
      <c r="AA274" s="0" t="inlineStr">
        <is>
          <t>Peso</t>
        </is>
      </c>
      <c r="AB2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4" s="53">
        <f>IF(OR(TRIM(INDIRECT("B"&amp;ROW())) &lt;&gt; "",TRIM(INDIRECT("A"&amp;ROW())) &lt;&gt; ""),AND(TRIM(INDIRECT("A"&amp;ROW())) &lt;&gt; "",TRIM(INDIRECT("D"&amp;ROW())) = "nuevo"),"")</f>
        <v/>
      </c>
    </row>
    <row r="275" ht="27.5" customHeight="1" s="62">
      <c r="B275" t="inlineStr">
        <is>
          <t>Moneda Argentina 2 Centavos 1949</t>
        </is>
      </c>
      <c r="C275" s="0">
        <f>LEN(INDIRECT(ADDRESS(ROW() + (0),COLUMN() + (-1))))</f>
        <v/>
      </c>
      <c r="D275" s="0" t="inlineStr">
        <is>
          <t>Usado</t>
        </is>
      </c>
      <c r="E275" s="38" t="inlineStr">
        <is>
          <t>https://numismaticapopper.com/images/651A.jpeg,https://numismaticapopper.com/images/651B.jpeg</t>
        </is>
      </c>
      <c r="F275" t="inlineStr">
        <is>
          <t>651</t>
        </is>
      </c>
      <c r="G275" s="40" t="n">
        <v>1</v>
      </c>
      <c r="H275" t="n">
        <v>7000</v>
      </c>
      <c r="I275" t="inlineStr">
        <is>
          <t>Referencia de catalogo: CJ# 183
marron</t>
        </is>
      </c>
      <c r="J275" s="31">
        <f>IF(INDIRECT(ADDRESS(ROW() + (0),COLUMN() + (1)))="Agregar cuotas", IF(("16%")="", "-", "16%"), IF(INDIRECT(ADDRESS(ROW() + (0),COLUMN() + (1)))="No agregar cuotas", IF(("16%")="", "-", "16%"), "-"))</f>
        <v/>
      </c>
      <c r="K275" s="0" t="inlineStr">
        <is>
          <t>No agregar cuotas</t>
        </is>
      </c>
      <c r="L275" s="31">
        <f>IF(INDIRECT(ADDRESS(ROW() + (0),COLUMN() + (-1)))="Agregar cuotas", IF(("13.4%")="", "Sin costo", "13.4%"), IF(INDIRECT(ADDRESS(ROW() + (0),COLUMN() + (-1)))="No agregar cuotas", IF(("")="", "Sin costo", ""), "-"))</f>
        <v/>
      </c>
      <c r="M275" s="0" t="inlineStr">
        <is>
          <t>Mercado Envíos</t>
        </is>
      </c>
      <c r="N275" s="0" t="inlineStr">
        <is>
          <t>A cargo del comprador</t>
        </is>
      </c>
      <c r="O275" s="0" t="inlineStr">
        <is>
          <t>Acepto</t>
        </is>
      </c>
      <c r="P275" s="47" t="inlineStr">
        <is>
          <t>Sin garantía</t>
        </is>
      </c>
      <c r="R275" s="0" t="inlineStr">
        <is>
          <t>Seleccionar</t>
        </is>
      </c>
      <c r="S275" s="0" t="inlineStr">
        <is>
          <t>No ofrezco</t>
        </is>
      </c>
      <c r="T275" t="n">
        <v>1949</v>
      </c>
      <c r="U275" s="0" t="inlineStr">
        <is>
          <t>Argentina</t>
        </is>
      </c>
      <c r="X275" s="0" t="inlineStr">
        <is>
          <t>Níquel</t>
        </is>
      </c>
      <c r="Z275" t="inlineStr">
        <is>
          <t>2 Centavos</t>
        </is>
      </c>
      <c r="AA275" s="0" t="inlineStr">
        <is>
          <t>Peso</t>
        </is>
      </c>
      <c r="AB2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5" s="53">
        <f>IF(OR(TRIM(INDIRECT("B"&amp;ROW())) &lt;&gt; "",TRIM(INDIRECT("A"&amp;ROW())) &lt;&gt; ""),AND(TRIM(INDIRECT("A"&amp;ROW())) &lt;&gt; "",TRIM(INDIRECT("D"&amp;ROW())) = "nuevo"),"")</f>
        <v/>
      </c>
    </row>
    <row r="276" ht="27.5" customHeight="1" s="62">
      <c r="B276" t="inlineStr">
        <is>
          <t>Moneda Argentina Centavo (Descentrada) 1948</t>
        </is>
      </c>
      <c r="C276" s="0">
        <f>LEN(INDIRECT(ADDRESS(ROW() + (0),COLUMN() + (-1))))</f>
        <v/>
      </c>
      <c r="D276" s="0" t="inlineStr">
        <is>
          <t>Usado</t>
        </is>
      </c>
      <c r="E276" s="38" t="inlineStr">
        <is>
          <t>https://numismaticapopper.com/images/652A.jpeg,https://numismaticapopper.com/images/652B.jpeg</t>
        </is>
      </c>
      <c r="F276" t="inlineStr">
        <is>
          <t>652</t>
        </is>
      </c>
      <c r="G276" s="40" t="n">
        <v>1</v>
      </c>
      <c r="H276" t="n">
        <v>11000</v>
      </c>
      <c r="I276" t="inlineStr">
        <is>
          <t>Estado de conservacion: Excelente -
Referencia de catalogo: CJ# 195
Material: Cobre</t>
        </is>
      </c>
      <c r="J276" s="31">
        <f>IF(INDIRECT(ADDRESS(ROW() + (0),COLUMN() + (1)))="Agregar cuotas", IF(("16%")="", "-", "16%"), IF(INDIRECT(ADDRESS(ROW() + (0),COLUMN() + (1)))="No agregar cuotas", IF(("16%")="", "-", "16%"), "-"))</f>
        <v/>
      </c>
      <c r="K276" s="0" t="inlineStr">
        <is>
          <t>No agregar cuotas</t>
        </is>
      </c>
      <c r="L276" s="31">
        <f>IF(INDIRECT(ADDRESS(ROW() + (0),COLUMN() + (-1)))="Agregar cuotas", IF(("13.4%")="", "Sin costo", "13.4%"), IF(INDIRECT(ADDRESS(ROW() + (0),COLUMN() + (-1)))="No agregar cuotas", IF(("")="", "Sin costo", ""), "-"))</f>
        <v/>
      </c>
      <c r="M276" s="0" t="inlineStr">
        <is>
          <t>Mercado Envíos</t>
        </is>
      </c>
      <c r="N276" s="0" t="inlineStr">
        <is>
          <t>A cargo del comprador</t>
        </is>
      </c>
      <c r="O276" s="0" t="inlineStr">
        <is>
          <t>Acepto</t>
        </is>
      </c>
      <c r="P276" s="47" t="inlineStr">
        <is>
          <t>Sin garantía</t>
        </is>
      </c>
      <c r="R276" s="0" t="inlineStr">
        <is>
          <t>Seleccionar</t>
        </is>
      </c>
      <c r="S276" s="0" t="inlineStr">
        <is>
          <t>No ofrezco</t>
        </is>
      </c>
      <c r="T276" t="n">
        <v>1948</v>
      </c>
      <c r="U276" s="0" t="inlineStr">
        <is>
          <t>Argentina</t>
        </is>
      </c>
      <c r="X276" s="0" t="inlineStr">
        <is>
          <t>Cobre</t>
        </is>
      </c>
      <c r="Z276" t="inlineStr">
        <is>
          <t>Centavo (Descentrada)</t>
        </is>
      </c>
      <c r="AA276" s="0" t="inlineStr">
        <is>
          <t>Peso</t>
        </is>
      </c>
      <c r="AB2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6" s="53">
        <f>IF(OR(TRIM(INDIRECT("B"&amp;ROW())) &lt;&gt; "",TRIM(INDIRECT("A"&amp;ROW())) &lt;&gt; ""),AND(TRIM(INDIRECT("A"&amp;ROW())) &lt;&gt; "",TRIM(INDIRECT("D"&amp;ROW())) = "nuevo"),"")</f>
        <v/>
      </c>
    </row>
    <row r="277" ht="27.5" customHeight="1" s="62">
      <c r="B277" t="inlineStr">
        <is>
          <t>Moneda Perú 5 Centavos 1934</t>
        </is>
      </c>
      <c r="C277" s="0">
        <f>LEN(INDIRECT(ADDRESS(ROW() + (0),COLUMN() + (-1))))</f>
        <v/>
      </c>
      <c r="D277" s="0" t="inlineStr">
        <is>
          <t>Usado</t>
        </is>
      </c>
      <c r="E277" s="38" t="inlineStr">
        <is>
          <t>https://numismaticapopper.com/images/655A.jpeg,https://numismaticapopper.com/images/655B.jpeg</t>
        </is>
      </c>
      <c r="F277" t="inlineStr">
        <is>
          <t>655</t>
        </is>
      </c>
      <c r="G277" s="40" t="n">
        <v>1</v>
      </c>
      <c r="H277" t="n">
        <v>12000</v>
      </c>
      <c r="I277" t="inlineStr">
        <is>
          <t>Estado de conservacion: Sin Circular
Referencia de catalogo: KM# 213.2
Material: Cuproníquel
Tirada: 4.000.000</t>
        </is>
      </c>
      <c r="J277" s="31">
        <f>IF(INDIRECT(ADDRESS(ROW() + (0),COLUMN() + (1)))="Agregar cuotas", IF(("16%")="", "-", "16%"), IF(INDIRECT(ADDRESS(ROW() + (0),COLUMN() + (1)))="No agregar cuotas", IF(("16%")="", "-", "16%"), "-"))</f>
        <v/>
      </c>
      <c r="K277" s="0" t="inlineStr">
        <is>
          <t>No agregar cuotas</t>
        </is>
      </c>
      <c r="L277" s="31">
        <f>IF(INDIRECT(ADDRESS(ROW() + (0),COLUMN() + (-1)))="Agregar cuotas", IF(("13.4%")="", "Sin costo", "13.4%"), IF(INDIRECT(ADDRESS(ROW() + (0),COLUMN() + (-1)))="No agregar cuotas", IF(("")="", "Sin costo", ""), "-"))</f>
        <v/>
      </c>
      <c r="M277" s="0" t="inlineStr">
        <is>
          <t>Mercado Envíos</t>
        </is>
      </c>
      <c r="N277" s="0" t="inlineStr">
        <is>
          <t>A cargo del comprador</t>
        </is>
      </c>
      <c r="O277" s="0" t="inlineStr">
        <is>
          <t>Acepto</t>
        </is>
      </c>
      <c r="P277" s="47" t="inlineStr">
        <is>
          <t>Sin garantía</t>
        </is>
      </c>
      <c r="R277" s="0" t="inlineStr">
        <is>
          <t>Seleccionar</t>
        </is>
      </c>
      <c r="S277" s="0" t="inlineStr">
        <is>
          <t>No ofrezco</t>
        </is>
      </c>
      <c r="T277" t="n">
        <v>1934</v>
      </c>
      <c r="U277" s="0" t="inlineStr">
        <is>
          <t>Perú</t>
        </is>
      </c>
      <c r="X277" s="0" t="inlineStr">
        <is>
          <t>Níquel</t>
        </is>
      </c>
      <c r="Z277" t="inlineStr">
        <is>
          <t>5 Centavos</t>
        </is>
      </c>
      <c r="AA277" s="0" t="inlineStr">
        <is>
          <t>Peso</t>
        </is>
      </c>
      <c r="AB2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7" s="53">
        <f>IF(OR(TRIM(INDIRECT("B"&amp;ROW())) &lt;&gt; "",TRIM(INDIRECT("A"&amp;ROW())) &lt;&gt; ""),AND(TRIM(INDIRECT("A"&amp;ROW())) &lt;&gt; "",TRIM(INDIRECT("D"&amp;ROW())) = "nuevo"),"")</f>
        <v/>
      </c>
    </row>
    <row r="278" ht="27.5" customHeight="1" s="62">
      <c r="B278" t="inlineStr">
        <is>
          <t>Moneda Perú 1 Sol 2016</t>
        </is>
      </c>
      <c r="C278" s="0">
        <f>LEN(INDIRECT(ADDRESS(ROW() + (0),COLUMN() + (-1))))</f>
        <v/>
      </c>
      <c r="D278" s="0" t="inlineStr">
        <is>
          <t>Usado</t>
        </is>
      </c>
      <c r="E278" s="38" t="inlineStr">
        <is>
          <t>https://numismaticapopper.com/images/656A.jpeg,https://numismaticapopper.com/images/656B.jpeg</t>
        </is>
      </c>
      <c r="F278" t="inlineStr">
        <is>
          <t>656</t>
        </is>
      </c>
      <c r="G278" s="40" t="n">
        <v>1</v>
      </c>
      <c r="H278" t="n">
        <v>8000</v>
      </c>
      <c r="I278" t="inlineStr">
        <is>
          <t>Estado de conservacion: Sin Circular
Referencia de catalogo: KM# 374
Cabeza de vaca</t>
        </is>
      </c>
      <c r="J278" s="31">
        <f>IF(INDIRECT(ADDRESS(ROW() + (0),COLUMN() + (1)))="Agregar cuotas", IF(("16%")="", "-", "16%"), IF(INDIRECT(ADDRESS(ROW() + (0),COLUMN() + (1)))="No agregar cuotas", IF(("16%")="", "-", "16%"), "-"))</f>
        <v/>
      </c>
      <c r="K278" s="0" t="inlineStr">
        <is>
          <t>No agregar cuotas</t>
        </is>
      </c>
      <c r="L278" s="31">
        <f>IF(INDIRECT(ADDRESS(ROW() + (0),COLUMN() + (-1)))="Agregar cuotas", IF(("13.4%")="", "Sin costo", "13.4%"), IF(INDIRECT(ADDRESS(ROW() + (0),COLUMN() + (-1)))="No agregar cuotas", IF(("")="", "Sin costo", ""), "-"))</f>
        <v/>
      </c>
      <c r="M278" s="0" t="inlineStr">
        <is>
          <t>Mercado Envíos</t>
        </is>
      </c>
      <c r="N278" s="0" t="inlineStr">
        <is>
          <t>A cargo del comprador</t>
        </is>
      </c>
      <c r="O278" s="0" t="inlineStr">
        <is>
          <t>Acepto</t>
        </is>
      </c>
      <c r="P278" s="47" t="inlineStr">
        <is>
          <t>Sin garantía</t>
        </is>
      </c>
      <c r="R278" s="0" t="inlineStr">
        <is>
          <t>Seleccionar</t>
        </is>
      </c>
      <c r="S278" s="0" t="inlineStr">
        <is>
          <t>No ofrezco</t>
        </is>
      </c>
      <c r="T278" t="n">
        <v>2016</v>
      </c>
      <c r="U278" s="0" t="inlineStr">
        <is>
          <t>Perú</t>
        </is>
      </c>
      <c r="X278" s="0" t="inlineStr">
        <is>
          <t>Níquel</t>
        </is>
      </c>
      <c r="Z278" t="inlineStr">
        <is>
          <t>1 Sol</t>
        </is>
      </c>
      <c r="AA278" s="0" t="inlineStr">
        <is>
          <t>Peso</t>
        </is>
      </c>
      <c r="AB2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8" s="53">
        <f>IF(OR(TRIM(INDIRECT("B"&amp;ROW())) &lt;&gt; "",TRIM(INDIRECT("A"&amp;ROW())) &lt;&gt; ""),AND(TRIM(INDIRECT("A"&amp;ROW())) &lt;&gt; "",TRIM(INDIRECT("D"&amp;ROW())) = "nuevo"),"")</f>
        <v/>
      </c>
    </row>
    <row r="279" ht="27.5" customHeight="1" s="62">
      <c r="B279" t="inlineStr">
        <is>
          <t>Moneda Perú 10 Soles 1971</t>
        </is>
      </c>
      <c r="C279" s="0">
        <f>LEN(INDIRECT(ADDRESS(ROW() + (0),COLUMN() + (-1))))</f>
        <v/>
      </c>
      <c r="D279" s="0" t="inlineStr">
        <is>
          <t>Usado</t>
        </is>
      </c>
      <c r="E279" s="38" t="inlineStr">
        <is>
          <t>https://numismaticapopper.com/images/657A.jpeg,https://numismaticapopper.com/images/657B.jpeg</t>
        </is>
      </c>
      <c r="F279" t="inlineStr">
        <is>
          <t>657</t>
        </is>
      </c>
      <c r="G279" s="40" t="n">
        <v>1</v>
      </c>
      <c r="H279" t="n">
        <v>11000</v>
      </c>
      <c r="I279" t="inlineStr">
        <is>
          <t>Estado de conservacion: Sin Circular
Referencia de catalogo: KM# 255
Material: Cuproníquel
150 aniversario independencia</t>
        </is>
      </c>
      <c r="J279" s="31">
        <f>IF(INDIRECT(ADDRESS(ROW() + (0),COLUMN() + (1)))="Agregar cuotas", IF(("16%")="", "-", "16%"), IF(INDIRECT(ADDRESS(ROW() + (0),COLUMN() + (1)))="No agregar cuotas", IF(("16%")="", "-", "16%"), "-"))</f>
        <v/>
      </c>
      <c r="K279" s="0" t="inlineStr">
        <is>
          <t>No agregar cuotas</t>
        </is>
      </c>
      <c r="L279" s="31">
        <f>IF(INDIRECT(ADDRESS(ROW() + (0),COLUMN() + (-1)))="Agregar cuotas", IF(("13.4%")="", "Sin costo", "13.4%"), IF(INDIRECT(ADDRESS(ROW() + (0),COLUMN() + (-1)))="No agregar cuotas", IF(("")="", "Sin costo", ""), "-"))</f>
        <v/>
      </c>
      <c r="M279" s="0" t="inlineStr">
        <is>
          <t>Mercado Envíos</t>
        </is>
      </c>
      <c r="N279" s="0" t="inlineStr">
        <is>
          <t>A cargo del comprador</t>
        </is>
      </c>
      <c r="O279" s="0" t="inlineStr">
        <is>
          <t>Acepto</t>
        </is>
      </c>
      <c r="P279" s="47" t="inlineStr">
        <is>
          <t>Sin garantía</t>
        </is>
      </c>
      <c r="R279" s="0" t="inlineStr">
        <is>
          <t>Seleccionar</t>
        </is>
      </c>
      <c r="S279" s="0" t="inlineStr">
        <is>
          <t>No ofrezco</t>
        </is>
      </c>
      <c r="T279" t="n">
        <v>1971</v>
      </c>
      <c r="U279" s="0" t="inlineStr">
        <is>
          <t>Perú</t>
        </is>
      </c>
      <c r="X279" s="0" t="inlineStr">
        <is>
          <t>Níquel</t>
        </is>
      </c>
      <c r="Z279" t="inlineStr">
        <is>
          <t>10 Soles</t>
        </is>
      </c>
      <c r="AA279" s="0" t="inlineStr">
        <is>
          <t>Peso</t>
        </is>
      </c>
      <c r="AB2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79" s="53">
        <f>IF(OR(TRIM(INDIRECT("B"&amp;ROW())) &lt;&gt; "",TRIM(INDIRECT("A"&amp;ROW())) &lt;&gt; ""),AND(TRIM(INDIRECT("A"&amp;ROW())) &lt;&gt; "",TRIM(INDIRECT("D"&amp;ROW())) = "nuevo"),"")</f>
        <v/>
      </c>
    </row>
    <row r="280" ht="27.5" customHeight="1" s="62">
      <c r="B280" t="inlineStr">
        <is>
          <t>Moneda Reino Unido 6 Pence 1962</t>
        </is>
      </c>
      <c r="C280" s="0">
        <f>LEN(INDIRECT(ADDRESS(ROW() + (0),COLUMN() + (-1))))</f>
        <v/>
      </c>
      <c r="D280" s="0" t="inlineStr">
        <is>
          <t>Usado</t>
        </is>
      </c>
      <c r="E280" s="38" t="inlineStr">
        <is>
          <t>https://numismaticapopper.com/images/658A.jpeg,https://numismaticapopper.com/images/658B.jpeg</t>
        </is>
      </c>
      <c r="F280" t="inlineStr">
        <is>
          <t>658</t>
        </is>
      </c>
      <c r="G280" s="40" t="n">
        <v>1</v>
      </c>
      <c r="H280" t="n">
        <v>7000</v>
      </c>
      <c r="I280" t="inlineStr">
        <is>
          <t>Estado de conservacion: Excelente
Referencia de catalogo: KM# 903
Material: Cuproníquel</t>
        </is>
      </c>
      <c r="J280" s="31">
        <f>IF(INDIRECT(ADDRESS(ROW() + (0),COLUMN() + (1)))="Agregar cuotas", IF(("16%")="", "-", "16%"), IF(INDIRECT(ADDRESS(ROW() + (0),COLUMN() + (1)))="No agregar cuotas", IF(("16%")="", "-", "16%"), "-"))</f>
        <v/>
      </c>
      <c r="K280" s="0" t="inlineStr">
        <is>
          <t>No agregar cuotas</t>
        </is>
      </c>
      <c r="L280" s="31">
        <f>IF(INDIRECT(ADDRESS(ROW() + (0),COLUMN() + (-1)))="Agregar cuotas", IF(("13.4%")="", "Sin costo", "13.4%"), IF(INDIRECT(ADDRESS(ROW() + (0),COLUMN() + (-1)))="No agregar cuotas", IF(("")="", "Sin costo", ""), "-"))</f>
        <v/>
      </c>
      <c r="M280" s="0" t="inlineStr">
        <is>
          <t>Mercado Envíos</t>
        </is>
      </c>
      <c r="N280" s="0" t="inlineStr">
        <is>
          <t>A cargo del comprador</t>
        </is>
      </c>
      <c r="O280" s="0" t="inlineStr">
        <is>
          <t>Acepto</t>
        </is>
      </c>
      <c r="P280" s="47" t="inlineStr">
        <is>
          <t>Sin garantía</t>
        </is>
      </c>
      <c r="R280" s="0" t="inlineStr">
        <is>
          <t>Seleccionar</t>
        </is>
      </c>
      <c r="S280" s="0" t="inlineStr">
        <is>
          <t>No ofrezco</t>
        </is>
      </c>
      <c r="T280" t="n">
        <v>1962</v>
      </c>
      <c r="U280" s="0" t="inlineStr">
        <is>
          <t>Inglaterra</t>
        </is>
      </c>
      <c r="X280" s="0" t="inlineStr">
        <is>
          <t>Níquel</t>
        </is>
      </c>
      <c r="Z280" t="inlineStr">
        <is>
          <t>6 Pence</t>
        </is>
      </c>
      <c r="AA280" s="0" t="inlineStr">
        <is>
          <t>Dólar</t>
        </is>
      </c>
      <c r="AB2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0" s="53">
        <f>IF(OR(TRIM(INDIRECT("B"&amp;ROW())) &lt;&gt; "",TRIM(INDIRECT("A"&amp;ROW())) &lt;&gt; ""),AND(TRIM(INDIRECT("A"&amp;ROW())) &lt;&gt; "",TRIM(INDIRECT("D"&amp;ROW())) = "nuevo"),"")</f>
        <v/>
      </c>
    </row>
    <row r="281" ht="27.5" customHeight="1" s="62">
      <c r="B281" t="inlineStr">
        <is>
          <t>Moneda Reino Unido 6 Pence 1966</t>
        </is>
      </c>
      <c r="C281" s="0">
        <f>LEN(INDIRECT(ADDRESS(ROW() + (0),COLUMN() + (-1))))</f>
        <v/>
      </c>
      <c r="D281" s="0" t="inlineStr">
        <is>
          <t>Usado</t>
        </is>
      </c>
      <c r="E281" s="38" t="inlineStr">
        <is>
          <t>https://numismaticapopper.com/images/660A.jpeg,https://numismaticapopper.com/images/660B.jpeg</t>
        </is>
      </c>
      <c r="F281" t="inlineStr">
        <is>
          <t>660</t>
        </is>
      </c>
      <c r="G281" s="40" t="n">
        <v>1</v>
      </c>
      <c r="H281" t="n">
        <v>7000</v>
      </c>
      <c r="I281" t="inlineStr">
        <is>
          <t>Estado de conservacion: Excelente
Referencia de catalogo: KM# 903
Material: Cuproníquel</t>
        </is>
      </c>
      <c r="J281" s="31">
        <f>IF(INDIRECT(ADDRESS(ROW() + (0),COLUMN() + (1)))="Agregar cuotas", IF(("16%")="", "-", "16%"), IF(INDIRECT(ADDRESS(ROW() + (0),COLUMN() + (1)))="No agregar cuotas", IF(("16%")="", "-", "16%"), "-"))</f>
        <v/>
      </c>
      <c r="K281" s="0" t="inlineStr">
        <is>
          <t>No agregar cuotas</t>
        </is>
      </c>
      <c r="L281" s="31">
        <f>IF(INDIRECT(ADDRESS(ROW() + (0),COLUMN() + (-1)))="Agregar cuotas", IF(("13.4%")="", "Sin costo", "13.4%"), IF(INDIRECT(ADDRESS(ROW() + (0),COLUMN() + (-1)))="No agregar cuotas", IF(("")="", "Sin costo", ""), "-"))</f>
        <v/>
      </c>
      <c r="M281" s="0" t="inlineStr">
        <is>
          <t>Mercado Envíos</t>
        </is>
      </c>
      <c r="N281" s="0" t="inlineStr">
        <is>
          <t>A cargo del comprador</t>
        </is>
      </c>
      <c r="O281" s="0" t="inlineStr">
        <is>
          <t>Acepto</t>
        </is>
      </c>
      <c r="P281" s="47" t="inlineStr">
        <is>
          <t>Sin garantía</t>
        </is>
      </c>
      <c r="R281" s="0" t="inlineStr">
        <is>
          <t>Seleccionar</t>
        </is>
      </c>
      <c r="S281" s="0" t="inlineStr">
        <is>
          <t>No ofrezco</t>
        </is>
      </c>
      <c r="T281" t="n">
        <v>1966</v>
      </c>
      <c r="U281" s="0" t="inlineStr">
        <is>
          <t>Inglaterra</t>
        </is>
      </c>
      <c r="X281" s="0" t="inlineStr">
        <is>
          <t>Níquel</t>
        </is>
      </c>
      <c r="Z281" t="inlineStr">
        <is>
          <t>6 Pence</t>
        </is>
      </c>
      <c r="AA281" s="0" t="inlineStr">
        <is>
          <t>Dólar</t>
        </is>
      </c>
      <c r="AB2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1" s="53">
        <f>IF(OR(TRIM(INDIRECT("B"&amp;ROW())) &lt;&gt; "",TRIM(INDIRECT("A"&amp;ROW())) &lt;&gt; ""),AND(TRIM(INDIRECT("A"&amp;ROW())) &lt;&gt; "",TRIM(INDIRECT("D"&amp;ROW())) = "nuevo"),"")</f>
        <v/>
      </c>
    </row>
    <row r="282" ht="27.5" customHeight="1" s="62">
      <c r="B282" t="inlineStr">
        <is>
          <t>Moneda Reino Unido 6 Pence 1958</t>
        </is>
      </c>
      <c r="C282" s="0">
        <f>LEN(INDIRECT(ADDRESS(ROW() + (0),COLUMN() + (-1))))</f>
        <v/>
      </c>
      <c r="D282" s="0" t="inlineStr">
        <is>
          <t>Usado</t>
        </is>
      </c>
      <c r="E282" s="38" t="inlineStr">
        <is>
          <t>https://numismaticapopper.com/images/661A.jpeg,https://numismaticapopper.com/images/661B.jpeg</t>
        </is>
      </c>
      <c r="F282" t="inlineStr">
        <is>
          <t>661</t>
        </is>
      </c>
      <c r="G282" s="40" t="n">
        <v>1</v>
      </c>
      <c r="H282" t="n">
        <v>7000</v>
      </c>
      <c r="I282" t="inlineStr">
        <is>
          <t>Estado de conservacion: Excelente
Referencia de catalogo: KM# 903
Material: Cuproníquel</t>
        </is>
      </c>
      <c r="J282" s="31">
        <f>IF(INDIRECT(ADDRESS(ROW() + (0),COLUMN() + (1)))="Agregar cuotas", IF(("16%")="", "-", "16%"), IF(INDIRECT(ADDRESS(ROW() + (0),COLUMN() + (1)))="No agregar cuotas", IF(("16%")="", "-", "16%"), "-"))</f>
        <v/>
      </c>
      <c r="K282" s="0" t="inlineStr">
        <is>
          <t>No agregar cuotas</t>
        </is>
      </c>
      <c r="L282" s="31">
        <f>IF(INDIRECT(ADDRESS(ROW() + (0),COLUMN() + (-1)))="Agregar cuotas", IF(("13.4%")="", "Sin costo", "13.4%"), IF(INDIRECT(ADDRESS(ROW() + (0),COLUMN() + (-1)))="No agregar cuotas", IF(("")="", "Sin costo", ""), "-"))</f>
        <v/>
      </c>
      <c r="M282" s="0" t="inlineStr">
        <is>
          <t>Mercado Envíos</t>
        </is>
      </c>
      <c r="N282" s="0" t="inlineStr">
        <is>
          <t>A cargo del comprador</t>
        </is>
      </c>
      <c r="O282" s="0" t="inlineStr">
        <is>
          <t>Acepto</t>
        </is>
      </c>
      <c r="P282" s="47" t="inlineStr">
        <is>
          <t>Sin garantía</t>
        </is>
      </c>
      <c r="R282" s="0" t="inlineStr">
        <is>
          <t>Seleccionar</t>
        </is>
      </c>
      <c r="S282" s="0" t="inlineStr">
        <is>
          <t>No ofrezco</t>
        </is>
      </c>
      <c r="T282" t="n">
        <v>1958</v>
      </c>
      <c r="U282" s="0" t="inlineStr">
        <is>
          <t>Inglaterra</t>
        </is>
      </c>
      <c r="X282" s="0" t="inlineStr">
        <is>
          <t>Níquel</t>
        </is>
      </c>
      <c r="Z282" t="inlineStr">
        <is>
          <t>6 Pence</t>
        </is>
      </c>
      <c r="AA282" s="0" t="inlineStr">
        <is>
          <t>Dólar</t>
        </is>
      </c>
      <c r="AB2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2" s="53">
        <f>IF(OR(TRIM(INDIRECT("B"&amp;ROW())) &lt;&gt; "",TRIM(INDIRECT("A"&amp;ROW())) &lt;&gt; ""),AND(TRIM(INDIRECT("A"&amp;ROW())) &lt;&gt; "",TRIM(INDIRECT("D"&amp;ROW())) = "nuevo"),"")</f>
        <v/>
      </c>
    </row>
    <row r="283" ht="27.5" customHeight="1" s="62">
      <c r="B283" t="inlineStr">
        <is>
          <t>Moneda Reino Unido Shilling 1966</t>
        </is>
      </c>
      <c r="C283" s="0">
        <f>LEN(INDIRECT(ADDRESS(ROW() + (0),COLUMN() + (-1))))</f>
        <v/>
      </c>
      <c r="D283" s="0" t="inlineStr">
        <is>
          <t>Usado</t>
        </is>
      </c>
      <c r="E283" s="38" t="inlineStr">
        <is>
          <t>https://numismaticapopper.com/images/662A.jpeg,https://numismaticapopper.com/images/662B.jpeg</t>
        </is>
      </c>
      <c r="F283" t="inlineStr">
        <is>
          <t>662</t>
        </is>
      </c>
      <c r="G283" s="40" t="n">
        <v>1</v>
      </c>
      <c r="H283" t="n">
        <v>7000</v>
      </c>
      <c r="I283" t="inlineStr">
        <is>
          <t>Referencia de catalogo: KM# 904
Material: Cuproníquel
Linda patina</t>
        </is>
      </c>
      <c r="J283" s="31">
        <f>IF(INDIRECT(ADDRESS(ROW() + (0),COLUMN() + (1)))="Agregar cuotas", IF(("16%")="", "-", "16%"), IF(INDIRECT(ADDRESS(ROW() + (0),COLUMN() + (1)))="No agregar cuotas", IF(("16%")="", "-", "16%"), "-"))</f>
        <v/>
      </c>
      <c r="K283" s="0" t="inlineStr">
        <is>
          <t>No agregar cuotas</t>
        </is>
      </c>
      <c r="L283" s="31">
        <f>IF(INDIRECT(ADDRESS(ROW() + (0),COLUMN() + (-1)))="Agregar cuotas", IF(("13.4%")="", "Sin costo", "13.4%"), IF(INDIRECT(ADDRESS(ROW() + (0),COLUMN() + (-1)))="No agregar cuotas", IF(("")="", "Sin costo", ""), "-"))</f>
        <v/>
      </c>
      <c r="M283" s="0" t="inlineStr">
        <is>
          <t>Mercado Envíos</t>
        </is>
      </c>
      <c r="N283" s="0" t="inlineStr">
        <is>
          <t>A cargo del comprador</t>
        </is>
      </c>
      <c r="O283" s="0" t="inlineStr">
        <is>
          <t>Acepto</t>
        </is>
      </c>
      <c r="P283" s="47" t="inlineStr">
        <is>
          <t>Sin garantía</t>
        </is>
      </c>
      <c r="R283" s="0" t="inlineStr">
        <is>
          <t>Seleccionar</t>
        </is>
      </c>
      <c r="S283" s="0" t="inlineStr">
        <is>
          <t>No ofrezco</t>
        </is>
      </c>
      <c r="T283" t="n">
        <v>1966</v>
      </c>
      <c r="U283" s="0" t="inlineStr">
        <is>
          <t>Inglaterra</t>
        </is>
      </c>
      <c r="X283" s="0" t="inlineStr">
        <is>
          <t>Níquel</t>
        </is>
      </c>
      <c r="Z283" t="inlineStr">
        <is>
          <t>Shilling</t>
        </is>
      </c>
      <c r="AA283" s="0" t="inlineStr">
        <is>
          <t>Dólar</t>
        </is>
      </c>
      <c r="AB2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3" s="53">
        <f>IF(OR(TRIM(INDIRECT("B"&amp;ROW())) &lt;&gt; "",TRIM(INDIRECT("A"&amp;ROW())) &lt;&gt; ""),AND(TRIM(INDIRECT("A"&amp;ROW())) &lt;&gt; "",TRIM(INDIRECT("D"&amp;ROW())) = "nuevo"),"")</f>
        <v/>
      </c>
    </row>
    <row r="284" ht="27.5" customHeight="1" s="62">
      <c r="B284" t="inlineStr">
        <is>
          <t>Moneda Reino Unido Shilling 1948</t>
        </is>
      </c>
      <c r="C284" s="0">
        <f>LEN(INDIRECT(ADDRESS(ROW() + (0),COLUMN() + (-1))))</f>
        <v/>
      </c>
      <c r="D284" s="0" t="inlineStr">
        <is>
          <t>Usado</t>
        </is>
      </c>
      <c r="E284" s="38" t="inlineStr">
        <is>
          <t>https://numismaticapopper.com/images/663A.jpeg,https://numismaticapopper.com/images/663B.jpeg</t>
        </is>
      </c>
      <c r="F284" t="inlineStr">
        <is>
          <t>663</t>
        </is>
      </c>
      <c r="G284" s="40" t="n">
        <v>1</v>
      </c>
      <c r="H284" t="n">
        <v>8000</v>
      </c>
      <c r="I284" t="inlineStr">
        <is>
          <t>Referencia de catalogo: KM# 864
Material: Cuproníquel</t>
        </is>
      </c>
      <c r="J284" s="31">
        <f>IF(INDIRECT(ADDRESS(ROW() + (0),COLUMN() + (1)))="Agregar cuotas", IF(("16%")="", "-", "16%"), IF(INDIRECT(ADDRESS(ROW() + (0),COLUMN() + (1)))="No agregar cuotas", IF(("16%")="", "-", "16%"), "-"))</f>
        <v/>
      </c>
      <c r="K284" s="0" t="inlineStr">
        <is>
          <t>No agregar cuotas</t>
        </is>
      </c>
      <c r="L284" s="31">
        <f>IF(INDIRECT(ADDRESS(ROW() + (0),COLUMN() + (-1)))="Agregar cuotas", IF(("13.4%")="", "Sin costo", "13.4%"), IF(INDIRECT(ADDRESS(ROW() + (0),COLUMN() + (-1)))="No agregar cuotas", IF(("")="", "Sin costo", ""), "-"))</f>
        <v/>
      </c>
      <c r="M284" s="0" t="inlineStr">
        <is>
          <t>Mercado Envíos</t>
        </is>
      </c>
      <c r="N284" s="0" t="inlineStr">
        <is>
          <t>A cargo del comprador</t>
        </is>
      </c>
      <c r="O284" s="0" t="inlineStr">
        <is>
          <t>Acepto</t>
        </is>
      </c>
      <c r="P284" s="47" t="inlineStr">
        <is>
          <t>Sin garantía</t>
        </is>
      </c>
      <c r="R284" s="0" t="inlineStr">
        <is>
          <t>Seleccionar</t>
        </is>
      </c>
      <c r="S284" s="0" t="inlineStr">
        <is>
          <t>No ofrezco</t>
        </is>
      </c>
      <c r="T284" t="n">
        <v>1948</v>
      </c>
      <c r="U284" s="0" t="inlineStr">
        <is>
          <t>Inglaterra</t>
        </is>
      </c>
      <c r="X284" s="0" t="inlineStr">
        <is>
          <t>Níquel</t>
        </is>
      </c>
      <c r="Z284" t="inlineStr">
        <is>
          <t>Shilling</t>
        </is>
      </c>
      <c r="AA284" s="0" t="inlineStr">
        <is>
          <t>Dólar</t>
        </is>
      </c>
      <c r="AB2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4" s="53">
        <f>IF(OR(TRIM(INDIRECT("B"&amp;ROW())) &lt;&gt; "",TRIM(INDIRECT("A"&amp;ROW())) &lt;&gt; ""),AND(TRIM(INDIRECT("A"&amp;ROW())) &lt;&gt; "",TRIM(INDIRECT("D"&amp;ROW())) = "nuevo"),"")</f>
        <v/>
      </c>
    </row>
    <row r="285" ht="27.5" customHeight="1" s="62">
      <c r="B285" t="inlineStr">
        <is>
          <t>Moneda Reino Unido 2 Shillings 1967</t>
        </is>
      </c>
      <c r="C285" s="0">
        <f>LEN(INDIRECT(ADDRESS(ROW() + (0),COLUMN() + (-1))))</f>
        <v/>
      </c>
      <c r="D285" s="0" t="inlineStr">
        <is>
          <t>Usado</t>
        </is>
      </c>
      <c r="E285" s="38" t="inlineStr">
        <is>
          <t>https://numismaticapopper.com/images/664A.jpeg,https://numismaticapopper.com/images/664B.jpeg</t>
        </is>
      </c>
      <c r="F285" t="inlineStr">
        <is>
          <t>664</t>
        </is>
      </c>
      <c r="G285" s="40" t="n">
        <v>1</v>
      </c>
      <c r="H285" t="n">
        <v>9000</v>
      </c>
      <c r="I285" t="inlineStr">
        <is>
          <t>Referencia de catalogo: KM# 906
Material: Cuproníquel</t>
        </is>
      </c>
      <c r="J285" s="31">
        <f>IF(INDIRECT(ADDRESS(ROW() + (0),COLUMN() + (1)))="Agregar cuotas", IF(("16%")="", "-", "16%"), IF(INDIRECT(ADDRESS(ROW() + (0),COLUMN() + (1)))="No agregar cuotas", IF(("16%")="", "-", "16%"), "-"))</f>
        <v/>
      </c>
      <c r="K285" s="0" t="inlineStr">
        <is>
          <t>No agregar cuotas</t>
        </is>
      </c>
      <c r="L285" s="31">
        <f>IF(INDIRECT(ADDRESS(ROW() + (0),COLUMN() + (-1)))="Agregar cuotas", IF(("13.4%")="", "Sin costo", "13.4%"), IF(INDIRECT(ADDRESS(ROW() + (0),COLUMN() + (-1)))="No agregar cuotas", IF(("")="", "Sin costo", ""), "-"))</f>
        <v/>
      </c>
      <c r="M285" s="0" t="inlineStr">
        <is>
          <t>Mercado Envíos</t>
        </is>
      </c>
      <c r="N285" s="0" t="inlineStr">
        <is>
          <t>A cargo del comprador</t>
        </is>
      </c>
      <c r="O285" s="0" t="inlineStr">
        <is>
          <t>Acepto</t>
        </is>
      </c>
      <c r="P285" s="47" t="inlineStr">
        <is>
          <t>Sin garantía</t>
        </is>
      </c>
      <c r="R285" s="0" t="inlineStr">
        <is>
          <t>Seleccionar</t>
        </is>
      </c>
      <c r="S285" s="0" t="inlineStr">
        <is>
          <t>No ofrezco</t>
        </is>
      </c>
      <c r="T285" t="n">
        <v>1967</v>
      </c>
      <c r="U285" s="0" t="inlineStr">
        <is>
          <t>Inglaterra</t>
        </is>
      </c>
      <c r="X285" s="0" t="inlineStr">
        <is>
          <t>Níquel</t>
        </is>
      </c>
      <c r="Z285" t="inlineStr">
        <is>
          <t>2 Shillings</t>
        </is>
      </c>
      <c r="AA285" s="0" t="inlineStr">
        <is>
          <t>Dólar</t>
        </is>
      </c>
      <c r="AB2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5" s="53">
        <f>IF(OR(TRIM(INDIRECT("B"&amp;ROW())) &lt;&gt; "",TRIM(INDIRECT("A"&amp;ROW())) &lt;&gt; ""),AND(TRIM(INDIRECT("A"&amp;ROW())) &lt;&gt; "",TRIM(INDIRECT("D"&amp;ROW())) = "nuevo"),"")</f>
        <v/>
      </c>
    </row>
    <row r="286" ht="27.5" customHeight="1" s="62">
      <c r="B286" t="inlineStr">
        <is>
          <t>Moneda Reino Unido Penny 1920</t>
        </is>
      </c>
      <c r="C286" s="0">
        <f>LEN(INDIRECT(ADDRESS(ROW() + (0),COLUMN() + (-1))))</f>
        <v/>
      </c>
      <c r="D286" s="0" t="inlineStr">
        <is>
          <t>Usado</t>
        </is>
      </c>
      <c r="E286" s="38" t="inlineStr">
        <is>
          <t>https://numismaticapopper.com/images/665A.jpeg,https://numismaticapopper.com/images/665B.jpeg</t>
        </is>
      </c>
      <c r="F286" t="inlineStr">
        <is>
          <t>665</t>
        </is>
      </c>
      <c r="G286" s="40" t="n">
        <v>1</v>
      </c>
      <c r="H286" t="n">
        <v>9000</v>
      </c>
      <c r="I286" t="inlineStr">
        <is>
          <t>Referencia de catalogo: KM# 810
Material: Bronce
Bañada en plata</t>
        </is>
      </c>
      <c r="J286" s="31">
        <f>IF(INDIRECT(ADDRESS(ROW() + (0),COLUMN() + (1)))="Agregar cuotas", IF(("16%")="", "-", "16%"), IF(INDIRECT(ADDRESS(ROW() + (0),COLUMN() + (1)))="No agregar cuotas", IF(("16%")="", "-", "16%"), "-"))</f>
        <v/>
      </c>
      <c r="K286" s="0" t="inlineStr">
        <is>
          <t>No agregar cuotas</t>
        </is>
      </c>
      <c r="L286" s="31">
        <f>IF(INDIRECT(ADDRESS(ROW() + (0),COLUMN() + (-1)))="Agregar cuotas", IF(("13.4%")="", "Sin costo", "13.4%"), IF(INDIRECT(ADDRESS(ROW() + (0),COLUMN() + (-1)))="No agregar cuotas", IF(("")="", "Sin costo", ""), "-"))</f>
        <v/>
      </c>
      <c r="M286" s="0" t="inlineStr">
        <is>
          <t>Mercado Envíos</t>
        </is>
      </c>
      <c r="N286" s="0" t="inlineStr">
        <is>
          <t>A cargo del comprador</t>
        </is>
      </c>
      <c r="O286" s="0" t="inlineStr">
        <is>
          <t>Acepto</t>
        </is>
      </c>
      <c r="P286" s="47" t="inlineStr">
        <is>
          <t>Sin garantía</t>
        </is>
      </c>
      <c r="R286" s="0" t="inlineStr">
        <is>
          <t>Seleccionar</t>
        </is>
      </c>
      <c r="S286" s="0" t="inlineStr">
        <is>
          <t>No ofrezco</t>
        </is>
      </c>
      <c r="T286" t="n">
        <v>1920</v>
      </c>
      <c r="U286" s="0" t="inlineStr">
        <is>
          <t>Inglaterra</t>
        </is>
      </c>
      <c r="X286" s="0" t="inlineStr">
        <is>
          <t>Bronce</t>
        </is>
      </c>
      <c r="Z286" t="inlineStr">
        <is>
          <t>Penny</t>
        </is>
      </c>
      <c r="AA286" s="0" t="inlineStr">
        <is>
          <t>Dólar</t>
        </is>
      </c>
      <c r="AB2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6" s="53">
        <f>IF(OR(TRIM(INDIRECT("B"&amp;ROW())) &lt;&gt; "",TRIM(INDIRECT("A"&amp;ROW())) &lt;&gt; ""),AND(TRIM(INDIRECT("A"&amp;ROW())) &lt;&gt; "",TRIM(INDIRECT("D"&amp;ROW())) = "nuevo"),"")</f>
        <v/>
      </c>
    </row>
    <row r="287" ht="27.5" customHeight="1" s="62">
      <c r="B287" t="inlineStr">
        <is>
          <t>Moneda Reino Unido Penny 1913</t>
        </is>
      </c>
      <c r="C287" s="0">
        <f>LEN(INDIRECT(ADDRESS(ROW() + (0),COLUMN() + (-1))))</f>
        <v/>
      </c>
      <c r="D287" s="0" t="inlineStr">
        <is>
          <t>Usado</t>
        </is>
      </c>
      <c r="E287" s="38" t="inlineStr">
        <is>
          <t>https://numismaticapopper.com/images/666A.jpeg,https://numismaticapopper.com/images/666B.jpeg</t>
        </is>
      </c>
      <c r="F287" t="inlineStr">
        <is>
          <t>666</t>
        </is>
      </c>
      <c r="G287" s="40" t="n">
        <v>1</v>
      </c>
      <c r="H287" t="n">
        <v>10000</v>
      </c>
      <c r="I287" t="inlineStr">
        <is>
          <t>Referencia de catalogo: KM# 810
Material: Bronce</t>
        </is>
      </c>
      <c r="J287" s="31">
        <f>IF(INDIRECT(ADDRESS(ROW() + (0),COLUMN() + (1)))="Agregar cuotas", IF(("16%")="", "-", "16%"), IF(INDIRECT(ADDRESS(ROW() + (0),COLUMN() + (1)))="No agregar cuotas", IF(("16%")="", "-", "16%"), "-"))</f>
        <v/>
      </c>
      <c r="K287" s="0" t="inlineStr">
        <is>
          <t>No agregar cuotas</t>
        </is>
      </c>
      <c r="L287" s="31">
        <f>IF(INDIRECT(ADDRESS(ROW() + (0),COLUMN() + (-1)))="Agregar cuotas", IF(("13.4%")="", "Sin costo", "13.4%"), IF(INDIRECT(ADDRESS(ROW() + (0),COLUMN() + (-1)))="No agregar cuotas", IF(("")="", "Sin costo", ""), "-"))</f>
        <v/>
      </c>
      <c r="M287" s="0" t="inlineStr">
        <is>
          <t>Mercado Envíos</t>
        </is>
      </c>
      <c r="N287" s="0" t="inlineStr">
        <is>
          <t>A cargo del comprador</t>
        </is>
      </c>
      <c r="O287" s="0" t="inlineStr">
        <is>
          <t>Acepto</t>
        </is>
      </c>
      <c r="P287" s="47" t="inlineStr">
        <is>
          <t>Sin garantía</t>
        </is>
      </c>
      <c r="R287" s="0" t="inlineStr">
        <is>
          <t>Seleccionar</t>
        </is>
      </c>
      <c r="S287" s="0" t="inlineStr">
        <is>
          <t>No ofrezco</t>
        </is>
      </c>
      <c r="T287" t="n">
        <v>1913</v>
      </c>
      <c r="U287" s="0" t="inlineStr">
        <is>
          <t>Inglaterra</t>
        </is>
      </c>
      <c r="X287" s="0" t="inlineStr">
        <is>
          <t>Bronce</t>
        </is>
      </c>
      <c r="Z287" t="inlineStr">
        <is>
          <t>Penny</t>
        </is>
      </c>
      <c r="AA287" s="0" t="inlineStr">
        <is>
          <t>Dólar</t>
        </is>
      </c>
      <c r="AB2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7" s="53">
        <f>IF(OR(TRIM(INDIRECT("B"&amp;ROW())) &lt;&gt; "",TRIM(INDIRECT("A"&amp;ROW())) &lt;&gt; ""),AND(TRIM(INDIRECT("A"&amp;ROW())) &lt;&gt; "",TRIM(INDIRECT("D"&amp;ROW())) = "nuevo"),"")</f>
        <v/>
      </c>
    </row>
    <row r="288" ht="27.5" customHeight="1" s="62">
      <c r="B288" t="inlineStr">
        <is>
          <t>Moneda Reino Unido Penny 1921</t>
        </is>
      </c>
      <c r="C288" s="0">
        <f>LEN(INDIRECT(ADDRESS(ROW() + (0),COLUMN() + (-1))))</f>
        <v/>
      </c>
      <c r="D288" s="0" t="inlineStr">
        <is>
          <t>Usado</t>
        </is>
      </c>
      <c r="E288" s="38" t="inlineStr">
        <is>
          <t>https://numismaticapopper.com/images/667A.jpeg,https://numismaticapopper.com/images/667B.jpeg</t>
        </is>
      </c>
      <c r="F288" t="inlineStr">
        <is>
          <t>667</t>
        </is>
      </c>
      <c r="G288" s="40" t="n">
        <v>1</v>
      </c>
      <c r="H288" t="n">
        <v>9000</v>
      </c>
      <c r="I288" t="inlineStr">
        <is>
          <t>Referencia de catalogo: KM# 810
Material: Bronce</t>
        </is>
      </c>
      <c r="J288" s="31">
        <f>IF(INDIRECT(ADDRESS(ROW() + (0),COLUMN() + (1)))="Agregar cuotas", IF(("16%")="", "-", "16%"), IF(INDIRECT(ADDRESS(ROW() + (0),COLUMN() + (1)))="No agregar cuotas", IF(("16%")="", "-", "16%"), "-"))</f>
        <v/>
      </c>
      <c r="K288" s="0" t="inlineStr">
        <is>
          <t>No agregar cuotas</t>
        </is>
      </c>
      <c r="L288" s="31">
        <f>IF(INDIRECT(ADDRESS(ROW() + (0),COLUMN() + (-1)))="Agregar cuotas", IF(("13.4%")="", "Sin costo", "13.4%"), IF(INDIRECT(ADDRESS(ROW() + (0),COLUMN() + (-1)))="No agregar cuotas", IF(("")="", "Sin costo", ""), "-"))</f>
        <v/>
      </c>
      <c r="M288" s="0" t="inlineStr">
        <is>
          <t>Mercado Envíos</t>
        </is>
      </c>
      <c r="N288" s="0" t="inlineStr">
        <is>
          <t>A cargo del comprador</t>
        </is>
      </c>
      <c r="O288" s="0" t="inlineStr">
        <is>
          <t>Acepto</t>
        </is>
      </c>
      <c r="P288" s="47" t="inlineStr">
        <is>
          <t>Sin garantía</t>
        </is>
      </c>
      <c r="R288" s="0" t="inlineStr">
        <is>
          <t>Seleccionar</t>
        </is>
      </c>
      <c r="S288" s="0" t="inlineStr">
        <is>
          <t>No ofrezco</t>
        </is>
      </c>
      <c r="T288" t="n">
        <v>1921</v>
      </c>
      <c r="U288" s="0" t="inlineStr">
        <is>
          <t>Inglaterra</t>
        </is>
      </c>
      <c r="X288" s="0" t="inlineStr">
        <is>
          <t>Bronce</t>
        </is>
      </c>
      <c r="Z288" t="inlineStr">
        <is>
          <t>Penny</t>
        </is>
      </c>
      <c r="AA288" s="0" t="inlineStr">
        <is>
          <t>Dólar</t>
        </is>
      </c>
      <c r="AB2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8" s="53">
        <f>IF(OR(TRIM(INDIRECT("B"&amp;ROW())) &lt;&gt; "",TRIM(INDIRECT("A"&amp;ROW())) &lt;&gt; ""),AND(TRIM(INDIRECT("A"&amp;ROW())) &lt;&gt; "",TRIM(INDIRECT("D"&amp;ROW())) = "nuevo"),"")</f>
        <v/>
      </c>
    </row>
    <row r="289" ht="27.5" customHeight="1" s="62">
      <c r="B289" t="inlineStr">
        <is>
          <t>Moneda Reino Unido Penny 1906</t>
        </is>
      </c>
      <c r="C289" s="0">
        <f>LEN(INDIRECT(ADDRESS(ROW() + (0),COLUMN() + (-1))))</f>
        <v/>
      </c>
      <c r="D289" s="0" t="inlineStr">
        <is>
          <t>Usado</t>
        </is>
      </c>
      <c r="E289" s="38" t="inlineStr">
        <is>
          <t>https://numismaticapopper.com/images/668A.jpeg,https://numismaticapopper.com/images/668B.jpeg</t>
        </is>
      </c>
      <c r="F289" t="inlineStr">
        <is>
          <t>668</t>
        </is>
      </c>
      <c r="G289" s="40" t="n">
        <v>1</v>
      </c>
      <c r="H289" t="n">
        <v>9000</v>
      </c>
      <c r="I289" t="inlineStr">
        <is>
          <t>Referencia de catalogo: KM# 794.2
Material: Bronce</t>
        </is>
      </c>
      <c r="J289" s="31">
        <f>IF(INDIRECT(ADDRESS(ROW() + (0),COLUMN() + (1)))="Agregar cuotas", IF(("16%")="", "-", "16%"), IF(INDIRECT(ADDRESS(ROW() + (0),COLUMN() + (1)))="No agregar cuotas", IF(("16%")="", "-", "16%"), "-"))</f>
        <v/>
      </c>
      <c r="K289" s="0" t="inlineStr">
        <is>
          <t>No agregar cuotas</t>
        </is>
      </c>
      <c r="L289" s="31">
        <f>IF(INDIRECT(ADDRESS(ROW() + (0),COLUMN() + (-1)))="Agregar cuotas", IF(("13.4%")="", "Sin costo", "13.4%"), IF(INDIRECT(ADDRESS(ROW() + (0),COLUMN() + (-1)))="No agregar cuotas", IF(("")="", "Sin costo", ""), "-"))</f>
        <v/>
      </c>
      <c r="M289" s="0" t="inlineStr">
        <is>
          <t>Mercado Envíos</t>
        </is>
      </c>
      <c r="N289" s="0" t="inlineStr">
        <is>
          <t>A cargo del comprador</t>
        </is>
      </c>
      <c r="O289" s="0" t="inlineStr">
        <is>
          <t>Acepto</t>
        </is>
      </c>
      <c r="P289" s="47" t="inlineStr">
        <is>
          <t>Sin garantía</t>
        </is>
      </c>
      <c r="R289" s="0" t="inlineStr">
        <is>
          <t>Seleccionar</t>
        </is>
      </c>
      <c r="S289" s="0" t="inlineStr">
        <is>
          <t>No ofrezco</t>
        </is>
      </c>
      <c r="T289" t="n">
        <v>1906</v>
      </c>
      <c r="U289" s="0" t="inlineStr">
        <is>
          <t>Inglaterra</t>
        </is>
      </c>
      <c r="X289" s="0" t="inlineStr">
        <is>
          <t>Bronce</t>
        </is>
      </c>
      <c r="Z289" t="inlineStr">
        <is>
          <t>Penny</t>
        </is>
      </c>
      <c r="AA289" s="0" t="inlineStr">
        <is>
          <t>Dólar</t>
        </is>
      </c>
      <c r="AB2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89" s="53">
        <f>IF(OR(TRIM(INDIRECT("B"&amp;ROW())) &lt;&gt; "",TRIM(INDIRECT("A"&amp;ROW())) &lt;&gt; ""),AND(TRIM(INDIRECT("A"&amp;ROW())) &lt;&gt; "",TRIM(INDIRECT("D"&amp;ROW())) = "nuevo"),"")</f>
        <v/>
      </c>
    </row>
    <row r="290" ht="27.5" customHeight="1" s="62">
      <c r="B290" t="inlineStr">
        <is>
          <t>Moneda Brasil 100 Reis 1901</t>
        </is>
      </c>
      <c r="C290" s="0">
        <f>LEN(INDIRECT(ADDRESS(ROW() + (0),COLUMN() + (-1))))</f>
        <v/>
      </c>
      <c r="D290" s="0" t="inlineStr">
        <is>
          <t>Usado</t>
        </is>
      </c>
      <c r="E290" s="38" t="inlineStr">
        <is>
          <t>https://numismaticapopper.com/images/669A.jpeg,https://numismaticapopper.com/images/669B.jpeg</t>
        </is>
      </c>
      <c r="F290" t="inlineStr">
        <is>
          <t>669</t>
        </is>
      </c>
      <c r="G290" s="40" t="n">
        <v>1</v>
      </c>
      <c r="H290" t="n">
        <v>9000</v>
      </c>
      <c r="I290" t="inlineStr">
        <is>
          <t>Estado de conservacion: Muy Buena -
Referencia de catalogo: KM# 503
Material: Cuproníquel
Año único</t>
        </is>
      </c>
      <c r="J290" s="31">
        <f>IF(INDIRECT(ADDRESS(ROW() + (0),COLUMN() + (1)))="Agregar cuotas", IF(("16%")="", "-", "16%"), IF(INDIRECT(ADDRESS(ROW() + (0),COLUMN() + (1)))="No agregar cuotas", IF(("16%")="", "-", "16%"), "-"))</f>
        <v/>
      </c>
      <c r="K290" s="0" t="inlineStr">
        <is>
          <t>No agregar cuotas</t>
        </is>
      </c>
      <c r="L290" s="31">
        <f>IF(INDIRECT(ADDRESS(ROW() + (0),COLUMN() + (-1)))="Agregar cuotas", IF(("13.4%")="", "Sin costo", "13.4%"), IF(INDIRECT(ADDRESS(ROW() + (0),COLUMN() + (-1)))="No agregar cuotas", IF(("")="", "Sin costo", ""), "-"))</f>
        <v/>
      </c>
      <c r="M290" s="0" t="inlineStr">
        <is>
          <t>Mercado Envíos</t>
        </is>
      </c>
      <c r="N290" s="0" t="inlineStr">
        <is>
          <t>A cargo del comprador</t>
        </is>
      </c>
      <c r="O290" s="0" t="inlineStr">
        <is>
          <t>Acepto</t>
        </is>
      </c>
      <c r="P290" s="47" t="inlineStr">
        <is>
          <t>Sin garantía</t>
        </is>
      </c>
      <c r="R290" s="0" t="inlineStr">
        <is>
          <t>Seleccionar</t>
        </is>
      </c>
      <c r="S290" s="0" t="inlineStr">
        <is>
          <t>No ofrezco</t>
        </is>
      </c>
      <c r="T290" t="n">
        <v>1901</v>
      </c>
      <c r="U290" s="0" t="inlineStr">
        <is>
          <t>Brasil</t>
        </is>
      </c>
      <c r="X290" s="0" t="inlineStr">
        <is>
          <t>Níquel</t>
        </is>
      </c>
      <c r="Z290" t="inlineStr">
        <is>
          <t>100 Reis</t>
        </is>
      </c>
      <c r="AA290" s="0" t="inlineStr">
        <is>
          <t>Real</t>
        </is>
      </c>
      <c r="AB2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0" s="53">
        <f>IF(OR(TRIM(INDIRECT("B"&amp;ROW())) &lt;&gt; "",TRIM(INDIRECT("A"&amp;ROW())) &lt;&gt; ""),AND(TRIM(INDIRECT("A"&amp;ROW())) &lt;&gt; "",TRIM(INDIRECT("D"&amp;ROW())) = "nuevo"),"")</f>
        <v/>
      </c>
    </row>
    <row r="291" ht="27.5" customHeight="1" s="62">
      <c r="B291" t="inlineStr">
        <is>
          <t>Moneda Brasil 20 Centavos 1946</t>
        </is>
      </c>
      <c r="C291" s="0">
        <f>LEN(INDIRECT(ADDRESS(ROW() + (0),COLUMN() + (-1))))</f>
        <v/>
      </c>
      <c r="D291" s="0" t="inlineStr">
        <is>
          <t>Usado</t>
        </is>
      </c>
      <c r="E291" s="38" t="inlineStr">
        <is>
          <t>https://numismaticapopper.com/images/671A.jpeg,https://numismaticapopper.com/images/671B.jpeg</t>
        </is>
      </c>
      <c r="F291" t="inlineStr">
        <is>
          <t>671</t>
        </is>
      </c>
      <c r="G291" s="40" t="n">
        <v>1</v>
      </c>
      <c r="H291" t="n">
        <v>7000</v>
      </c>
      <c r="I291" t="inlineStr">
        <is>
          <t>Estado de conservacion: Muy Buena
Referencia de catalogo: KM# 556a
Material: Bronce-aluminio</t>
        </is>
      </c>
      <c r="J291" s="31">
        <f>IF(INDIRECT(ADDRESS(ROW() + (0),COLUMN() + (1)))="Agregar cuotas", IF(("16%")="", "-", "16%"), IF(INDIRECT(ADDRESS(ROW() + (0),COLUMN() + (1)))="No agregar cuotas", IF(("16%")="", "-", "16%"), "-"))</f>
        <v/>
      </c>
      <c r="K291" s="0" t="inlineStr">
        <is>
          <t>No agregar cuotas</t>
        </is>
      </c>
      <c r="L291" s="31">
        <f>IF(INDIRECT(ADDRESS(ROW() + (0),COLUMN() + (-1)))="Agregar cuotas", IF(("13.4%")="", "Sin costo", "13.4%"), IF(INDIRECT(ADDRESS(ROW() + (0),COLUMN() + (-1)))="No agregar cuotas", IF(("")="", "Sin costo", ""), "-"))</f>
        <v/>
      </c>
      <c r="M291" s="0" t="inlineStr">
        <is>
          <t>Mercado Envíos</t>
        </is>
      </c>
      <c r="N291" s="0" t="inlineStr">
        <is>
          <t>A cargo del comprador</t>
        </is>
      </c>
      <c r="O291" s="0" t="inlineStr">
        <is>
          <t>Acepto</t>
        </is>
      </c>
      <c r="P291" s="47" t="inlineStr">
        <is>
          <t>Sin garantía</t>
        </is>
      </c>
      <c r="R291" s="0" t="inlineStr">
        <is>
          <t>Seleccionar</t>
        </is>
      </c>
      <c r="S291" s="0" t="inlineStr">
        <is>
          <t>No ofrezco</t>
        </is>
      </c>
      <c r="T291" t="n">
        <v>1946</v>
      </c>
      <c r="U291" s="0" t="inlineStr">
        <is>
          <t>Brasil</t>
        </is>
      </c>
      <c r="X291" s="0" t="inlineStr">
        <is>
          <t>Bronce</t>
        </is>
      </c>
      <c r="Z291" t="inlineStr">
        <is>
          <t>20 Centavos</t>
        </is>
      </c>
      <c r="AA291" s="0" t="inlineStr">
        <is>
          <t>Peso</t>
        </is>
      </c>
      <c r="AB2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1" s="53">
        <f>IF(OR(TRIM(INDIRECT("B"&amp;ROW())) &lt;&gt; "",TRIM(INDIRECT("A"&amp;ROW())) &lt;&gt; ""),AND(TRIM(INDIRECT("A"&amp;ROW())) &lt;&gt; "",TRIM(INDIRECT("D"&amp;ROW())) = "nuevo"),"")</f>
        <v/>
      </c>
    </row>
    <row r="292" ht="27.5" customHeight="1" s="62">
      <c r="B292" t="inlineStr">
        <is>
          <t>Moneda Brasil 100 Reis 1871</t>
        </is>
      </c>
      <c r="C292" s="0">
        <f>LEN(INDIRECT(ADDRESS(ROW() + (0),COLUMN() + (-1))))</f>
        <v/>
      </c>
      <c r="D292" s="0" t="inlineStr">
        <is>
          <t>Usado</t>
        </is>
      </c>
      <c r="E292" s="38" t="inlineStr">
        <is>
          <t>https://numismaticapopper.com/images/675A.jpeg,https://numismaticapopper.com/images/675B.jpeg</t>
        </is>
      </c>
      <c r="F292" t="inlineStr">
        <is>
          <t>675</t>
        </is>
      </c>
      <c r="G292" s="40" t="n">
        <v>1</v>
      </c>
      <c r="H292" t="n">
        <v>10000</v>
      </c>
      <c r="I292" t="inlineStr">
        <is>
          <t>Estado de conservacion: Buena +
Referencia de catalogo: KM# 477
Material: Cuproníquel
Tirada: 4 millones</t>
        </is>
      </c>
      <c r="J292" s="31">
        <f>IF(INDIRECT(ADDRESS(ROW() + (0),COLUMN() + (1)))="Agregar cuotas", IF(("16%")="", "-", "16%"), IF(INDIRECT(ADDRESS(ROW() + (0),COLUMN() + (1)))="No agregar cuotas", IF(("16%")="", "-", "16%"), "-"))</f>
        <v/>
      </c>
      <c r="K292" s="0" t="inlineStr">
        <is>
          <t>No agregar cuotas</t>
        </is>
      </c>
      <c r="L292" s="31">
        <f>IF(INDIRECT(ADDRESS(ROW() + (0),COLUMN() + (-1)))="Agregar cuotas", IF(("13.4%")="", "Sin costo", "13.4%"), IF(INDIRECT(ADDRESS(ROW() + (0),COLUMN() + (-1)))="No agregar cuotas", IF(("")="", "Sin costo", ""), "-"))</f>
        <v/>
      </c>
      <c r="M292" s="0" t="inlineStr">
        <is>
          <t>Mercado Envíos</t>
        </is>
      </c>
      <c r="N292" s="0" t="inlineStr">
        <is>
          <t>A cargo del comprador</t>
        </is>
      </c>
      <c r="O292" s="0" t="inlineStr">
        <is>
          <t>Acepto</t>
        </is>
      </c>
      <c r="P292" s="47" t="inlineStr">
        <is>
          <t>Sin garantía</t>
        </is>
      </c>
      <c r="R292" s="0" t="inlineStr">
        <is>
          <t>Seleccionar</t>
        </is>
      </c>
      <c r="S292" s="0" t="inlineStr">
        <is>
          <t>No ofrezco</t>
        </is>
      </c>
      <c r="T292" t="n">
        <v>1871</v>
      </c>
      <c r="U292" s="0" t="inlineStr">
        <is>
          <t>Brasil</t>
        </is>
      </c>
      <c r="X292" s="0" t="inlineStr">
        <is>
          <t>Níquel</t>
        </is>
      </c>
      <c r="Z292" t="inlineStr">
        <is>
          <t>100 Reis</t>
        </is>
      </c>
      <c r="AA292" s="0" t="inlineStr">
        <is>
          <t>Real</t>
        </is>
      </c>
      <c r="AB2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2" s="53">
        <f>IF(OR(TRIM(INDIRECT("B"&amp;ROW())) &lt;&gt; "",TRIM(INDIRECT("A"&amp;ROW())) &lt;&gt; ""),AND(TRIM(INDIRECT("A"&amp;ROW())) &lt;&gt; "",TRIM(INDIRECT("D"&amp;ROW())) = "nuevo"),"")</f>
        <v/>
      </c>
    </row>
    <row r="293" ht="27.5" customHeight="1" s="62">
      <c r="B293" t="inlineStr">
        <is>
          <t>Moneda Brasil Centavo 1998</t>
        </is>
      </c>
      <c r="C293" s="0">
        <f>LEN(INDIRECT(ADDRESS(ROW() + (0),COLUMN() + (-1))))</f>
        <v/>
      </c>
      <c r="D293" s="0" t="inlineStr">
        <is>
          <t>Usado</t>
        </is>
      </c>
      <c r="E293" s="38" t="inlineStr">
        <is>
          <t>https://numismaticapopper.com/images/676A.jpeg,https://numismaticapopper.com/images/676B.jpeg</t>
        </is>
      </c>
      <c r="F293" t="inlineStr">
        <is>
          <t>676</t>
        </is>
      </c>
      <c r="G293" s="40" t="n">
        <v>1</v>
      </c>
      <c r="H293" t="n">
        <v>7000</v>
      </c>
      <c r="I293" t="inlineStr">
        <is>
          <t>Estado de conservacion: Sin Circular
Referencia de catalogo: KM# 647
Material: Bronce</t>
        </is>
      </c>
      <c r="J293" s="31">
        <f>IF(INDIRECT(ADDRESS(ROW() + (0),COLUMN() + (1)))="Agregar cuotas", IF(("16%")="", "-", "16%"), IF(INDIRECT(ADDRESS(ROW() + (0),COLUMN() + (1)))="No agregar cuotas", IF(("16%")="", "-", "16%"), "-"))</f>
        <v/>
      </c>
      <c r="K293" s="0" t="inlineStr">
        <is>
          <t>No agregar cuotas</t>
        </is>
      </c>
      <c r="L293" s="31">
        <f>IF(INDIRECT(ADDRESS(ROW() + (0),COLUMN() + (-1)))="Agregar cuotas", IF(("13.4%")="", "Sin costo", "13.4%"), IF(INDIRECT(ADDRESS(ROW() + (0),COLUMN() + (-1)))="No agregar cuotas", IF(("")="", "Sin costo", ""), "-"))</f>
        <v/>
      </c>
      <c r="M293" s="0" t="inlineStr">
        <is>
          <t>Mercado Envíos</t>
        </is>
      </c>
      <c r="N293" s="0" t="inlineStr">
        <is>
          <t>A cargo del comprador</t>
        </is>
      </c>
      <c r="O293" s="0" t="inlineStr">
        <is>
          <t>Acepto</t>
        </is>
      </c>
      <c r="P293" s="47" t="inlineStr">
        <is>
          <t>Sin garantía</t>
        </is>
      </c>
      <c r="R293" s="0" t="inlineStr">
        <is>
          <t>Seleccionar</t>
        </is>
      </c>
      <c r="S293" s="0" t="inlineStr">
        <is>
          <t>No ofrezco</t>
        </is>
      </c>
      <c r="T293" t="n">
        <v>1998</v>
      </c>
      <c r="U293" s="0" t="inlineStr">
        <is>
          <t>Brasil</t>
        </is>
      </c>
      <c r="X293" s="0" t="inlineStr">
        <is>
          <t>Bronce</t>
        </is>
      </c>
      <c r="Z293" t="inlineStr">
        <is>
          <t>Centavo</t>
        </is>
      </c>
      <c r="AA293" s="0" t="inlineStr">
        <is>
          <t>Peso</t>
        </is>
      </c>
      <c r="AB2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3" s="53">
        <f>IF(OR(TRIM(INDIRECT("B"&amp;ROW())) &lt;&gt; "",TRIM(INDIRECT("A"&amp;ROW())) &lt;&gt; ""),AND(TRIM(INDIRECT("A"&amp;ROW())) &lt;&gt; "",TRIM(INDIRECT("D"&amp;ROW())) = "nuevo"),"")</f>
        <v/>
      </c>
    </row>
    <row r="294" ht="27.5" customHeight="1" s="62">
      <c r="B294" t="inlineStr">
        <is>
          <t>Moneda Reino Unido 3 Pence 1960</t>
        </is>
      </c>
      <c r="C294" s="0">
        <f>LEN(INDIRECT(ADDRESS(ROW() + (0),COLUMN() + (-1))))</f>
        <v/>
      </c>
      <c r="D294" s="0" t="inlineStr">
        <is>
          <t>Usado</t>
        </is>
      </c>
      <c r="E294" s="38" t="inlineStr">
        <is>
          <t>https://numismaticapopper.com/images/678A.jpeg,https://numismaticapopper.com/images/678B.jpeg</t>
        </is>
      </c>
      <c r="F294" t="inlineStr">
        <is>
          <t>678</t>
        </is>
      </c>
      <c r="G294" s="40" t="n">
        <v>1</v>
      </c>
      <c r="H294" t="n">
        <v>7000</v>
      </c>
      <c r="I294" t="inlineStr">
        <is>
          <t>Estado de conservacion: Muy Buena +
Referencia de catalogo: KM# 900</t>
        </is>
      </c>
      <c r="J294" s="31">
        <f>IF(INDIRECT(ADDRESS(ROW() + (0),COLUMN() + (1)))="Agregar cuotas", IF(("16%")="", "-", "16%"), IF(INDIRECT(ADDRESS(ROW() + (0),COLUMN() + (1)))="No agregar cuotas", IF(("16%")="", "-", "16%"), "-"))</f>
        <v/>
      </c>
      <c r="K294" s="0" t="inlineStr">
        <is>
          <t>No agregar cuotas</t>
        </is>
      </c>
      <c r="L294" s="31">
        <f>IF(INDIRECT(ADDRESS(ROW() + (0),COLUMN() + (-1)))="Agregar cuotas", IF(("13.4%")="", "Sin costo", "13.4%"), IF(INDIRECT(ADDRESS(ROW() + (0),COLUMN() + (-1)))="No agregar cuotas", IF(("")="", "Sin costo", ""), "-"))</f>
        <v/>
      </c>
      <c r="M294" s="0" t="inlineStr">
        <is>
          <t>Mercado Envíos</t>
        </is>
      </c>
      <c r="N294" s="0" t="inlineStr">
        <is>
          <t>A cargo del comprador</t>
        </is>
      </c>
      <c r="O294" s="0" t="inlineStr">
        <is>
          <t>Acepto</t>
        </is>
      </c>
      <c r="P294" s="47" t="inlineStr">
        <is>
          <t>Sin garantía</t>
        </is>
      </c>
      <c r="R294" s="0" t="inlineStr">
        <is>
          <t>Seleccionar</t>
        </is>
      </c>
      <c r="S294" s="0" t="inlineStr">
        <is>
          <t>No ofrezco</t>
        </is>
      </c>
      <c r="T294" t="n">
        <v>1960</v>
      </c>
      <c r="U294" s="0" t="inlineStr">
        <is>
          <t>Inglaterra</t>
        </is>
      </c>
      <c r="X294" s="0" t="inlineStr">
        <is>
          <t>Níquel</t>
        </is>
      </c>
      <c r="Z294" t="inlineStr">
        <is>
          <t>3 Pence</t>
        </is>
      </c>
      <c r="AA294" s="0" t="inlineStr">
        <is>
          <t>Dólar</t>
        </is>
      </c>
      <c r="AB2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4" s="53">
        <f>IF(OR(TRIM(INDIRECT("B"&amp;ROW())) &lt;&gt; "",TRIM(INDIRECT("A"&amp;ROW())) &lt;&gt; ""),AND(TRIM(INDIRECT("A"&amp;ROW())) &lt;&gt; "",TRIM(INDIRECT("D"&amp;ROW())) = "nuevo"),"")</f>
        <v/>
      </c>
    </row>
    <row r="295" ht="27.5" customHeight="1" s="62">
      <c r="B295" t="inlineStr">
        <is>
          <t>Moneda Reino Unido Penny 1872</t>
        </is>
      </c>
      <c r="C295" s="0">
        <f>LEN(INDIRECT(ADDRESS(ROW() + (0),COLUMN() + (-1))))</f>
        <v/>
      </c>
      <c r="D295" s="0" t="inlineStr">
        <is>
          <t>Usado</t>
        </is>
      </c>
      <c r="E295" s="38" t="inlineStr">
        <is>
          <t>https://numismaticapopper.com/images/680A.jpeg,https://numismaticapopper.com/images/680B.jpeg</t>
        </is>
      </c>
      <c r="F295" t="inlineStr">
        <is>
          <t>680</t>
        </is>
      </c>
      <c r="G295" s="40" t="n">
        <v>1</v>
      </c>
      <c r="H295" t="n">
        <v>7000</v>
      </c>
      <c r="I295" t="inlineStr">
        <is>
          <t>Estado de conservacion: Regular
Referencia de catalogo: KM# 755
Material: Bronce</t>
        </is>
      </c>
      <c r="J295" s="31">
        <f>IF(INDIRECT(ADDRESS(ROW() + (0),COLUMN() + (1)))="Agregar cuotas", IF(("16%")="", "-", "16%"), IF(INDIRECT(ADDRESS(ROW() + (0),COLUMN() + (1)))="No agregar cuotas", IF(("16%")="", "-", "16%"), "-"))</f>
        <v/>
      </c>
      <c r="K295" s="0" t="inlineStr">
        <is>
          <t>No agregar cuotas</t>
        </is>
      </c>
      <c r="L295" s="31">
        <f>IF(INDIRECT(ADDRESS(ROW() + (0),COLUMN() + (-1)))="Agregar cuotas", IF(("13.4%")="", "Sin costo", "13.4%"), IF(INDIRECT(ADDRESS(ROW() + (0),COLUMN() + (-1)))="No agregar cuotas", IF(("")="", "Sin costo", ""), "-"))</f>
        <v/>
      </c>
      <c r="M295" s="0" t="inlineStr">
        <is>
          <t>Mercado Envíos</t>
        </is>
      </c>
      <c r="N295" s="0" t="inlineStr">
        <is>
          <t>A cargo del comprador</t>
        </is>
      </c>
      <c r="O295" s="0" t="inlineStr">
        <is>
          <t>Acepto</t>
        </is>
      </c>
      <c r="P295" s="47" t="inlineStr">
        <is>
          <t>Sin garantía</t>
        </is>
      </c>
      <c r="R295" s="0" t="inlineStr">
        <is>
          <t>Seleccionar</t>
        </is>
      </c>
      <c r="S295" s="0" t="inlineStr">
        <is>
          <t>No ofrezco</t>
        </is>
      </c>
      <c r="T295" t="n">
        <v>1872</v>
      </c>
      <c r="U295" s="0" t="inlineStr">
        <is>
          <t>Inglaterra</t>
        </is>
      </c>
      <c r="X295" s="0" t="inlineStr">
        <is>
          <t>Bronce</t>
        </is>
      </c>
      <c r="Z295" t="inlineStr">
        <is>
          <t>Penny</t>
        </is>
      </c>
      <c r="AA295" s="0" t="inlineStr">
        <is>
          <t>Dólar</t>
        </is>
      </c>
      <c r="AB2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5" s="53">
        <f>IF(OR(TRIM(INDIRECT("B"&amp;ROW())) &lt;&gt; "",TRIM(INDIRECT("A"&amp;ROW())) &lt;&gt; ""),AND(TRIM(INDIRECT("A"&amp;ROW())) &lt;&gt; "",TRIM(INDIRECT("D"&amp;ROW())) = "nuevo"),"")</f>
        <v/>
      </c>
    </row>
    <row r="296" ht="27.5" customHeight="1" s="62">
      <c r="B296" t="inlineStr">
        <is>
          <t>Moneda Uruguay 2 Centésimos 1977</t>
        </is>
      </c>
      <c r="C296" s="0">
        <f>LEN(INDIRECT(ADDRESS(ROW() + (0),COLUMN() + (-1))))</f>
        <v/>
      </c>
      <c r="D296" s="0" t="inlineStr">
        <is>
          <t>Usado</t>
        </is>
      </c>
      <c r="E296" s="38" t="inlineStr">
        <is>
          <t>https://numismaticapopper.com/images/683A.jpeg,https://numismaticapopper.com/images/683B.jpeg</t>
        </is>
      </c>
      <c r="F296" t="inlineStr">
        <is>
          <t>683</t>
        </is>
      </c>
      <c r="G296" s="40" t="n">
        <v>1</v>
      </c>
      <c r="H296" t="n">
        <v>8000</v>
      </c>
      <c r="I296" t="inlineStr">
        <is>
          <t>Estado de conservacion: Muy Buena
Referencia de catalogo: KM# 72
Material: Aluminio</t>
        </is>
      </c>
      <c r="J296" s="31">
        <f>IF(INDIRECT(ADDRESS(ROW() + (0),COLUMN() + (1)))="Agregar cuotas", IF(("16%")="", "-", "16%"), IF(INDIRECT(ADDRESS(ROW() + (0),COLUMN() + (1)))="No agregar cuotas", IF(("16%")="", "-", "16%"), "-"))</f>
        <v/>
      </c>
      <c r="K296" s="0" t="inlineStr">
        <is>
          <t>No agregar cuotas</t>
        </is>
      </c>
      <c r="L296" s="31">
        <f>IF(INDIRECT(ADDRESS(ROW() + (0),COLUMN() + (-1)))="Agregar cuotas", IF(("13.4%")="", "Sin costo", "13.4%"), IF(INDIRECT(ADDRESS(ROW() + (0),COLUMN() + (-1)))="No agregar cuotas", IF(("")="", "Sin costo", ""), "-"))</f>
        <v/>
      </c>
      <c r="M296" s="0" t="inlineStr">
        <is>
          <t>Mercado Envíos</t>
        </is>
      </c>
      <c r="N296" s="0" t="inlineStr">
        <is>
          <t>A cargo del comprador</t>
        </is>
      </c>
      <c r="O296" s="0" t="inlineStr">
        <is>
          <t>Acepto</t>
        </is>
      </c>
      <c r="P296" s="47" t="inlineStr">
        <is>
          <t>Sin garantía</t>
        </is>
      </c>
      <c r="R296" s="0" t="inlineStr">
        <is>
          <t>Seleccionar</t>
        </is>
      </c>
      <c r="S296" s="0" t="inlineStr">
        <is>
          <t>No ofrezco</t>
        </is>
      </c>
      <c r="T296" t="n">
        <v>1977</v>
      </c>
      <c r="U296" s="0" t="inlineStr">
        <is>
          <t>Uruguay</t>
        </is>
      </c>
      <c r="X296" s="0" t="inlineStr">
        <is>
          <t>Níquel</t>
        </is>
      </c>
      <c r="Z296" t="inlineStr">
        <is>
          <t>2 Centésimos</t>
        </is>
      </c>
      <c r="AA296" s="0" t="inlineStr">
        <is>
          <t>Euro</t>
        </is>
      </c>
      <c r="AB2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6" s="53">
        <f>IF(OR(TRIM(INDIRECT("B"&amp;ROW())) &lt;&gt; "",TRIM(INDIRECT("A"&amp;ROW())) &lt;&gt; ""),AND(TRIM(INDIRECT("A"&amp;ROW())) &lt;&gt; "",TRIM(INDIRECT("D"&amp;ROW())) = "nuevo"),"")</f>
        <v/>
      </c>
    </row>
    <row r="297" ht="27.5" customHeight="1" s="62">
      <c r="B297" t="inlineStr">
        <is>
          <t>Moneda Uruguay 5 Centésimos 1978</t>
        </is>
      </c>
      <c r="C297" s="0">
        <f>LEN(INDIRECT(ADDRESS(ROW() + (0),COLUMN() + (-1))))</f>
        <v/>
      </c>
      <c r="D297" s="0" t="inlineStr">
        <is>
          <t>Usado</t>
        </is>
      </c>
      <c r="E297" s="38" t="inlineStr">
        <is>
          <t>https://numismaticapopper.com/images/684A.jpeg,https://numismaticapopper.com/images/684B.jpeg</t>
        </is>
      </c>
      <c r="F297" t="inlineStr">
        <is>
          <t>684</t>
        </is>
      </c>
      <c r="G297" s="40" t="n">
        <v>1</v>
      </c>
      <c r="H297" t="n">
        <v>8000</v>
      </c>
      <c r="I297" t="inlineStr">
        <is>
          <t>Estado de conservacion: Muy Buena +
Referencia de catalogo: KM# 73
Material: Aluminio</t>
        </is>
      </c>
      <c r="J297" s="31">
        <f>IF(INDIRECT(ADDRESS(ROW() + (0),COLUMN() + (1)))="Agregar cuotas", IF(("16%")="", "-", "16%"), IF(INDIRECT(ADDRESS(ROW() + (0),COLUMN() + (1)))="No agregar cuotas", IF(("16%")="", "-", "16%"), "-"))</f>
        <v/>
      </c>
      <c r="K297" s="0" t="inlineStr">
        <is>
          <t>No agregar cuotas</t>
        </is>
      </c>
      <c r="L297" s="31">
        <f>IF(INDIRECT(ADDRESS(ROW() + (0),COLUMN() + (-1)))="Agregar cuotas", IF(("13.4%")="", "Sin costo", "13.4%"), IF(INDIRECT(ADDRESS(ROW() + (0),COLUMN() + (-1)))="No agregar cuotas", IF(("")="", "Sin costo", ""), "-"))</f>
        <v/>
      </c>
      <c r="M297" s="0" t="inlineStr">
        <is>
          <t>Mercado Envíos</t>
        </is>
      </c>
      <c r="N297" s="0" t="inlineStr">
        <is>
          <t>A cargo del comprador</t>
        </is>
      </c>
      <c r="O297" s="0" t="inlineStr">
        <is>
          <t>Acepto</t>
        </is>
      </c>
      <c r="P297" s="47" t="inlineStr">
        <is>
          <t>Sin garantía</t>
        </is>
      </c>
      <c r="R297" s="0" t="inlineStr">
        <is>
          <t>Seleccionar</t>
        </is>
      </c>
      <c r="S297" s="0" t="inlineStr">
        <is>
          <t>No ofrezco</t>
        </is>
      </c>
      <c r="T297" t="n">
        <v>1978</v>
      </c>
      <c r="U297" s="0" t="inlineStr">
        <is>
          <t>Uruguay</t>
        </is>
      </c>
      <c r="X297" s="0" t="inlineStr">
        <is>
          <t>Níquel</t>
        </is>
      </c>
      <c r="Z297" t="inlineStr">
        <is>
          <t>5 Centésimos</t>
        </is>
      </c>
      <c r="AA297" s="0" t="inlineStr">
        <is>
          <t>Euro</t>
        </is>
      </c>
      <c r="AB2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7" s="53">
        <f>IF(OR(TRIM(INDIRECT("B"&amp;ROW())) &lt;&gt; "",TRIM(INDIRECT("A"&amp;ROW())) &lt;&gt; ""),AND(TRIM(INDIRECT("A"&amp;ROW())) &lt;&gt; "",TRIM(INDIRECT("D"&amp;ROW())) = "nuevo"),"")</f>
        <v/>
      </c>
    </row>
    <row r="298" ht="27.5" customHeight="1" s="62">
      <c r="B298" t="inlineStr">
        <is>
          <t>Moneda Uruguay 2 Centésimos 1901</t>
        </is>
      </c>
      <c r="C298" s="0">
        <f>LEN(INDIRECT(ADDRESS(ROW() + (0),COLUMN() + (-1))))</f>
        <v/>
      </c>
      <c r="D298" s="0" t="inlineStr">
        <is>
          <t>Usado</t>
        </is>
      </c>
      <c r="E298" s="38" t="inlineStr">
        <is>
          <t>https://numismaticapopper.com/images/685A.jpeg,https://numismaticapopper.com/images/685B.jpeg</t>
        </is>
      </c>
      <c r="F298" t="inlineStr">
        <is>
          <t>685</t>
        </is>
      </c>
      <c r="G298" s="40" t="n">
        <v>1</v>
      </c>
      <c r="H298" t="n">
        <v>7000</v>
      </c>
      <c r="I298" t="inlineStr">
        <is>
          <t>Estado de conservacion: Excelente
Referencia de catalogo: KM# 20
Material: Cuproníquel
Tirada: 7.504.262</t>
        </is>
      </c>
      <c r="J298" s="31">
        <f>IF(INDIRECT(ADDRESS(ROW() + (0),COLUMN() + (1)))="Agregar cuotas", IF(("16%")="", "-", "16%"), IF(INDIRECT(ADDRESS(ROW() + (0),COLUMN() + (1)))="No agregar cuotas", IF(("16%")="", "-", "16%"), "-"))</f>
        <v/>
      </c>
      <c r="K298" s="0" t="inlineStr">
        <is>
          <t>No agregar cuotas</t>
        </is>
      </c>
      <c r="L298" s="31">
        <f>IF(INDIRECT(ADDRESS(ROW() + (0),COLUMN() + (-1)))="Agregar cuotas", IF(("13.4%")="", "Sin costo", "13.4%"), IF(INDIRECT(ADDRESS(ROW() + (0),COLUMN() + (-1)))="No agregar cuotas", IF(("")="", "Sin costo", ""), "-"))</f>
        <v/>
      </c>
      <c r="M298" s="0" t="inlineStr">
        <is>
          <t>Mercado Envíos</t>
        </is>
      </c>
      <c r="N298" s="0" t="inlineStr">
        <is>
          <t>A cargo del comprador</t>
        </is>
      </c>
      <c r="O298" s="0" t="inlineStr">
        <is>
          <t>Acepto</t>
        </is>
      </c>
      <c r="P298" s="47" t="inlineStr">
        <is>
          <t>Sin garantía</t>
        </is>
      </c>
      <c r="R298" s="0" t="inlineStr">
        <is>
          <t>Seleccionar</t>
        </is>
      </c>
      <c r="S298" s="0" t="inlineStr">
        <is>
          <t>No ofrezco</t>
        </is>
      </c>
      <c r="T298" t="n">
        <v>1901</v>
      </c>
      <c r="U298" s="0" t="inlineStr">
        <is>
          <t>Uruguay</t>
        </is>
      </c>
      <c r="X298" s="0" t="inlineStr">
        <is>
          <t>Níquel</t>
        </is>
      </c>
      <c r="Z298" t="inlineStr">
        <is>
          <t>2 Centésimos</t>
        </is>
      </c>
      <c r="AA298" s="0" t="inlineStr">
        <is>
          <t>Euro</t>
        </is>
      </c>
      <c r="AB2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8" s="53">
        <f>IF(OR(TRIM(INDIRECT("B"&amp;ROW())) &lt;&gt; "",TRIM(INDIRECT("A"&amp;ROW())) &lt;&gt; ""),AND(TRIM(INDIRECT("A"&amp;ROW())) &lt;&gt; "",TRIM(INDIRECT("D"&amp;ROW())) = "nuevo"),"")</f>
        <v/>
      </c>
    </row>
    <row r="299" ht="27.5" customHeight="1" s="62">
      <c r="B299" t="inlineStr">
        <is>
          <t>Moneda Uruguay 2 Centésimos 1909</t>
        </is>
      </c>
      <c r="C299" s="0">
        <f>LEN(INDIRECT(ADDRESS(ROW() + (0),COLUMN() + (-1))))</f>
        <v/>
      </c>
      <c r="D299" s="0" t="inlineStr">
        <is>
          <t>Usado</t>
        </is>
      </c>
      <c r="E299" s="38" t="inlineStr">
        <is>
          <t>https://numismaticapopper.com/images/686A.jpeg,https://numismaticapopper.com/images/686B.jpeg</t>
        </is>
      </c>
      <c r="F299" t="inlineStr">
        <is>
          <t>686</t>
        </is>
      </c>
      <c r="G299" s="40" t="n">
        <v>1</v>
      </c>
      <c r="H299" t="n">
        <v>7000</v>
      </c>
      <c r="I299" t="inlineStr">
        <is>
          <t>Estado de conservacion: Buena -
Referencia de catalogo: KM# 20
Material: Cuproníquel
Tirada: 10 millones</t>
        </is>
      </c>
      <c r="J299" s="31">
        <f>IF(INDIRECT(ADDRESS(ROW() + (0),COLUMN() + (1)))="Agregar cuotas", IF(("16%")="", "-", "16%"), IF(INDIRECT(ADDRESS(ROW() + (0),COLUMN() + (1)))="No agregar cuotas", IF(("16%")="", "-", "16%"), "-"))</f>
        <v/>
      </c>
      <c r="K299" s="0" t="inlineStr">
        <is>
          <t>No agregar cuotas</t>
        </is>
      </c>
      <c r="L299" s="31">
        <f>IF(INDIRECT(ADDRESS(ROW() + (0),COLUMN() + (-1)))="Agregar cuotas", IF(("13.4%")="", "Sin costo", "13.4%"), IF(INDIRECT(ADDRESS(ROW() + (0),COLUMN() + (-1)))="No agregar cuotas", IF(("")="", "Sin costo", ""), "-"))</f>
        <v/>
      </c>
      <c r="M299" s="0" t="inlineStr">
        <is>
          <t>Mercado Envíos</t>
        </is>
      </c>
      <c r="N299" s="0" t="inlineStr">
        <is>
          <t>A cargo del comprador</t>
        </is>
      </c>
      <c r="O299" s="0" t="inlineStr">
        <is>
          <t>Acepto</t>
        </is>
      </c>
      <c r="P299" s="47" t="inlineStr">
        <is>
          <t>Sin garantía</t>
        </is>
      </c>
      <c r="R299" s="0" t="inlineStr">
        <is>
          <t>Seleccionar</t>
        </is>
      </c>
      <c r="S299" s="0" t="inlineStr">
        <is>
          <t>No ofrezco</t>
        </is>
      </c>
      <c r="T299" t="n">
        <v>1909</v>
      </c>
      <c r="U299" s="0" t="inlineStr">
        <is>
          <t>Uruguay</t>
        </is>
      </c>
      <c r="X299" s="0" t="inlineStr">
        <is>
          <t>Níquel</t>
        </is>
      </c>
      <c r="Z299" t="inlineStr">
        <is>
          <t>2 Centésimos</t>
        </is>
      </c>
      <c r="AA299" s="0" t="inlineStr">
        <is>
          <t>Euro</t>
        </is>
      </c>
      <c r="AB2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299" s="53">
        <f>IF(OR(TRIM(INDIRECT("B"&amp;ROW())) &lt;&gt; "",TRIM(INDIRECT("A"&amp;ROW())) &lt;&gt; ""),AND(TRIM(INDIRECT("A"&amp;ROW())) &lt;&gt; "",TRIM(INDIRECT("D"&amp;ROW())) = "nuevo"),"")</f>
        <v/>
      </c>
    </row>
    <row r="300" ht="27.5" customHeight="1" s="62">
      <c r="B300" t="inlineStr">
        <is>
          <t>Moneda Uruguay 2 Centésimos 1924</t>
        </is>
      </c>
      <c r="C300" s="0">
        <f>LEN(INDIRECT(ADDRESS(ROW() + (0),COLUMN() + (-1))))</f>
        <v/>
      </c>
      <c r="D300" s="0" t="inlineStr">
        <is>
          <t>Usado</t>
        </is>
      </c>
      <c r="E300" s="38" t="inlineStr">
        <is>
          <t>https://numismaticapopper.com/images/687A.jpeg,https://numismaticapopper.com/images/687B.jpeg</t>
        </is>
      </c>
      <c r="F300" t="inlineStr">
        <is>
          <t>687</t>
        </is>
      </c>
      <c r="G300" s="40" t="n">
        <v>1</v>
      </c>
      <c r="H300" t="n">
        <v>7000</v>
      </c>
      <c r="I300" t="inlineStr">
        <is>
          <t>Estado de conservacion: Excelente
Referencia de catalogo: KM# 20
Material: Cuproníquel
Tirada: 11 millones</t>
        </is>
      </c>
      <c r="J300" s="31">
        <f>IF(INDIRECT(ADDRESS(ROW() + (0),COLUMN() + (1)))="Agregar cuotas", IF(("16%")="", "-", "16%"), IF(INDIRECT(ADDRESS(ROW() + (0),COLUMN() + (1)))="No agregar cuotas", IF(("16%")="", "-", "16%"), "-"))</f>
        <v/>
      </c>
      <c r="K300" s="0" t="inlineStr">
        <is>
          <t>No agregar cuotas</t>
        </is>
      </c>
      <c r="L300" s="31">
        <f>IF(INDIRECT(ADDRESS(ROW() + (0),COLUMN() + (-1)))="Agregar cuotas", IF(("13.4%")="", "Sin costo", "13.4%"), IF(INDIRECT(ADDRESS(ROW() + (0),COLUMN() + (-1)))="No agregar cuotas", IF(("")="", "Sin costo", ""), "-"))</f>
        <v/>
      </c>
      <c r="M300" s="0" t="inlineStr">
        <is>
          <t>Mercado Envíos</t>
        </is>
      </c>
      <c r="N300" s="0" t="inlineStr">
        <is>
          <t>A cargo del comprador</t>
        </is>
      </c>
      <c r="O300" s="0" t="inlineStr">
        <is>
          <t>Acepto</t>
        </is>
      </c>
      <c r="P300" s="47" t="inlineStr">
        <is>
          <t>Sin garantía</t>
        </is>
      </c>
      <c r="R300" s="0" t="inlineStr">
        <is>
          <t>Seleccionar</t>
        </is>
      </c>
      <c r="S300" s="0" t="inlineStr">
        <is>
          <t>No ofrezco</t>
        </is>
      </c>
      <c r="T300" t="n">
        <v>1924</v>
      </c>
      <c r="U300" s="0" t="inlineStr">
        <is>
          <t>Uruguay</t>
        </is>
      </c>
      <c r="X300" s="0" t="inlineStr">
        <is>
          <t>Níquel</t>
        </is>
      </c>
      <c r="Z300" t="inlineStr">
        <is>
          <t>2 Centésimos</t>
        </is>
      </c>
      <c r="AA300" s="0" t="inlineStr">
        <is>
          <t>Euro</t>
        </is>
      </c>
      <c r="AB3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0" s="53">
        <f>IF(OR(TRIM(INDIRECT("B"&amp;ROW())) &lt;&gt; "",TRIM(INDIRECT("A"&amp;ROW())) &lt;&gt; ""),AND(TRIM(INDIRECT("A"&amp;ROW())) &lt;&gt; "",TRIM(INDIRECT("D"&amp;ROW())) = "nuevo"),"")</f>
        <v/>
      </c>
    </row>
    <row r="301" ht="27.5" customHeight="1" s="62">
      <c r="B301" t="inlineStr">
        <is>
          <t>Moneda Uruguay 2 Centésimos 1936</t>
        </is>
      </c>
      <c r="C301" s="0">
        <f>LEN(INDIRECT(ADDRESS(ROW() + (0),COLUMN() + (-1))))</f>
        <v/>
      </c>
      <c r="D301" s="0" t="inlineStr">
        <is>
          <t>Usado</t>
        </is>
      </c>
      <c r="E301" s="38" t="inlineStr">
        <is>
          <t>https://numismaticapopper.com/images/688A.jpeg,https://numismaticapopper.com/images/688B.jpeg</t>
        </is>
      </c>
      <c r="F301" t="inlineStr">
        <is>
          <t>688</t>
        </is>
      </c>
      <c r="G301" s="40" t="n">
        <v>1</v>
      </c>
      <c r="H301" t="n">
        <v>7000</v>
      </c>
      <c r="I301" t="inlineStr">
        <is>
          <t>Estado de conservacion: Excelente +
Referencia de catalogo: KM# 20
Material: Cuproníquel
Tirada: 6,5 millones</t>
        </is>
      </c>
      <c r="J301" s="31">
        <f>IF(INDIRECT(ADDRESS(ROW() + (0),COLUMN() + (1)))="Agregar cuotas", IF(("16%")="", "-", "16%"), IF(INDIRECT(ADDRESS(ROW() + (0),COLUMN() + (1)))="No agregar cuotas", IF(("16%")="", "-", "16%"), "-"))</f>
        <v/>
      </c>
      <c r="K301" s="0" t="inlineStr">
        <is>
          <t>No agregar cuotas</t>
        </is>
      </c>
      <c r="L301" s="31">
        <f>IF(INDIRECT(ADDRESS(ROW() + (0),COLUMN() + (-1)))="Agregar cuotas", IF(("13.4%")="", "Sin costo", "13.4%"), IF(INDIRECT(ADDRESS(ROW() + (0),COLUMN() + (-1)))="No agregar cuotas", IF(("")="", "Sin costo", ""), "-"))</f>
        <v/>
      </c>
      <c r="M301" s="0" t="inlineStr">
        <is>
          <t>Mercado Envíos</t>
        </is>
      </c>
      <c r="N301" s="0" t="inlineStr">
        <is>
          <t>A cargo del comprador</t>
        </is>
      </c>
      <c r="O301" s="0" t="inlineStr">
        <is>
          <t>Acepto</t>
        </is>
      </c>
      <c r="P301" s="47" t="inlineStr">
        <is>
          <t>Sin garantía</t>
        </is>
      </c>
      <c r="R301" s="0" t="inlineStr">
        <is>
          <t>Seleccionar</t>
        </is>
      </c>
      <c r="S301" s="0" t="inlineStr">
        <is>
          <t>No ofrezco</t>
        </is>
      </c>
      <c r="T301" t="n">
        <v>1936</v>
      </c>
      <c r="U301" s="0" t="inlineStr">
        <is>
          <t>Uruguay</t>
        </is>
      </c>
      <c r="X301" s="0" t="inlineStr">
        <is>
          <t>Níquel</t>
        </is>
      </c>
      <c r="Z301" t="inlineStr">
        <is>
          <t>2 Centésimos</t>
        </is>
      </c>
      <c r="AA301" s="0" t="inlineStr">
        <is>
          <t>Euro</t>
        </is>
      </c>
      <c r="AB3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1" s="53">
        <f>IF(OR(TRIM(INDIRECT("B"&amp;ROW())) &lt;&gt; "",TRIM(INDIRECT("A"&amp;ROW())) &lt;&gt; ""),AND(TRIM(INDIRECT("A"&amp;ROW())) &lt;&gt; "",TRIM(INDIRECT("D"&amp;ROW())) = "nuevo"),"")</f>
        <v/>
      </c>
    </row>
    <row r="302" ht="27.5" customHeight="1" s="62">
      <c r="B302" t="inlineStr">
        <is>
          <t>Moneda Uruguay Centésimo 1909</t>
        </is>
      </c>
      <c r="C302" s="0">
        <f>LEN(INDIRECT(ADDRESS(ROW() + (0),COLUMN() + (-1))))</f>
        <v/>
      </c>
      <c r="D302" s="0" t="inlineStr">
        <is>
          <t>Usado</t>
        </is>
      </c>
      <c r="E302" s="38" t="inlineStr">
        <is>
          <t>https://numismaticapopper.com/images/690A.jpeg,https://numismaticapopper.com/images/690B.jpeg</t>
        </is>
      </c>
      <c r="F302" t="inlineStr">
        <is>
          <t>690</t>
        </is>
      </c>
      <c r="G302" s="40" t="n">
        <v>1</v>
      </c>
      <c r="H302" t="n">
        <v>8000</v>
      </c>
      <c r="I302" t="inlineStr">
        <is>
          <t>Estado de conservacion: Muy Buena +
Referencia de catalogo: KM# 19
Material: Cuproníquel
Tirada: 5 millones</t>
        </is>
      </c>
      <c r="J302" s="31">
        <f>IF(INDIRECT(ADDRESS(ROW() + (0),COLUMN() + (1)))="Agregar cuotas", IF(("16%")="", "-", "16%"), IF(INDIRECT(ADDRESS(ROW() + (0),COLUMN() + (1)))="No agregar cuotas", IF(("16%")="", "-", "16%"), "-"))</f>
        <v/>
      </c>
      <c r="K302" s="0" t="inlineStr">
        <is>
          <t>No agregar cuotas</t>
        </is>
      </c>
      <c r="L302" s="31">
        <f>IF(INDIRECT(ADDRESS(ROW() + (0),COLUMN() + (-1)))="Agregar cuotas", IF(("13.4%")="", "Sin costo", "13.4%"), IF(INDIRECT(ADDRESS(ROW() + (0),COLUMN() + (-1)))="No agregar cuotas", IF(("")="", "Sin costo", ""), "-"))</f>
        <v/>
      </c>
      <c r="M302" s="0" t="inlineStr">
        <is>
          <t>Mercado Envíos</t>
        </is>
      </c>
      <c r="N302" s="0" t="inlineStr">
        <is>
          <t>A cargo del comprador</t>
        </is>
      </c>
      <c r="O302" s="0" t="inlineStr">
        <is>
          <t>Acepto</t>
        </is>
      </c>
      <c r="P302" s="47" t="inlineStr">
        <is>
          <t>Sin garantía</t>
        </is>
      </c>
      <c r="R302" s="0" t="inlineStr">
        <is>
          <t>Seleccionar</t>
        </is>
      </c>
      <c r="S302" s="0" t="inlineStr">
        <is>
          <t>No ofrezco</t>
        </is>
      </c>
      <c r="T302" t="n">
        <v>1909</v>
      </c>
      <c r="U302" s="0" t="inlineStr">
        <is>
          <t>Uruguay</t>
        </is>
      </c>
      <c r="X302" s="0" t="inlineStr">
        <is>
          <t>Níquel</t>
        </is>
      </c>
      <c r="Z302" t="inlineStr">
        <is>
          <t>Centésimo</t>
        </is>
      </c>
      <c r="AA302" s="0" t="inlineStr">
        <is>
          <t>Euro</t>
        </is>
      </c>
      <c r="AB3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2" s="53">
        <f>IF(OR(TRIM(INDIRECT("B"&amp;ROW())) &lt;&gt; "",TRIM(INDIRECT("A"&amp;ROW())) &lt;&gt; ""),AND(TRIM(INDIRECT("A"&amp;ROW())) &lt;&gt; "",TRIM(INDIRECT("D"&amp;ROW())) = "nuevo"),"")</f>
        <v/>
      </c>
    </row>
    <row r="303" ht="27.5" customHeight="1" s="62">
      <c r="B303" t="inlineStr">
        <is>
          <t>Moneda Uruguay Centésimo 1924</t>
        </is>
      </c>
      <c r="C303" s="0">
        <f>LEN(INDIRECT(ADDRESS(ROW() + (0),COLUMN() + (-1))))</f>
        <v/>
      </c>
      <c r="D303" s="0" t="inlineStr">
        <is>
          <t>Usado</t>
        </is>
      </c>
      <c r="E303" s="38" t="inlineStr">
        <is>
          <t>https://numismaticapopper.com/images/691A.jpeg,https://numismaticapopper.com/images/691B.jpeg</t>
        </is>
      </c>
      <c r="F303" t="inlineStr">
        <is>
          <t>691</t>
        </is>
      </c>
      <c r="G303" s="40" t="n">
        <v>1</v>
      </c>
      <c r="H303" t="n">
        <v>9000</v>
      </c>
      <c r="I303" t="inlineStr">
        <is>
          <t>Estado de conservacion: Muy Buena +
Referencia de catalogo: KM# 19
Material: Cuproníquel
Tirada: 3 millones</t>
        </is>
      </c>
      <c r="J303" s="31">
        <f>IF(INDIRECT(ADDRESS(ROW() + (0),COLUMN() + (1)))="Agregar cuotas", IF(("16%")="", "-", "16%"), IF(INDIRECT(ADDRESS(ROW() + (0),COLUMN() + (1)))="No agregar cuotas", IF(("16%")="", "-", "16%"), "-"))</f>
        <v/>
      </c>
      <c r="K303" s="0" t="inlineStr">
        <is>
          <t>No agregar cuotas</t>
        </is>
      </c>
      <c r="L303" s="31">
        <f>IF(INDIRECT(ADDRESS(ROW() + (0),COLUMN() + (-1)))="Agregar cuotas", IF(("13.4%")="", "Sin costo", "13.4%"), IF(INDIRECT(ADDRESS(ROW() + (0),COLUMN() + (-1)))="No agregar cuotas", IF(("")="", "Sin costo", ""), "-"))</f>
        <v/>
      </c>
      <c r="M303" s="0" t="inlineStr">
        <is>
          <t>Mercado Envíos</t>
        </is>
      </c>
      <c r="N303" s="0" t="inlineStr">
        <is>
          <t>A cargo del comprador</t>
        </is>
      </c>
      <c r="O303" s="0" t="inlineStr">
        <is>
          <t>Acepto</t>
        </is>
      </c>
      <c r="P303" s="47" t="inlineStr">
        <is>
          <t>Sin garantía</t>
        </is>
      </c>
      <c r="R303" s="0" t="inlineStr">
        <is>
          <t>Seleccionar</t>
        </is>
      </c>
      <c r="S303" s="0" t="inlineStr">
        <is>
          <t>No ofrezco</t>
        </is>
      </c>
      <c r="T303" t="n">
        <v>1924</v>
      </c>
      <c r="U303" s="0" t="inlineStr">
        <is>
          <t>Uruguay</t>
        </is>
      </c>
      <c r="X303" s="0" t="inlineStr">
        <is>
          <t>Níquel</t>
        </is>
      </c>
      <c r="Z303" t="inlineStr">
        <is>
          <t>Centésimo</t>
        </is>
      </c>
      <c r="AA303" s="0" t="inlineStr">
        <is>
          <t>Euro</t>
        </is>
      </c>
      <c r="AB3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3" s="53">
        <f>IF(OR(TRIM(INDIRECT("B"&amp;ROW())) &lt;&gt; "",TRIM(INDIRECT("A"&amp;ROW())) &lt;&gt; ""),AND(TRIM(INDIRECT("A"&amp;ROW())) &lt;&gt; "",TRIM(INDIRECT("D"&amp;ROW())) = "nuevo"),"")</f>
        <v/>
      </c>
    </row>
    <row r="304" ht="27.5" customHeight="1" s="62">
      <c r="B304" t="inlineStr">
        <is>
          <t>Moneda Uruguay Centésimo 1936</t>
        </is>
      </c>
      <c r="C304" s="0">
        <f>LEN(INDIRECT(ADDRESS(ROW() + (0),COLUMN() + (-1))))</f>
        <v/>
      </c>
      <c r="D304" s="0" t="inlineStr">
        <is>
          <t>Usado</t>
        </is>
      </c>
      <c r="E304" s="38" t="inlineStr">
        <is>
          <t>https://numismaticapopper.com/images/692A.jpeg,https://numismaticapopper.com/images/692B.jpeg</t>
        </is>
      </c>
      <c r="F304" t="inlineStr">
        <is>
          <t>692</t>
        </is>
      </c>
      <c r="G304" s="40" t="n">
        <v>1</v>
      </c>
      <c r="H304" t="n">
        <v>11000</v>
      </c>
      <c r="I304" t="inlineStr">
        <is>
          <t>Estado de conservacion: Excelente +
Referencia de catalogo: KM# 19
Material: Cuproníquel
Tirada: 2 millones</t>
        </is>
      </c>
      <c r="J304" s="31">
        <f>IF(INDIRECT(ADDRESS(ROW() + (0),COLUMN() + (1)))="Agregar cuotas", IF(("16%")="", "-", "16%"), IF(INDIRECT(ADDRESS(ROW() + (0),COLUMN() + (1)))="No agregar cuotas", IF(("16%")="", "-", "16%"), "-"))</f>
        <v/>
      </c>
      <c r="K304" s="0" t="inlineStr">
        <is>
          <t>No agregar cuotas</t>
        </is>
      </c>
      <c r="L304" s="31">
        <f>IF(INDIRECT(ADDRESS(ROW() + (0),COLUMN() + (-1)))="Agregar cuotas", IF(("13.4%")="", "Sin costo", "13.4%"), IF(INDIRECT(ADDRESS(ROW() + (0),COLUMN() + (-1)))="No agregar cuotas", IF(("")="", "Sin costo", ""), "-"))</f>
        <v/>
      </c>
      <c r="M304" s="0" t="inlineStr">
        <is>
          <t>Mercado Envíos</t>
        </is>
      </c>
      <c r="N304" s="0" t="inlineStr">
        <is>
          <t>A cargo del comprador</t>
        </is>
      </c>
      <c r="O304" s="0" t="inlineStr">
        <is>
          <t>Acepto</t>
        </is>
      </c>
      <c r="P304" s="47" t="inlineStr">
        <is>
          <t>Sin garantía</t>
        </is>
      </c>
      <c r="R304" s="0" t="inlineStr">
        <is>
          <t>Seleccionar</t>
        </is>
      </c>
      <c r="S304" s="0" t="inlineStr">
        <is>
          <t>No ofrezco</t>
        </is>
      </c>
      <c r="T304" t="n">
        <v>1936</v>
      </c>
      <c r="U304" s="0" t="inlineStr">
        <is>
          <t>Uruguay</t>
        </is>
      </c>
      <c r="X304" s="0" t="inlineStr">
        <is>
          <t>Níquel</t>
        </is>
      </c>
      <c r="Z304" t="inlineStr">
        <is>
          <t>Centésimo</t>
        </is>
      </c>
      <c r="AA304" s="0" t="inlineStr">
        <is>
          <t>Euro</t>
        </is>
      </c>
      <c r="AB3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4" s="53">
        <f>IF(OR(TRIM(INDIRECT("B"&amp;ROW())) &lt;&gt; "",TRIM(INDIRECT("A"&amp;ROW())) &lt;&gt; ""),AND(TRIM(INDIRECT("A"&amp;ROW())) &lt;&gt; "",TRIM(INDIRECT("D"&amp;ROW())) = "nuevo"),"")</f>
        <v/>
      </c>
    </row>
    <row r="305" ht="27.5" customHeight="1" s="62">
      <c r="B305" t="inlineStr">
        <is>
          <t>Moneda Uruguay 5 Centésimos 1924</t>
        </is>
      </c>
      <c r="C305" s="0">
        <f>LEN(INDIRECT(ADDRESS(ROW() + (0),COLUMN() + (-1))))</f>
        <v/>
      </c>
      <c r="D305" s="0" t="inlineStr">
        <is>
          <t>Usado</t>
        </is>
      </c>
      <c r="E305" s="38" t="inlineStr">
        <is>
          <t>https://numismaticapopper.com/images/693A.jpeg,https://numismaticapopper.com/images/693B.jpeg</t>
        </is>
      </c>
      <c r="F305" t="inlineStr">
        <is>
          <t>693</t>
        </is>
      </c>
      <c r="G305" s="40" t="n">
        <v>1</v>
      </c>
      <c r="H305" t="n">
        <v>7000</v>
      </c>
      <c r="I305" t="inlineStr">
        <is>
          <t>Estado de conservacion: Muy Buena -
Referencia de catalogo: KM# 21
Material: Cuproníquel
Tirada: 5 millones</t>
        </is>
      </c>
      <c r="J305" s="31">
        <f>IF(INDIRECT(ADDRESS(ROW() + (0),COLUMN() + (1)))="Agregar cuotas", IF(("16%")="", "-", "16%"), IF(INDIRECT(ADDRESS(ROW() + (0),COLUMN() + (1)))="No agregar cuotas", IF(("16%")="", "-", "16%"), "-"))</f>
        <v/>
      </c>
      <c r="K305" s="0" t="inlineStr">
        <is>
          <t>No agregar cuotas</t>
        </is>
      </c>
      <c r="L305" s="31">
        <f>IF(INDIRECT(ADDRESS(ROW() + (0),COLUMN() + (-1)))="Agregar cuotas", IF(("13.4%")="", "Sin costo", "13.4%"), IF(INDIRECT(ADDRESS(ROW() + (0),COLUMN() + (-1)))="No agregar cuotas", IF(("")="", "Sin costo", ""), "-"))</f>
        <v/>
      </c>
      <c r="M305" s="0" t="inlineStr">
        <is>
          <t>Mercado Envíos</t>
        </is>
      </c>
      <c r="N305" s="0" t="inlineStr">
        <is>
          <t>A cargo del comprador</t>
        </is>
      </c>
      <c r="O305" s="0" t="inlineStr">
        <is>
          <t>Acepto</t>
        </is>
      </c>
      <c r="P305" s="47" t="inlineStr">
        <is>
          <t>Sin garantía</t>
        </is>
      </c>
      <c r="R305" s="0" t="inlineStr">
        <is>
          <t>Seleccionar</t>
        </is>
      </c>
      <c r="S305" s="0" t="inlineStr">
        <is>
          <t>No ofrezco</t>
        </is>
      </c>
      <c r="T305" t="n">
        <v>1924</v>
      </c>
      <c r="U305" s="0" t="inlineStr">
        <is>
          <t>Uruguay</t>
        </is>
      </c>
      <c r="X305" s="0" t="inlineStr">
        <is>
          <t>Níquel</t>
        </is>
      </c>
      <c r="Z305" t="inlineStr">
        <is>
          <t>5 Centésimos</t>
        </is>
      </c>
      <c r="AA305" s="0" t="inlineStr">
        <is>
          <t>Euro</t>
        </is>
      </c>
      <c r="AB3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5" s="53">
        <f>IF(OR(TRIM(INDIRECT("B"&amp;ROW())) &lt;&gt; "",TRIM(INDIRECT("A"&amp;ROW())) &lt;&gt; ""),AND(TRIM(INDIRECT("A"&amp;ROW())) &lt;&gt; "",TRIM(INDIRECT("D"&amp;ROW())) = "nuevo"),"")</f>
        <v/>
      </c>
    </row>
    <row r="306" ht="27.5" customHeight="1" s="62">
      <c r="B306" t="inlineStr">
        <is>
          <t>Moneda Paraguay 10 Céntimos 1944</t>
        </is>
      </c>
      <c r="C306" s="0">
        <f>LEN(INDIRECT(ADDRESS(ROW() + (0),COLUMN() + (-1))))</f>
        <v/>
      </c>
      <c r="D306" s="0" t="inlineStr">
        <is>
          <t>Usado</t>
        </is>
      </c>
      <c r="E306" s="38" t="inlineStr">
        <is>
          <t>https://numismaticapopper.com/images/695A.jpeg,https://numismaticapopper.com/images/695B.jpeg</t>
        </is>
      </c>
      <c r="F306" t="inlineStr">
        <is>
          <t>695</t>
        </is>
      </c>
      <c r="G306" s="40" t="n">
        <v>1</v>
      </c>
      <c r="H306" t="n">
        <v>11000</v>
      </c>
      <c r="I306" t="inlineStr">
        <is>
          <t>Estado de conservacion: Buena +
Referencia de catalogo: KM# 22
Material: Bronce-Aluminio
Tirada: 975.000
Escasa</t>
        </is>
      </c>
      <c r="J306" s="31">
        <f>IF(INDIRECT(ADDRESS(ROW() + (0),COLUMN() + (1)))="Agregar cuotas", IF(("16%")="", "-", "16%"), IF(INDIRECT(ADDRESS(ROW() + (0),COLUMN() + (1)))="No agregar cuotas", IF(("16%")="", "-", "16%"), "-"))</f>
        <v/>
      </c>
      <c r="K306" s="0" t="inlineStr">
        <is>
          <t>No agregar cuotas</t>
        </is>
      </c>
      <c r="L306" s="31">
        <f>IF(INDIRECT(ADDRESS(ROW() + (0),COLUMN() + (-1)))="Agregar cuotas", IF(("13.4%")="", "Sin costo", "13.4%"), IF(INDIRECT(ADDRESS(ROW() + (0),COLUMN() + (-1)))="No agregar cuotas", IF(("")="", "Sin costo", ""), "-"))</f>
        <v/>
      </c>
      <c r="M306" s="0" t="inlineStr">
        <is>
          <t>Mercado Envíos</t>
        </is>
      </c>
      <c r="N306" s="0" t="inlineStr">
        <is>
          <t>A cargo del comprador</t>
        </is>
      </c>
      <c r="O306" s="0" t="inlineStr">
        <is>
          <t>Acepto</t>
        </is>
      </c>
      <c r="P306" s="47" t="inlineStr">
        <is>
          <t>Sin garantía</t>
        </is>
      </c>
      <c r="R306" s="0" t="inlineStr">
        <is>
          <t>Seleccionar</t>
        </is>
      </c>
      <c r="S306" s="0" t="inlineStr">
        <is>
          <t>No ofrezco</t>
        </is>
      </c>
      <c r="T306" t="n">
        <v>1944</v>
      </c>
      <c r="U306" s="0" t="inlineStr">
        <is>
          <t>Argentina</t>
        </is>
      </c>
      <c r="X306" s="0" t="inlineStr">
        <is>
          <t>Bronce</t>
        </is>
      </c>
      <c r="Z306" t="inlineStr">
        <is>
          <t>10 Céntimos</t>
        </is>
      </c>
      <c r="AA306" s="0" t="inlineStr">
        <is>
          <t>Euro</t>
        </is>
      </c>
      <c r="AB3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6" s="53">
        <f>IF(OR(TRIM(INDIRECT("B"&amp;ROW())) &lt;&gt; "",TRIM(INDIRECT("A"&amp;ROW())) &lt;&gt; ""),AND(TRIM(INDIRECT("A"&amp;ROW())) &lt;&gt; "",TRIM(INDIRECT("D"&amp;ROW())) = "nuevo"),"")</f>
        <v/>
      </c>
    </row>
    <row r="307" ht="27.5" customHeight="1" s="62">
      <c r="B307" t="inlineStr">
        <is>
          <t>Moneda Paraguay 10 Céntimos 1947</t>
        </is>
      </c>
      <c r="C307" s="0">
        <f>LEN(INDIRECT(ADDRESS(ROW() + (0),COLUMN() + (-1))))</f>
        <v/>
      </c>
      <c r="D307" s="0" t="inlineStr">
        <is>
          <t>Usado</t>
        </is>
      </c>
      <c r="E307" s="38" t="inlineStr">
        <is>
          <t>https://numismaticapopper.com/images/696A.jpeg,https://numismaticapopper.com/images/696B.jpeg</t>
        </is>
      </c>
      <c r="F307" t="inlineStr">
        <is>
          <t>696</t>
        </is>
      </c>
      <c r="G307" s="40" t="n">
        <v>1</v>
      </c>
      <c r="H307" t="n">
        <v>7000</v>
      </c>
      <c r="I307" t="inlineStr">
        <is>
          <t>Estado de conservacion: Excelente
Referencia de catalogo: KM# 22
Material: Bronce-Aluminio
Tirada: 6.000.000</t>
        </is>
      </c>
      <c r="J307" s="31">
        <f>IF(INDIRECT(ADDRESS(ROW() + (0),COLUMN() + (1)))="Agregar cuotas", IF(("16%")="", "-", "16%"), IF(INDIRECT(ADDRESS(ROW() + (0),COLUMN() + (1)))="No agregar cuotas", IF(("16%")="", "-", "16%"), "-"))</f>
        <v/>
      </c>
      <c r="K307" s="0" t="inlineStr">
        <is>
          <t>No agregar cuotas</t>
        </is>
      </c>
      <c r="L307" s="31">
        <f>IF(INDIRECT(ADDRESS(ROW() + (0),COLUMN() + (-1)))="Agregar cuotas", IF(("13.4%")="", "Sin costo", "13.4%"), IF(INDIRECT(ADDRESS(ROW() + (0),COLUMN() + (-1)))="No agregar cuotas", IF(("")="", "Sin costo", ""), "-"))</f>
        <v/>
      </c>
      <c r="M307" s="0" t="inlineStr">
        <is>
          <t>Mercado Envíos</t>
        </is>
      </c>
      <c r="N307" s="0" t="inlineStr">
        <is>
          <t>A cargo del comprador</t>
        </is>
      </c>
      <c r="O307" s="0" t="inlineStr">
        <is>
          <t>Acepto</t>
        </is>
      </c>
      <c r="P307" s="47" t="inlineStr">
        <is>
          <t>Sin garantía</t>
        </is>
      </c>
      <c r="R307" s="0" t="inlineStr">
        <is>
          <t>Seleccionar</t>
        </is>
      </c>
      <c r="S307" s="0" t="inlineStr">
        <is>
          <t>No ofrezco</t>
        </is>
      </c>
      <c r="T307" t="n">
        <v>1947</v>
      </c>
      <c r="U307" s="0" t="inlineStr">
        <is>
          <t>Argentina</t>
        </is>
      </c>
      <c r="X307" s="0" t="inlineStr">
        <is>
          <t>Bronce</t>
        </is>
      </c>
      <c r="Z307" t="inlineStr">
        <is>
          <t>10 Céntimos</t>
        </is>
      </c>
      <c r="AA307" s="0" t="inlineStr">
        <is>
          <t>Euro</t>
        </is>
      </c>
      <c r="AB3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7" s="53">
        <f>IF(OR(TRIM(INDIRECT("B"&amp;ROW())) &lt;&gt; "",TRIM(INDIRECT("A"&amp;ROW())) &lt;&gt; ""),AND(TRIM(INDIRECT("A"&amp;ROW())) &lt;&gt; "",TRIM(INDIRECT("D"&amp;ROW())) = "nuevo"),"")</f>
        <v/>
      </c>
    </row>
    <row r="308" ht="27.5" customHeight="1" s="62">
      <c r="B308" t="inlineStr">
        <is>
          <t>Moneda Paraguay 5 Céntimos 1944</t>
        </is>
      </c>
      <c r="C308" s="0">
        <f>LEN(INDIRECT(ADDRESS(ROW() + (0),COLUMN() + (-1))))</f>
        <v/>
      </c>
      <c r="D308" s="0" t="inlineStr">
        <is>
          <t>Usado</t>
        </is>
      </c>
      <c r="E308" s="38" t="inlineStr">
        <is>
          <t>https://numismaticapopper.com/images/697A.jpeg,https://numismaticapopper.com/images/697B.jpeg</t>
        </is>
      </c>
      <c r="F308" t="inlineStr">
        <is>
          <t>697</t>
        </is>
      </c>
      <c r="G308" s="40" t="n">
        <v>1</v>
      </c>
      <c r="H308" t="n">
        <v>10000</v>
      </c>
      <c r="I308" t="inlineStr">
        <is>
          <t>Estado de conservacion: Excelente +
Referencia de catalogo: KM# 21
Material: Bronce-Aluminio
Tirada: 2.195.000</t>
        </is>
      </c>
      <c r="J308" s="31">
        <f>IF(INDIRECT(ADDRESS(ROW() + (0),COLUMN() + (1)))="Agregar cuotas", IF(("16%")="", "-", "16%"), IF(INDIRECT(ADDRESS(ROW() + (0),COLUMN() + (1)))="No agregar cuotas", IF(("16%")="", "-", "16%"), "-"))</f>
        <v/>
      </c>
      <c r="K308" s="0" t="inlineStr">
        <is>
          <t>No agregar cuotas</t>
        </is>
      </c>
      <c r="L308" s="31">
        <f>IF(INDIRECT(ADDRESS(ROW() + (0),COLUMN() + (-1)))="Agregar cuotas", IF(("13.4%")="", "Sin costo", "13.4%"), IF(INDIRECT(ADDRESS(ROW() + (0),COLUMN() + (-1)))="No agregar cuotas", IF(("")="", "Sin costo", ""), "-"))</f>
        <v/>
      </c>
      <c r="M308" s="0" t="inlineStr">
        <is>
          <t>Mercado Envíos</t>
        </is>
      </c>
      <c r="N308" s="0" t="inlineStr">
        <is>
          <t>A cargo del comprador</t>
        </is>
      </c>
      <c r="O308" s="0" t="inlineStr">
        <is>
          <t>Acepto</t>
        </is>
      </c>
      <c r="P308" s="47" t="inlineStr">
        <is>
          <t>Sin garantía</t>
        </is>
      </c>
      <c r="R308" s="0" t="inlineStr">
        <is>
          <t>Seleccionar</t>
        </is>
      </c>
      <c r="S308" s="0" t="inlineStr">
        <is>
          <t>No ofrezco</t>
        </is>
      </c>
      <c r="T308" t="n">
        <v>1944</v>
      </c>
      <c r="U308" s="0" t="inlineStr">
        <is>
          <t>Argentina</t>
        </is>
      </c>
      <c r="X308" s="0" t="inlineStr">
        <is>
          <t>Bronce</t>
        </is>
      </c>
      <c r="Z308" t="inlineStr">
        <is>
          <t>5 Céntimos</t>
        </is>
      </c>
      <c r="AA308" s="0" t="inlineStr">
        <is>
          <t>Euro</t>
        </is>
      </c>
      <c r="AB3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8" s="53">
        <f>IF(OR(TRIM(INDIRECT("B"&amp;ROW())) &lt;&gt; "",TRIM(INDIRECT("A"&amp;ROW())) &lt;&gt; ""),AND(TRIM(INDIRECT("A"&amp;ROW())) &lt;&gt; "",TRIM(INDIRECT("D"&amp;ROW())) = "nuevo"),"")</f>
        <v/>
      </c>
    </row>
    <row r="309" ht="27.5" customHeight="1" s="62">
      <c r="B309" t="inlineStr">
        <is>
          <t>Moneda Paraguay 5 Céntimos 1947</t>
        </is>
      </c>
      <c r="C309" s="0">
        <f>LEN(INDIRECT(ADDRESS(ROW() + (0),COLUMN() + (-1))))</f>
        <v/>
      </c>
      <c r="D309" s="0" t="inlineStr">
        <is>
          <t>Usado</t>
        </is>
      </c>
      <c r="E309" s="38" t="inlineStr">
        <is>
          <t>https://numismaticapopper.com/images/698A.jpeg,https://numismaticapopper.com/images/698B.jpeg</t>
        </is>
      </c>
      <c r="F309" t="inlineStr">
        <is>
          <t>698</t>
        </is>
      </c>
      <c r="G309" s="40" t="n">
        <v>1</v>
      </c>
      <c r="H309" t="n">
        <v>8000</v>
      </c>
      <c r="I309" t="inlineStr">
        <is>
          <t>Estado de conservacion: Sin Circular -
Referencia de catalogo: KM# 21
Material: Bronce-Aluminio</t>
        </is>
      </c>
      <c r="J309" s="31">
        <f>IF(INDIRECT(ADDRESS(ROW() + (0),COLUMN() + (1)))="Agregar cuotas", IF(("16%")="", "-", "16%"), IF(INDIRECT(ADDRESS(ROW() + (0),COLUMN() + (1)))="No agregar cuotas", IF(("16%")="", "-", "16%"), "-"))</f>
        <v/>
      </c>
      <c r="K309" s="0" t="inlineStr">
        <is>
          <t>No agregar cuotas</t>
        </is>
      </c>
      <c r="L309" s="31">
        <f>IF(INDIRECT(ADDRESS(ROW() + (0),COLUMN() + (-1)))="Agregar cuotas", IF(("13.4%")="", "Sin costo", "13.4%"), IF(INDIRECT(ADDRESS(ROW() + (0),COLUMN() + (-1)))="No agregar cuotas", IF(("")="", "Sin costo", ""), "-"))</f>
        <v/>
      </c>
      <c r="M309" s="0" t="inlineStr">
        <is>
          <t>Mercado Envíos</t>
        </is>
      </c>
      <c r="N309" s="0" t="inlineStr">
        <is>
          <t>A cargo del comprador</t>
        </is>
      </c>
      <c r="O309" s="0" t="inlineStr">
        <is>
          <t>Acepto</t>
        </is>
      </c>
      <c r="P309" s="47" t="inlineStr">
        <is>
          <t>Sin garantía</t>
        </is>
      </c>
      <c r="R309" s="0" t="inlineStr">
        <is>
          <t>Seleccionar</t>
        </is>
      </c>
      <c r="S309" s="0" t="inlineStr">
        <is>
          <t>No ofrezco</t>
        </is>
      </c>
      <c r="T309" t="n">
        <v>1947</v>
      </c>
      <c r="U309" s="0" t="inlineStr">
        <is>
          <t>Argentina</t>
        </is>
      </c>
      <c r="X309" s="0" t="inlineStr">
        <is>
          <t>Bronce</t>
        </is>
      </c>
      <c r="Z309" t="inlineStr">
        <is>
          <t>5 Céntimos</t>
        </is>
      </c>
      <c r="AA309" s="0" t="inlineStr">
        <is>
          <t>Euro</t>
        </is>
      </c>
      <c r="AB3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09" s="53">
        <f>IF(OR(TRIM(INDIRECT("B"&amp;ROW())) &lt;&gt; "",TRIM(INDIRECT("A"&amp;ROW())) &lt;&gt; ""),AND(TRIM(INDIRECT("A"&amp;ROW())) &lt;&gt; "",TRIM(INDIRECT("D"&amp;ROW())) = "nuevo"),"")</f>
        <v/>
      </c>
    </row>
    <row r="310" ht="27.5" customHeight="1" s="62">
      <c r="B310" t="inlineStr">
        <is>
          <t>Moneda Paraguay 50 Céntimos 1944</t>
        </is>
      </c>
      <c r="C310" s="0">
        <f>LEN(INDIRECT(ADDRESS(ROW() + (0),COLUMN() + (-1))))</f>
        <v/>
      </c>
      <c r="D310" s="0" t="inlineStr">
        <is>
          <t>Usado</t>
        </is>
      </c>
      <c r="E310" s="38" t="inlineStr">
        <is>
          <t>https://numismaticapopper.com/images/699A.jpeg,https://numismaticapopper.com/images/699B.jpeg</t>
        </is>
      </c>
      <c r="F310" t="inlineStr">
        <is>
          <t>699</t>
        </is>
      </c>
      <c r="G310" s="40" t="n">
        <v>1</v>
      </c>
      <c r="H310" t="n">
        <v>7000</v>
      </c>
      <c r="I310" t="inlineStr">
        <is>
          <t>Estado de conservacion: Buena
Referencia de catalogo: KM# 24
Material: Bronce-Aluminio
Tirada: 2.485.000</t>
        </is>
      </c>
      <c r="J310" s="31">
        <f>IF(INDIRECT(ADDRESS(ROW() + (0),COLUMN() + (1)))="Agregar cuotas", IF(("16%")="", "-", "16%"), IF(INDIRECT(ADDRESS(ROW() + (0),COLUMN() + (1)))="No agregar cuotas", IF(("16%")="", "-", "16%"), "-"))</f>
        <v/>
      </c>
      <c r="K310" s="0" t="inlineStr">
        <is>
          <t>No agregar cuotas</t>
        </is>
      </c>
      <c r="L310" s="31">
        <f>IF(INDIRECT(ADDRESS(ROW() + (0),COLUMN() + (-1)))="Agregar cuotas", IF(("13.4%")="", "Sin costo", "13.4%"), IF(INDIRECT(ADDRESS(ROW() + (0),COLUMN() + (-1)))="No agregar cuotas", IF(("")="", "Sin costo", ""), "-"))</f>
        <v/>
      </c>
      <c r="M310" s="0" t="inlineStr">
        <is>
          <t>Mercado Envíos</t>
        </is>
      </c>
      <c r="N310" s="0" t="inlineStr">
        <is>
          <t>A cargo del comprador</t>
        </is>
      </c>
      <c r="O310" s="0" t="inlineStr">
        <is>
          <t>Acepto</t>
        </is>
      </c>
      <c r="P310" s="47" t="inlineStr">
        <is>
          <t>Sin garantía</t>
        </is>
      </c>
      <c r="R310" s="0" t="inlineStr">
        <is>
          <t>Seleccionar</t>
        </is>
      </c>
      <c r="S310" s="0" t="inlineStr">
        <is>
          <t>No ofrezco</t>
        </is>
      </c>
      <c r="T310" t="n">
        <v>1944</v>
      </c>
      <c r="U310" s="0" t="inlineStr">
        <is>
          <t>Argentina</t>
        </is>
      </c>
      <c r="X310" s="0" t="inlineStr">
        <is>
          <t>Bronce</t>
        </is>
      </c>
      <c r="Z310" t="inlineStr">
        <is>
          <t>50 Céntimos</t>
        </is>
      </c>
      <c r="AA310" s="0" t="inlineStr">
        <is>
          <t>Euro</t>
        </is>
      </c>
      <c r="AB3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0" s="53">
        <f>IF(OR(TRIM(INDIRECT("B"&amp;ROW())) &lt;&gt; "",TRIM(INDIRECT("A"&amp;ROW())) &lt;&gt; ""),AND(TRIM(INDIRECT("A"&amp;ROW())) &lt;&gt; "",TRIM(INDIRECT("D"&amp;ROW())) = "nuevo"),"")</f>
        <v/>
      </c>
    </row>
    <row r="311" ht="27.5" customHeight="1" s="62">
      <c r="B311" t="inlineStr">
        <is>
          <t>Moneda Costa Rica 5 Céntimos 1973</t>
        </is>
      </c>
      <c r="C311" s="0">
        <f>LEN(INDIRECT(ADDRESS(ROW() + (0),COLUMN() + (-1))))</f>
        <v/>
      </c>
      <c r="D311" s="0" t="inlineStr">
        <is>
          <t>Usado</t>
        </is>
      </c>
      <c r="E311" s="38" t="inlineStr">
        <is>
          <t>https://numismaticapopper.com/images/701A.jpeg,https://numismaticapopper.com/images/701B.jpeg</t>
        </is>
      </c>
      <c r="F311" t="inlineStr">
        <is>
          <t>701</t>
        </is>
      </c>
      <c r="G311" s="40" t="n">
        <v>1</v>
      </c>
      <c r="H311" t="n">
        <v>7000</v>
      </c>
      <c r="I311" t="inlineStr">
        <is>
          <t>Estado de conservacion: Excelente
Referencia de catalogo: KM# 184.3
Material: Cuproníquel
Tirada: 20.000.000</t>
        </is>
      </c>
      <c r="J311" s="31">
        <f>IF(INDIRECT(ADDRESS(ROW() + (0),COLUMN() + (1)))="Agregar cuotas", IF(("16%")="", "-", "16%"), IF(INDIRECT(ADDRESS(ROW() + (0),COLUMN() + (1)))="No agregar cuotas", IF(("16%")="", "-", "16%"), "-"))</f>
        <v/>
      </c>
      <c r="K311" s="0" t="inlineStr">
        <is>
          <t>No agregar cuotas</t>
        </is>
      </c>
      <c r="L311" s="31">
        <f>IF(INDIRECT(ADDRESS(ROW() + (0),COLUMN() + (-1)))="Agregar cuotas", IF(("13.4%")="", "Sin costo", "13.4%"), IF(INDIRECT(ADDRESS(ROW() + (0),COLUMN() + (-1)))="No agregar cuotas", IF(("")="", "Sin costo", ""), "-"))</f>
        <v/>
      </c>
      <c r="M311" s="0" t="inlineStr">
        <is>
          <t>Mercado Envíos</t>
        </is>
      </c>
      <c r="N311" s="0" t="inlineStr">
        <is>
          <t>A cargo del comprador</t>
        </is>
      </c>
      <c r="O311" s="0" t="inlineStr">
        <is>
          <t>Acepto</t>
        </is>
      </c>
      <c r="P311" s="47" t="inlineStr">
        <is>
          <t>Sin garantía</t>
        </is>
      </c>
      <c r="R311" s="0" t="inlineStr">
        <is>
          <t>Seleccionar</t>
        </is>
      </c>
      <c r="S311" s="0" t="inlineStr">
        <is>
          <t>No ofrezco</t>
        </is>
      </c>
      <c r="T311" t="n">
        <v>1973</v>
      </c>
      <c r="U311" s="0" t="inlineStr">
        <is>
          <t>México</t>
        </is>
      </c>
      <c r="X311" s="0" t="inlineStr">
        <is>
          <t>Níquel</t>
        </is>
      </c>
      <c r="Z311" t="inlineStr">
        <is>
          <t>5 Céntimos</t>
        </is>
      </c>
      <c r="AA311" s="0" t="inlineStr">
        <is>
          <t>Euro</t>
        </is>
      </c>
      <c r="AB3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1" s="53">
        <f>IF(OR(TRIM(INDIRECT("B"&amp;ROW())) &lt;&gt; "",TRIM(INDIRECT("A"&amp;ROW())) &lt;&gt; ""),AND(TRIM(INDIRECT("A"&amp;ROW())) &lt;&gt; "",TRIM(INDIRECT("D"&amp;ROW())) = "nuevo"),"")</f>
        <v/>
      </c>
    </row>
    <row r="312" ht="27.5" customHeight="1" s="62">
      <c r="B312" t="inlineStr">
        <is>
          <t>Moneda Costa Rica 5 Céntimos 1976</t>
        </is>
      </c>
      <c r="C312" s="0">
        <f>LEN(INDIRECT(ADDRESS(ROW() + (0),COLUMN() + (-1))))</f>
        <v/>
      </c>
      <c r="D312" s="0" t="inlineStr">
        <is>
          <t>Usado</t>
        </is>
      </c>
      <c r="E312" s="38" t="inlineStr">
        <is>
          <t>https://numismaticapopper.com/images/702A.jpeg,https://numismaticapopper.com/images/702B.jpeg</t>
        </is>
      </c>
      <c r="F312" t="inlineStr">
        <is>
          <t>702</t>
        </is>
      </c>
      <c r="G312" s="40" t="n">
        <v>1</v>
      </c>
      <c r="H312" t="n">
        <v>7000</v>
      </c>
      <c r="I312" t="inlineStr">
        <is>
          <t>Estado de conservacion: Muy Buena
Referencia de catalogo: KM# 184.2
Material: Cuproníquel</t>
        </is>
      </c>
      <c r="J312" s="31">
        <f>IF(INDIRECT(ADDRESS(ROW() + (0),COLUMN() + (1)))="Agregar cuotas", IF(("16%")="", "-", "16%"), IF(INDIRECT(ADDRESS(ROW() + (0),COLUMN() + (1)))="No agregar cuotas", IF(("16%")="", "-", "16%"), "-"))</f>
        <v/>
      </c>
      <c r="K312" s="0" t="inlineStr">
        <is>
          <t>No agregar cuotas</t>
        </is>
      </c>
      <c r="L312" s="31">
        <f>IF(INDIRECT(ADDRESS(ROW() + (0),COLUMN() + (-1)))="Agregar cuotas", IF(("13.4%")="", "Sin costo", "13.4%"), IF(INDIRECT(ADDRESS(ROW() + (0),COLUMN() + (-1)))="No agregar cuotas", IF(("")="", "Sin costo", ""), "-"))</f>
        <v/>
      </c>
      <c r="M312" s="0" t="inlineStr">
        <is>
          <t>Mercado Envíos</t>
        </is>
      </c>
      <c r="N312" s="0" t="inlineStr">
        <is>
          <t>A cargo del comprador</t>
        </is>
      </c>
      <c r="O312" s="0" t="inlineStr">
        <is>
          <t>Acepto</t>
        </is>
      </c>
      <c r="P312" s="47" t="inlineStr">
        <is>
          <t>Sin garantía</t>
        </is>
      </c>
      <c r="R312" s="0" t="inlineStr">
        <is>
          <t>Seleccionar</t>
        </is>
      </c>
      <c r="S312" s="0" t="inlineStr">
        <is>
          <t>No ofrezco</t>
        </is>
      </c>
      <c r="T312" t="n">
        <v>1976</v>
      </c>
      <c r="U312" s="0" t="inlineStr">
        <is>
          <t>México</t>
        </is>
      </c>
      <c r="X312" s="0" t="inlineStr">
        <is>
          <t>Níquel</t>
        </is>
      </c>
      <c r="Z312" t="inlineStr">
        <is>
          <t>5 Céntimos</t>
        </is>
      </c>
      <c r="AA312" s="0" t="inlineStr">
        <is>
          <t>Euro</t>
        </is>
      </c>
      <c r="AB3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2" s="53">
        <f>IF(OR(TRIM(INDIRECT("B"&amp;ROW())) &lt;&gt; "",TRIM(INDIRECT("A"&amp;ROW())) &lt;&gt; ""),AND(TRIM(INDIRECT("A"&amp;ROW())) &lt;&gt; "",TRIM(INDIRECT("D"&amp;ROW())) = "nuevo"),"")</f>
        <v/>
      </c>
    </row>
    <row r="313" ht="27.5" customHeight="1" s="62">
      <c r="B313" t="inlineStr">
        <is>
          <t>Moneda Costa Rica 5 Céntimos 1978</t>
        </is>
      </c>
      <c r="C313" s="0">
        <f>LEN(INDIRECT(ADDRESS(ROW() + (0),COLUMN() + (-1))))</f>
        <v/>
      </c>
      <c r="D313" s="0" t="inlineStr">
        <is>
          <t>Usado</t>
        </is>
      </c>
      <c r="E313" s="38" t="inlineStr">
        <is>
          <t>https://numismaticapopper.com/images/703A.jpeg,https://numismaticapopper.com/images/703B.jpeg</t>
        </is>
      </c>
      <c r="F313" t="inlineStr">
        <is>
          <t>703</t>
        </is>
      </c>
      <c r="G313" s="40" t="n">
        <v>1</v>
      </c>
      <c r="H313" t="n">
        <v>7000</v>
      </c>
      <c r="I313" t="inlineStr">
        <is>
          <t>Estado de conservacion: Excelente
Referencia de catalogo: KM# 184.2
Material: Cuproníquel</t>
        </is>
      </c>
      <c r="J313" s="31">
        <f>IF(INDIRECT(ADDRESS(ROW() + (0),COLUMN() + (1)))="Agregar cuotas", IF(("16%")="", "-", "16%"), IF(INDIRECT(ADDRESS(ROW() + (0),COLUMN() + (1)))="No agregar cuotas", IF(("16%")="", "-", "16%"), "-"))</f>
        <v/>
      </c>
      <c r="K313" s="0" t="inlineStr">
        <is>
          <t>No agregar cuotas</t>
        </is>
      </c>
      <c r="L313" s="31">
        <f>IF(INDIRECT(ADDRESS(ROW() + (0),COLUMN() + (-1)))="Agregar cuotas", IF(("13.4%")="", "Sin costo", "13.4%"), IF(INDIRECT(ADDRESS(ROW() + (0),COLUMN() + (-1)))="No agregar cuotas", IF(("")="", "Sin costo", ""), "-"))</f>
        <v/>
      </c>
      <c r="M313" s="0" t="inlineStr">
        <is>
          <t>Mercado Envíos</t>
        </is>
      </c>
      <c r="N313" s="0" t="inlineStr">
        <is>
          <t>A cargo del comprador</t>
        </is>
      </c>
      <c r="O313" s="0" t="inlineStr">
        <is>
          <t>Acepto</t>
        </is>
      </c>
      <c r="P313" s="47" t="inlineStr">
        <is>
          <t>Sin garantía</t>
        </is>
      </c>
      <c r="R313" s="0" t="inlineStr">
        <is>
          <t>Seleccionar</t>
        </is>
      </c>
      <c r="S313" s="0" t="inlineStr">
        <is>
          <t>No ofrezco</t>
        </is>
      </c>
      <c r="T313" t="n">
        <v>1978</v>
      </c>
      <c r="U313" s="0" t="inlineStr">
        <is>
          <t>México</t>
        </is>
      </c>
      <c r="X313" s="0" t="inlineStr">
        <is>
          <t>Níquel</t>
        </is>
      </c>
      <c r="Z313" t="inlineStr">
        <is>
          <t>5 Céntimos</t>
        </is>
      </c>
      <c r="AA313" s="0" t="inlineStr">
        <is>
          <t>Euro</t>
        </is>
      </c>
      <c r="AB3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3" s="53">
        <f>IF(OR(TRIM(INDIRECT("B"&amp;ROW())) &lt;&gt; "",TRIM(INDIRECT("A"&amp;ROW())) &lt;&gt; ""),AND(TRIM(INDIRECT("A"&amp;ROW())) &lt;&gt; "",TRIM(INDIRECT("D"&amp;ROW())) = "nuevo"),"")</f>
        <v/>
      </c>
    </row>
    <row r="314" ht="27.5" customHeight="1" s="62">
      <c r="B314" t="inlineStr">
        <is>
          <t>Moneda Costa Rica 5 Céntimos 1979</t>
        </is>
      </c>
      <c r="C314" s="0">
        <f>LEN(INDIRECT(ADDRESS(ROW() + (0),COLUMN() + (-1))))</f>
        <v/>
      </c>
      <c r="D314" s="0" t="inlineStr">
        <is>
          <t>Usado</t>
        </is>
      </c>
      <c r="E314" s="38" t="inlineStr">
        <is>
          <t>https://numismaticapopper.com/images/704A.jpeg,https://numismaticapopper.com/images/704B.jpeg</t>
        </is>
      </c>
      <c r="F314" t="inlineStr">
        <is>
          <t>704</t>
        </is>
      </c>
      <c r="G314" s="40" t="n">
        <v>1</v>
      </c>
      <c r="H314" t="n">
        <v>9000</v>
      </c>
      <c r="I314" t="inlineStr">
        <is>
          <t>Estado de conservacion: Sin Circular
Referencia de catalogo: KM# 184.3a
Material: Latón
Tirada: 3.060.000
Año único</t>
        </is>
      </c>
      <c r="J314" s="31">
        <f>IF(INDIRECT(ADDRESS(ROW() + (0),COLUMN() + (1)))="Agregar cuotas", IF(("16%")="", "-", "16%"), IF(INDIRECT(ADDRESS(ROW() + (0),COLUMN() + (1)))="No agregar cuotas", IF(("16%")="", "-", "16%"), "-"))</f>
        <v/>
      </c>
      <c r="K314" s="0" t="inlineStr">
        <is>
          <t>No agregar cuotas</t>
        </is>
      </c>
      <c r="L314" s="31">
        <f>IF(INDIRECT(ADDRESS(ROW() + (0),COLUMN() + (-1)))="Agregar cuotas", IF(("13.4%")="", "Sin costo", "13.4%"), IF(INDIRECT(ADDRESS(ROW() + (0),COLUMN() + (-1)))="No agregar cuotas", IF(("")="", "Sin costo", ""), "-"))</f>
        <v/>
      </c>
      <c r="M314" s="0" t="inlineStr">
        <is>
          <t>Mercado Envíos</t>
        </is>
      </c>
      <c r="N314" s="0" t="inlineStr">
        <is>
          <t>A cargo del comprador</t>
        </is>
      </c>
      <c r="O314" s="0" t="inlineStr">
        <is>
          <t>Acepto</t>
        </is>
      </c>
      <c r="P314" s="47" t="inlineStr">
        <is>
          <t>Sin garantía</t>
        </is>
      </c>
      <c r="R314" s="0" t="inlineStr">
        <is>
          <t>Seleccionar</t>
        </is>
      </c>
      <c r="S314" s="0" t="inlineStr">
        <is>
          <t>No ofrezco</t>
        </is>
      </c>
      <c r="T314" t="n">
        <v>1979</v>
      </c>
      <c r="U314" s="0" t="inlineStr">
        <is>
          <t>México</t>
        </is>
      </c>
      <c r="X314" s="0" t="inlineStr">
        <is>
          <t>Bronce</t>
        </is>
      </c>
      <c r="Z314" t="inlineStr">
        <is>
          <t>5 Céntimos</t>
        </is>
      </c>
      <c r="AA314" s="0" t="inlineStr">
        <is>
          <t>Euro</t>
        </is>
      </c>
      <c r="AB3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4" s="53">
        <f>IF(OR(TRIM(INDIRECT("B"&amp;ROW())) &lt;&gt; "",TRIM(INDIRECT("A"&amp;ROW())) &lt;&gt; ""),AND(TRIM(INDIRECT("A"&amp;ROW())) &lt;&gt; "",TRIM(INDIRECT("D"&amp;ROW())) = "nuevo"),"")</f>
        <v/>
      </c>
    </row>
    <row r="315" ht="27.5" customHeight="1" s="62">
      <c r="B315" t="inlineStr">
        <is>
          <t>Moneda Paraguay 10 Centavos 1903</t>
        </is>
      </c>
      <c r="C315" s="0">
        <f>LEN(INDIRECT(ADDRESS(ROW() + (0),COLUMN() + (-1))))</f>
        <v/>
      </c>
      <c r="D315" s="0" t="inlineStr">
        <is>
          <t>Usado</t>
        </is>
      </c>
      <c r="E315" s="38" t="inlineStr">
        <is>
          <t>https://numismaticapopper.com/images/711A.jpeg,https://numismaticapopper.com/images/711B.jpeg</t>
        </is>
      </c>
      <c r="F315" t="inlineStr">
        <is>
          <t>711</t>
        </is>
      </c>
      <c r="G315" s="40" t="n">
        <v>1</v>
      </c>
      <c r="H315" t="n">
        <v>18000</v>
      </c>
      <c r="I315" t="inlineStr">
        <is>
          <t>Estado de conservacion: Excelente -
Referencia de catalogo: KM# 7
Material: Cuproníquel
Tirada: 1.200.000
Escasa</t>
        </is>
      </c>
      <c r="J315" s="31">
        <f>IF(INDIRECT(ADDRESS(ROW() + (0),COLUMN() + (1)))="Agregar cuotas", IF(("16%")="", "-", "16%"), IF(INDIRECT(ADDRESS(ROW() + (0),COLUMN() + (1)))="No agregar cuotas", IF(("16%")="", "-", "16%"), "-"))</f>
        <v/>
      </c>
      <c r="K315" s="0" t="inlineStr">
        <is>
          <t>No agregar cuotas</t>
        </is>
      </c>
      <c r="L315" s="31">
        <f>IF(INDIRECT(ADDRESS(ROW() + (0),COLUMN() + (-1)))="Agregar cuotas", IF(("13.4%")="", "Sin costo", "13.4%"), IF(INDIRECT(ADDRESS(ROW() + (0),COLUMN() + (-1)))="No agregar cuotas", IF(("")="", "Sin costo", ""), "-"))</f>
        <v/>
      </c>
      <c r="M315" s="0" t="inlineStr">
        <is>
          <t>Mercado Envíos</t>
        </is>
      </c>
      <c r="N315" s="0" t="inlineStr">
        <is>
          <t>A cargo del comprador</t>
        </is>
      </c>
      <c r="O315" s="0" t="inlineStr">
        <is>
          <t>Acepto</t>
        </is>
      </c>
      <c r="P315" s="47" t="inlineStr">
        <is>
          <t>Sin garantía</t>
        </is>
      </c>
      <c r="R315" s="0" t="inlineStr">
        <is>
          <t>Seleccionar</t>
        </is>
      </c>
      <c r="S315" s="0" t="inlineStr">
        <is>
          <t>No ofrezco</t>
        </is>
      </c>
      <c r="T315" t="n">
        <v>1903</v>
      </c>
      <c r="U315" s="0" t="inlineStr">
        <is>
          <t>Argentina</t>
        </is>
      </c>
      <c r="X315" s="0" t="inlineStr">
        <is>
          <t>Níquel</t>
        </is>
      </c>
      <c r="Z315" t="inlineStr">
        <is>
          <t>10 Centavos</t>
        </is>
      </c>
      <c r="AA315" s="0" t="inlineStr">
        <is>
          <t>Peso</t>
        </is>
      </c>
      <c r="AB3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5" s="53">
        <f>IF(OR(TRIM(INDIRECT("B"&amp;ROW())) &lt;&gt; "",TRIM(INDIRECT("A"&amp;ROW())) &lt;&gt; ""),AND(TRIM(INDIRECT("A"&amp;ROW())) &lt;&gt; "",TRIM(INDIRECT("D"&amp;ROW())) = "nuevo"),"")</f>
        <v/>
      </c>
    </row>
    <row r="316" ht="27.5" customHeight="1" s="62">
      <c r="B316" t="inlineStr">
        <is>
          <t>Moneda Chile 50 Escudos 1974</t>
        </is>
      </c>
      <c r="C316" s="0">
        <f>LEN(INDIRECT(ADDRESS(ROW() + (0),COLUMN() + (-1))))</f>
        <v/>
      </c>
      <c r="D316" s="0" t="inlineStr">
        <is>
          <t>Usado</t>
        </is>
      </c>
      <c r="E316" s="38" t="inlineStr">
        <is>
          <t>https://numismaticapopper.com/images/712A.jpeg,https://numismaticapopper.com/images/712B.jpeg</t>
        </is>
      </c>
      <c r="F316" t="inlineStr">
        <is>
          <t>712</t>
        </is>
      </c>
      <c r="G316" s="40" t="n">
        <v>1</v>
      </c>
      <c r="H316" t="n">
        <v>7000</v>
      </c>
      <c r="I316" t="inlineStr">
        <is>
          <t>Estado de conservacion: Sin Circular
Referencia de catalogo: KM# 201
Material: Latón de Níquel</t>
        </is>
      </c>
      <c r="J316" s="31">
        <f>IF(INDIRECT(ADDRESS(ROW() + (0),COLUMN() + (1)))="Agregar cuotas", IF(("16%")="", "-", "16%"), IF(INDIRECT(ADDRESS(ROW() + (0),COLUMN() + (1)))="No agregar cuotas", IF(("16%")="", "-", "16%"), "-"))</f>
        <v/>
      </c>
      <c r="K316" s="0" t="inlineStr">
        <is>
          <t>No agregar cuotas</t>
        </is>
      </c>
      <c r="L316" s="31">
        <f>IF(INDIRECT(ADDRESS(ROW() + (0),COLUMN() + (-1)))="Agregar cuotas", IF(("13.4%")="", "Sin costo", "13.4%"), IF(INDIRECT(ADDRESS(ROW() + (0),COLUMN() + (-1)))="No agregar cuotas", IF(("")="", "Sin costo", ""), "-"))</f>
        <v/>
      </c>
      <c r="M316" s="0" t="inlineStr">
        <is>
          <t>Mercado Envíos</t>
        </is>
      </c>
      <c r="N316" s="0" t="inlineStr">
        <is>
          <t>A cargo del comprador</t>
        </is>
      </c>
      <c r="O316" s="0" t="inlineStr">
        <is>
          <t>Acepto</t>
        </is>
      </c>
      <c r="P316" s="47" t="inlineStr">
        <is>
          <t>Sin garantía</t>
        </is>
      </c>
      <c r="R316" s="0" t="inlineStr">
        <is>
          <t>Seleccionar</t>
        </is>
      </c>
      <c r="S316" s="0" t="inlineStr">
        <is>
          <t>No ofrezco</t>
        </is>
      </c>
      <c r="T316" t="n">
        <v>1974</v>
      </c>
      <c r="U316" s="0" t="inlineStr">
        <is>
          <t>Chile</t>
        </is>
      </c>
      <c r="X316" s="0" t="inlineStr">
        <is>
          <t>Níquel</t>
        </is>
      </c>
      <c r="Z316" t="inlineStr">
        <is>
          <t>50 Escudos</t>
        </is>
      </c>
      <c r="AA316" s="0" t="inlineStr">
        <is>
          <t>Peso</t>
        </is>
      </c>
      <c r="AB3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6" s="53">
        <f>IF(OR(TRIM(INDIRECT("B"&amp;ROW())) &lt;&gt; "",TRIM(INDIRECT("A"&amp;ROW())) &lt;&gt; ""),AND(TRIM(INDIRECT("A"&amp;ROW())) &lt;&gt; "",TRIM(INDIRECT("D"&amp;ROW())) = "nuevo"),"")</f>
        <v/>
      </c>
    </row>
    <row r="317" ht="27.5" customHeight="1" s="62">
      <c r="B317" t="inlineStr">
        <is>
          <t>Moneda Chile 10 Centésimos 1971</t>
        </is>
      </c>
      <c r="C317" s="0">
        <f>LEN(INDIRECT(ADDRESS(ROW() + (0),COLUMN() + (-1))))</f>
        <v/>
      </c>
      <c r="D317" s="0" t="inlineStr">
        <is>
          <t>Usado</t>
        </is>
      </c>
      <c r="E317" s="38" t="inlineStr">
        <is>
          <t>https://numismaticapopper.com/images/713A.jpeg,https://numismaticapopper.com/images/713B.jpeg</t>
        </is>
      </c>
      <c r="F317" t="inlineStr">
        <is>
          <t>713</t>
        </is>
      </c>
      <c r="G317" s="40" t="n">
        <v>1</v>
      </c>
      <c r="H317" t="n">
        <v>7000</v>
      </c>
      <c r="I317" t="inlineStr">
        <is>
          <t>Estado de conservacion: Sin Circular
Referencia de catalogo: KM# 194
Material: Bronce-Aluminio</t>
        </is>
      </c>
      <c r="J317" s="31">
        <f>IF(INDIRECT(ADDRESS(ROW() + (0),COLUMN() + (1)))="Agregar cuotas", IF(("16%")="", "-", "16%"), IF(INDIRECT(ADDRESS(ROW() + (0),COLUMN() + (1)))="No agregar cuotas", IF(("16%")="", "-", "16%"), "-"))</f>
        <v/>
      </c>
      <c r="K317" s="0" t="inlineStr">
        <is>
          <t>No agregar cuotas</t>
        </is>
      </c>
      <c r="L317" s="31">
        <f>IF(INDIRECT(ADDRESS(ROW() + (0),COLUMN() + (-1)))="Agregar cuotas", IF(("13.4%")="", "Sin costo", "13.4%"), IF(INDIRECT(ADDRESS(ROW() + (0),COLUMN() + (-1)))="No agregar cuotas", IF(("")="", "Sin costo", ""), "-"))</f>
        <v/>
      </c>
      <c r="M317" s="0" t="inlineStr">
        <is>
          <t>Mercado Envíos</t>
        </is>
      </c>
      <c r="N317" s="0" t="inlineStr">
        <is>
          <t>A cargo del comprador</t>
        </is>
      </c>
      <c r="O317" s="0" t="inlineStr">
        <is>
          <t>Acepto</t>
        </is>
      </c>
      <c r="P317" s="47" t="inlineStr">
        <is>
          <t>Sin garantía</t>
        </is>
      </c>
      <c r="R317" s="0" t="inlineStr">
        <is>
          <t>Seleccionar</t>
        </is>
      </c>
      <c r="S317" s="0" t="inlineStr">
        <is>
          <t>No ofrezco</t>
        </is>
      </c>
      <c r="T317" t="n">
        <v>1971</v>
      </c>
      <c r="U317" s="0" t="inlineStr">
        <is>
          <t>Chile</t>
        </is>
      </c>
      <c r="X317" s="0" t="inlineStr">
        <is>
          <t>Bronce</t>
        </is>
      </c>
      <c r="Z317" t="inlineStr">
        <is>
          <t>10 Centésimos</t>
        </is>
      </c>
      <c r="AA317" s="0" t="inlineStr">
        <is>
          <t>Euro</t>
        </is>
      </c>
      <c r="AB3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7" s="53">
        <f>IF(OR(TRIM(INDIRECT("B"&amp;ROW())) &lt;&gt; "",TRIM(INDIRECT("A"&amp;ROW())) &lt;&gt; ""),AND(TRIM(INDIRECT("A"&amp;ROW())) &lt;&gt; "",TRIM(INDIRECT("D"&amp;ROW())) = "nuevo"),"")</f>
        <v/>
      </c>
    </row>
    <row r="318" ht="27.5" customHeight="1" s="62">
      <c r="B318" t="inlineStr">
        <is>
          <t>Moneda Paraguay 20 Centavos 1938</t>
        </is>
      </c>
      <c r="C318" s="0">
        <f>LEN(INDIRECT(ADDRESS(ROW() + (0),COLUMN() + (-1))))</f>
        <v/>
      </c>
      <c r="D318" s="0" t="inlineStr">
        <is>
          <t>Usado</t>
        </is>
      </c>
      <c r="E318" s="38" t="inlineStr">
        <is>
          <t>https://numismaticapopper.com/images/715A.jpeg,https://numismaticapopper.com/images/715B.jpeg</t>
        </is>
      </c>
      <c r="F318" t="inlineStr">
        <is>
          <t>715</t>
        </is>
      </c>
      <c r="G318" s="40" t="n">
        <v>1</v>
      </c>
      <c r="H318" t="n">
        <v>15000</v>
      </c>
      <c r="I318" t="inlineStr">
        <is>
          <t>Estado de conservacion: Excelente
Referencia de catalogo: KM# 15
Material: Aluminio
Tirada: 400.000
Escasa, año único</t>
        </is>
      </c>
      <c r="J318" s="31">
        <f>IF(INDIRECT(ADDRESS(ROW() + (0),COLUMN() + (1)))="Agregar cuotas", IF(("16%")="", "-", "16%"), IF(INDIRECT(ADDRESS(ROW() + (0),COLUMN() + (1)))="No agregar cuotas", IF(("16%")="", "-", "16%"), "-"))</f>
        <v/>
      </c>
      <c r="K318" s="0" t="inlineStr">
        <is>
          <t>No agregar cuotas</t>
        </is>
      </c>
      <c r="L318" s="31">
        <f>IF(INDIRECT(ADDRESS(ROW() + (0),COLUMN() + (-1)))="Agregar cuotas", IF(("13.4%")="", "Sin costo", "13.4%"), IF(INDIRECT(ADDRESS(ROW() + (0),COLUMN() + (-1)))="No agregar cuotas", IF(("")="", "Sin costo", ""), "-"))</f>
        <v/>
      </c>
      <c r="M318" s="0" t="inlineStr">
        <is>
          <t>Mercado Envíos</t>
        </is>
      </c>
      <c r="N318" s="0" t="inlineStr">
        <is>
          <t>A cargo del comprador</t>
        </is>
      </c>
      <c r="O318" s="0" t="inlineStr">
        <is>
          <t>Acepto</t>
        </is>
      </c>
      <c r="P318" s="47" t="inlineStr">
        <is>
          <t>Sin garantía</t>
        </is>
      </c>
      <c r="R318" s="0" t="inlineStr">
        <is>
          <t>Seleccionar</t>
        </is>
      </c>
      <c r="S318" s="0" t="inlineStr">
        <is>
          <t>No ofrezco</t>
        </is>
      </c>
      <c r="T318" t="n">
        <v>1938</v>
      </c>
      <c r="U318" s="0" t="inlineStr">
        <is>
          <t>Argentina</t>
        </is>
      </c>
      <c r="X318" s="0" t="inlineStr">
        <is>
          <t>Níquel</t>
        </is>
      </c>
      <c r="Z318" t="inlineStr">
        <is>
          <t>20 Centavos</t>
        </is>
      </c>
      <c r="AA318" s="0" t="inlineStr">
        <is>
          <t>Peso</t>
        </is>
      </c>
      <c r="AB3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8" s="53">
        <f>IF(OR(TRIM(INDIRECT("B"&amp;ROW())) &lt;&gt; "",TRIM(INDIRECT("A"&amp;ROW())) &lt;&gt; ""),AND(TRIM(INDIRECT("A"&amp;ROW())) &lt;&gt; "",TRIM(INDIRECT("D"&amp;ROW())) = "nuevo"),"")</f>
        <v/>
      </c>
    </row>
    <row r="319" ht="27.5" customHeight="1" s="62">
      <c r="B319" t="inlineStr">
        <is>
          <t>Moneda Paraguay 2 Pesos 1938</t>
        </is>
      </c>
      <c r="C319" s="0">
        <f>LEN(INDIRECT(ADDRESS(ROW() + (0),COLUMN() + (-1))))</f>
        <v/>
      </c>
      <c r="D319" s="0" t="inlineStr">
        <is>
          <t>Usado</t>
        </is>
      </c>
      <c r="E319" s="38" t="inlineStr">
        <is>
          <t>https://numismaticapopper.com/images/717A.jpeg,https://numismaticapopper.com/images/717B.jpeg</t>
        </is>
      </c>
      <c r="F319" t="inlineStr">
        <is>
          <t>717</t>
        </is>
      </c>
      <c r="G319" s="40" t="n">
        <v>1</v>
      </c>
      <c r="H319" t="n">
        <v>9000</v>
      </c>
      <c r="I319" t="inlineStr">
        <is>
          <t>Estado de conservacion: Excelente
Referencia de catalogo: KM# 17
Material: Aluminio
Año único</t>
        </is>
      </c>
      <c r="J319" s="31">
        <f>IF(INDIRECT(ADDRESS(ROW() + (0),COLUMN() + (1)))="Agregar cuotas", IF(("16%")="", "-", "16%"), IF(INDIRECT(ADDRESS(ROW() + (0),COLUMN() + (1)))="No agregar cuotas", IF(("16%")="", "-", "16%"), "-"))</f>
        <v/>
      </c>
      <c r="K319" s="0" t="inlineStr">
        <is>
          <t>No agregar cuotas</t>
        </is>
      </c>
      <c r="L319" s="31">
        <f>IF(INDIRECT(ADDRESS(ROW() + (0),COLUMN() + (-1)))="Agregar cuotas", IF(("13.4%")="", "Sin costo", "13.4%"), IF(INDIRECT(ADDRESS(ROW() + (0),COLUMN() + (-1)))="No agregar cuotas", IF(("")="", "Sin costo", ""), "-"))</f>
        <v/>
      </c>
      <c r="M319" s="0" t="inlineStr">
        <is>
          <t>Mercado Envíos</t>
        </is>
      </c>
      <c r="N319" s="0" t="inlineStr">
        <is>
          <t>A cargo del comprador</t>
        </is>
      </c>
      <c r="O319" s="0" t="inlineStr">
        <is>
          <t>Acepto</t>
        </is>
      </c>
      <c r="P319" s="47" t="inlineStr">
        <is>
          <t>Sin garantía</t>
        </is>
      </c>
      <c r="R319" s="0" t="inlineStr">
        <is>
          <t>Seleccionar</t>
        </is>
      </c>
      <c r="S319" s="0" t="inlineStr">
        <is>
          <t>No ofrezco</t>
        </is>
      </c>
      <c r="T319" t="n">
        <v>1938</v>
      </c>
      <c r="U319" s="0" t="inlineStr">
        <is>
          <t>Argentina</t>
        </is>
      </c>
      <c r="X319" s="0" t="inlineStr">
        <is>
          <t>Níquel</t>
        </is>
      </c>
      <c r="Z319" t="inlineStr">
        <is>
          <t>2 Pesos</t>
        </is>
      </c>
      <c r="AA319" s="0" t="inlineStr">
        <is>
          <t>Peso</t>
        </is>
      </c>
      <c r="AB3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19" s="53">
        <f>IF(OR(TRIM(INDIRECT("B"&amp;ROW())) &lt;&gt; "",TRIM(INDIRECT("A"&amp;ROW())) &lt;&gt; ""),AND(TRIM(INDIRECT("A"&amp;ROW())) &lt;&gt; "",TRIM(INDIRECT("D"&amp;ROW())) = "nuevo"),"")</f>
        <v/>
      </c>
    </row>
    <row r="320" ht="27.5" customHeight="1" s="62">
      <c r="B320" t="inlineStr">
        <is>
          <t>Moneda Chile 20 Centavos 1942</t>
        </is>
      </c>
      <c r="C320" s="0">
        <f>LEN(INDIRECT(ADDRESS(ROW() + (0),COLUMN() + (-1))))</f>
        <v/>
      </c>
      <c r="D320" s="0" t="inlineStr">
        <is>
          <t>Usado</t>
        </is>
      </c>
      <c r="E320" s="38" t="inlineStr">
        <is>
          <t>https://numismaticapopper.com/images/718A.jpeg,https://numismaticapopper.com/images/718B.jpeg</t>
        </is>
      </c>
      <c r="F320" t="inlineStr">
        <is>
          <t>718</t>
        </is>
      </c>
      <c r="G320" s="40" t="n">
        <v>1</v>
      </c>
      <c r="H320" t="n">
        <v>7000</v>
      </c>
      <c r="I320" t="inlineStr">
        <is>
          <t>Estado de conservacion: Excelente
Referencia de catalogo: KM# 177
Material: Cobre</t>
        </is>
      </c>
      <c r="J320" s="31">
        <f>IF(INDIRECT(ADDRESS(ROW() + (0),COLUMN() + (1)))="Agregar cuotas", IF(("16%")="", "-", "16%"), IF(INDIRECT(ADDRESS(ROW() + (0),COLUMN() + (1)))="No agregar cuotas", IF(("16%")="", "-", "16%"), "-"))</f>
        <v/>
      </c>
      <c r="K320" s="0" t="inlineStr">
        <is>
          <t>No agregar cuotas</t>
        </is>
      </c>
      <c r="L320" s="31">
        <f>IF(INDIRECT(ADDRESS(ROW() + (0),COLUMN() + (-1)))="Agregar cuotas", IF(("13.4%")="", "Sin costo", "13.4%"), IF(INDIRECT(ADDRESS(ROW() + (0),COLUMN() + (-1)))="No agregar cuotas", IF(("")="", "Sin costo", ""), "-"))</f>
        <v/>
      </c>
      <c r="M320" s="0" t="inlineStr">
        <is>
          <t>Mercado Envíos</t>
        </is>
      </c>
      <c r="N320" s="0" t="inlineStr">
        <is>
          <t>A cargo del comprador</t>
        </is>
      </c>
      <c r="O320" s="0" t="inlineStr">
        <is>
          <t>Acepto</t>
        </is>
      </c>
      <c r="P320" s="47" t="inlineStr">
        <is>
          <t>Sin garantía</t>
        </is>
      </c>
      <c r="R320" s="0" t="inlineStr">
        <is>
          <t>Seleccionar</t>
        </is>
      </c>
      <c r="S320" s="0" t="inlineStr">
        <is>
          <t>No ofrezco</t>
        </is>
      </c>
      <c r="T320" t="n">
        <v>1942</v>
      </c>
      <c r="U320" s="0" t="inlineStr">
        <is>
          <t>Chile</t>
        </is>
      </c>
      <c r="X320" s="0" t="inlineStr">
        <is>
          <t>Cobre</t>
        </is>
      </c>
      <c r="Z320" t="inlineStr">
        <is>
          <t>20 Centavos</t>
        </is>
      </c>
      <c r="AA320" s="0" t="inlineStr">
        <is>
          <t>Peso</t>
        </is>
      </c>
      <c r="AB3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0" s="53">
        <f>IF(OR(TRIM(INDIRECT("B"&amp;ROW())) &lt;&gt; "",TRIM(INDIRECT("A"&amp;ROW())) &lt;&gt; ""),AND(TRIM(INDIRECT("A"&amp;ROW())) &lt;&gt; "",TRIM(INDIRECT("D"&amp;ROW())) = "nuevo"),"")</f>
        <v/>
      </c>
    </row>
    <row r="321" ht="27.5" customHeight="1" s="62">
      <c r="B321" t="inlineStr">
        <is>
          <t>Moneda Chile 20 Centavos 1943</t>
        </is>
      </c>
      <c r="C321" s="0">
        <f>LEN(INDIRECT(ADDRESS(ROW() + (0),COLUMN() + (-1))))</f>
        <v/>
      </c>
      <c r="D321" s="0" t="inlineStr">
        <is>
          <t>Usado</t>
        </is>
      </c>
      <c r="E321" s="38" t="inlineStr">
        <is>
          <t>https://numismaticapopper.com/images/719A.jpeg,https://numismaticapopper.com/images/719B.jpeg</t>
        </is>
      </c>
      <c r="F321" t="inlineStr">
        <is>
          <t>719</t>
        </is>
      </c>
      <c r="G321" s="40" t="n">
        <v>1</v>
      </c>
      <c r="H321" t="n">
        <v>7000</v>
      </c>
      <c r="I321" t="inlineStr">
        <is>
          <t>Estado de conservacion: Excelente
Referencia de catalogo: KM# 177
Material: Cobre</t>
        </is>
      </c>
      <c r="J321" s="31">
        <f>IF(INDIRECT(ADDRESS(ROW() + (0),COLUMN() + (1)))="Agregar cuotas", IF(("16%")="", "-", "16%"), IF(INDIRECT(ADDRESS(ROW() + (0),COLUMN() + (1)))="No agregar cuotas", IF(("16%")="", "-", "16%"), "-"))</f>
        <v/>
      </c>
      <c r="K321" s="0" t="inlineStr">
        <is>
          <t>No agregar cuotas</t>
        </is>
      </c>
      <c r="L321" s="31">
        <f>IF(INDIRECT(ADDRESS(ROW() + (0),COLUMN() + (-1)))="Agregar cuotas", IF(("13.4%")="", "Sin costo", "13.4%"), IF(INDIRECT(ADDRESS(ROW() + (0),COLUMN() + (-1)))="No agregar cuotas", IF(("")="", "Sin costo", ""), "-"))</f>
        <v/>
      </c>
      <c r="M321" s="0" t="inlineStr">
        <is>
          <t>Mercado Envíos</t>
        </is>
      </c>
      <c r="N321" s="0" t="inlineStr">
        <is>
          <t>A cargo del comprador</t>
        </is>
      </c>
      <c r="O321" s="0" t="inlineStr">
        <is>
          <t>Acepto</t>
        </is>
      </c>
      <c r="P321" s="47" t="inlineStr">
        <is>
          <t>Sin garantía</t>
        </is>
      </c>
      <c r="R321" s="0" t="inlineStr">
        <is>
          <t>Seleccionar</t>
        </is>
      </c>
      <c r="S321" s="0" t="inlineStr">
        <is>
          <t>No ofrezco</t>
        </is>
      </c>
      <c r="T321" t="n">
        <v>1943</v>
      </c>
      <c r="U321" s="0" t="inlineStr">
        <is>
          <t>Chile</t>
        </is>
      </c>
      <c r="X321" s="0" t="inlineStr">
        <is>
          <t>Cobre</t>
        </is>
      </c>
      <c r="Z321" t="inlineStr">
        <is>
          <t>20 Centavos</t>
        </is>
      </c>
      <c r="AA321" s="0" t="inlineStr">
        <is>
          <t>Peso</t>
        </is>
      </c>
      <c r="AB3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1" s="53">
        <f>IF(OR(TRIM(INDIRECT("B"&amp;ROW())) &lt;&gt; "",TRIM(INDIRECT("A"&amp;ROW())) &lt;&gt; ""),AND(TRIM(INDIRECT("A"&amp;ROW())) &lt;&gt; "",TRIM(INDIRECT("D"&amp;ROW())) = "nuevo"),"")</f>
        <v/>
      </c>
    </row>
    <row r="322" ht="27.5" customHeight="1" s="62">
      <c r="B322" t="inlineStr">
        <is>
          <t>Moneda Chile 20 Centavos 1946</t>
        </is>
      </c>
      <c r="C322" s="0">
        <f>LEN(INDIRECT(ADDRESS(ROW() + (0),COLUMN() + (-1))))</f>
        <v/>
      </c>
      <c r="D322" s="0" t="inlineStr">
        <is>
          <t>Usado</t>
        </is>
      </c>
      <c r="E322" s="38" t="inlineStr">
        <is>
          <t>https://numismaticapopper.com/images/720A.jpeg,https://numismaticapopper.com/images/720B.jpeg</t>
        </is>
      </c>
      <c r="F322" t="inlineStr">
        <is>
          <t>720</t>
        </is>
      </c>
      <c r="G322" s="40" t="n">
        <v>1</v>
      </c>
      <c r="H322" t="n">
        <v>7000</v>
      </c>
      <c r="I322" t="inlineStr">
        <is>
          <t>Estado de conservacion: Muy Buena
Referencia de catalogo: KM# 177
Material: Cobre</t>
        </is>
      </c>
      <c r="J322" s="31">
        <f>IF(INDIRECT(ADDRESS(ROW() + (0),COLUMN() + (1)))="Agregar cuotas", IF(("16%")="", "-", "16%"), IF(INDIRECT(ADDRESS(ROW() + (0),COLUMN() + (1)))="No agregar cuotas", IF(("16%")="", "-", "16%"), "-"))</f>
        <v/>
      </c>
      <c r="K322" s="0" t="inlineStr">
        <is>
          <t>No agregar cuotas</t>
        </is>
      </c>
      <c r="L322" s="31">
        <f>IF(INDIRECT(ADDRESS(ROW() + (0),COLUMN() + (-1)))="Agregar cuotas", IF(("13.4%")="", "Sin costo", "13.4%"), IF(INDIRECT(ADDRESS(ROW() + (0),COLUMN() + (-1)))="No agregar cuotas", IF(("")="", "Sin costo", ""), "-"))</f>
        <v/>
      </c>
      <c r="M322" s="0" t="inlineStr">
        <is>
          <t>Mercado Envíos</t>
        </is>
      </c>
      <c r="N322" s="0" t="inlineStr">
        <is>
          <t>A cargo del comprador</t>
        </is>
      </c>
      <c r="O322" s="0" t="inlineStr">
        <is>
          <t>Acepto</t>
        </is>
      </c>
      <c r="P322" s="47" t="inlineStr">
        <is>
          <t>Sin garantía</t>
        </is>
      </c>
      <c r="R322" s="0" t="inlineStr">
        <is>
          <t>Seleccionar</t>
        </is>
      </c>
      <c r="S322" s="0" t="inlineStr">
        <is>
          <t>No ofrezco</t>
        </is>
      </c>
      <c r="T322" t="n">
        <v>1946</v>
      </c>
      <c r="U322" s="0" t="inlineStr">
        <is>
          <t>Chile</t>
        </is>
      </c>
      <c r="X322" s="0" t="inlineStr">
        <is>
          <t>Cobre</t>
        </is>
      </c>
      <c r="Z322" t="inlineStr">
        <is>
          <t>20 Centavos</t>
        </is>
      </c>
      <c r="AA322" s="0" t="inlineStr">
        <is>
          <t>Peso</t>
        </is>
      </c>
      <c r="AB3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2" s="53">
        <f>IF(OR(TRIM(INDIRECT("B"&amp;ROW())) &lt;&gt; "",TRIM(INDIRECT("A"&amp;ROW())) &lt;&gt; ""),AND(TRIM(INDIRECT("A"&amp;ROW())) &lt;&gt; "",TRIM(INDIRECT("D"&amp;ROW())) = "nuevo"),"")</f>
        <v/>
      </c>
    </row>
    <row r="323" ht="27.5" customHeight="1" s="62">
      <c r="B323" t="inlineStr">
        <is>
          <t>Moneda Chile 1 Peso 1953</t>
        </is>
      </c>
      <c r="C323" s="0">
        <f>LEN(INDIRECT(ADDRESS(ROW() + (0),COLUMN() + (-1))))</f>
        <v/>
      </c>
      <c r="D323" s="0" t="inlineStr">
        <is>
          <t>Usado</t>
        </is>
      </c>
      <c r="E323" s="38" t="inlineStr">
        <is>
          <t>https://numismaticapopper.com/images/721A.jpeg,https://numismaticapopper.com/images/721B.jpeg</t>
        </is>
      </c>
      <c r="F323" t="inlineStr">
        <is>
          <t>721</t>
        </is>
      </c>
      <c r="G323" s="40" t="n">
        <v>1</v>
      </c>
      <c r="H323" t="n">
        <v>7000</v>
      </c>
      <c r="I323" t="inlineStr">
        <is>
          <t>Estado de conservacion: Muy Buena
Referencia de catalogo: KM# 179
Material: Cobre</t>
        </is>
      </c>
      <c r="J323" s="31">
        <f>IF(INDIRECT(ADDRESS(ROW() + (0),COLUMN() + (1)))="Agregar cuotas", IF(("16%")="", "-", "16%"), IF(INDIRECT(ADDRESS(ROW() + (0),COLUMN() + (1)))="No agregar cuotas", IF(("16%")="", "-", "16%"), "-"))</f>
        <v/>
      </c>
      <c r="K323" s="0" t="inlineStr">
        <is>
          <t>No agregar cuotas</t>
        </is>
      </c>
      <c r="L323" s="31">
        <f>IF(INDIRECT(ADDRESS(ROW() + (0),COLUMN() + (-1)))="Agregar cuotas", IF(("13.4%")="", "Sin costo", "13.4%"), IF(INDIRECT(ADDRESS(ROW() + (0),COLUMN() + (-1)))="No agregar cuotas", IF(("")="", "Sin costo", ""), "-"))</f>
        <v/>
      </c>
      <c r="M323" s="0" t="inlineStr">
        <is>
          <t>Mercado Envíos</t>
        </is>
      </c>
      <c r="N323" s="0" t="inlineStr">
        <is>
          <t>A cargo del comprador</t>
        </is>
      </c>
      <c r="O323" s="0" t="inlineStr">
        <is>
          <t>Acepto</t>
        </is>
      </c>
      <c r="P323" s="47" t="inlineStr">
        <is>
          <t>Sin garantía</t>
        </is>
      </c>
      <c r="R323" s="0" t="inlineStr">
        <is>
          <t>Seleccionar</t>
        </is>
      </c>
      <c r="S323" s="0" t="inlineStr">
        <is>
          <t>No ofrezco</t>
        </is>
      </c>
      <c r="T323" t="n">
        <v>1953</v>
      </c>
      <c r="U323" s="0" t="inlineStr">
        <is>
          <t>Chile</t>
        </is>
      </c>
      <c r="X323" s="0" t="inlineStr">
        <is>
          <t>Cobre</t>
        </is>
      </c>
      <c r="Z323" t="inlineStr">
        <is>
          <t>1 Peso</t>
        </is>
      </c>
      <c r="AA323" s="0" t="inlineStr">
        <is>
          <t>Peso</t>
        </is>
      </c>
      <c r="AB3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3" s="53">
        <f>IF(OR(TRIM(INDIRECT("B"&amp;ROW())) &lt;&gt; "",TRIM(INDIRECT("A"&amp;ROW())) &lt;&gt; ""),AND(TRIM(INDIRECT("A"&amp;ROW())) &lt;&gt; "",TRIM(INDIRECT("D"&amp;ROW())) = "nuevo"),"")</f>
        <v/>
      </c>
    </row>
    <row r="324" ht="27.5" customHeight="1" s="62">
      <c r="B324" t="inlineStr">
        <is>
          <t>Moneda Chile 2 Centésimos 1968</t>
        </is>
      </c>
      <c r="C324" s="0">
        <f>LEN(INDIRECT(ADDRESS(ROW() + (0),COLUMN() + (-1))))</f>
        <v/>
      </c>
      <c r="D324" s="0" t="inlineStr">
        <is>
          <t>Usado</t>
        </is>
      </c>
      <c r="E324" s="38" t="inlineStr">
        <is>
          <t>https://numismaticapopper.com/images/722A.jpeg,https://numismaticapopper.com/images/722B.jpeg</t>
        </is>
      </c>
      <c r="F324" t="inlineStr">
        <is>
          <t>722</t>
        </is>
      </c>
      <c r="G324" s="40" t="n">
        <v>1</v>
      </c>
      <c r="H324" t="n">
        <v>7000</v>
      </c>
      <c r="I324" t="inlineStr">
        <is>
          <t>Estado de conservacion: Excelente
Referencia de catalogo: KM# 193
Material: Bronce-Aluminio</t>
        </is>
      </c>
      <c r="J324" s="31">
        <f>IF(INDIRECT(ADDRESS(ROW() + (0),COLUMN() + (1)))="Agregar cuotas", IF(("16%")="", "-", "16%"), IF(INDIRECT(ADDRESS(ROW() + (0),COLUMN() + (1)))="No agregar cuotas", IF(("16%")="", "-", "16%"), "-"))</f>
        <v/>
      </c>
      <c r="K324" s="0" t="inlineStr">
        <is>
          <t>No agregar cuotas</t>
        </is>
      </c>
      <c r="L324" s="31">
        <f>IF(INDIRECT(ADDRESS(ROW() + (0),COLUMN() + (-1)))="Agregar cuotas", IF(("13.4%")="", "Sin costo", "13.4%"), IF(INDIRECT(ADDRESS(ROW() + (0),COLUMN() + (-1)))="No agregar cuotas", IF(("")="", "Sin costo", ""), "-"))</f>
        <v/>
      </c>
      <c r="M324" s="0" t="inlineStr">
        <is>
          <t>Mercado Envíos</t>
        </is>
      </c>
      <c r="N324" s="0" t="inlineStr">
        <is>
          <t>A cargo del comprador</t>
        </is>
      </c>
      <c r="O324" s="0" t="inlineStr">
        <is>
          <t>Acepto</t>
        </is>
      </c>
      <c r="P324" s="47" t="inlineStr">
        <is>
          <t>Sin garantía</t>
        </is>
      </c>
      <c r="R324" s="0" t="inlineStr">
        <is>
          <t>Seleccionar</t>
        </is>
      </c>
      <c r="S324" s="0" t="inlineStr">
        <is>
          <t>No ofrezco</t>
        </is>
      </c>
      <c r="T324" t="n">
        <v>1968</v>
      </c>
      <c r="U324" s="0" t="inlineStr">
        <is>
          <t>Chile</t>
        </is>
      </c>
      <c r="X324" s="0" t="inlineStr">
        <is>
          <t>Bronce</t>
        </is>
      </c>
      <c r="Z324" t="inlineStr">
        <is>
          <t>2 Centésimos</t>
        </is>
      </c>
      <c r="AA324" s="0" t="inlineStr">
        <is>
          <t>Euro</t>
        </is>
      </c>
      <c r="AB3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4" s="53">
        <f>IF(OR(TRIM(INDIRECT("B"&amp;ROW())) &lt;&gt; "",TRIM(INDIRECT("A"&amp;ROW())) &lt;&gt; ""),AND(TRIM(INDIRECT("A"&amp;ROW())) &lt;&gt; "",TRIM(INDIRECT("D"&amp;ROW())) = "nuevo"),"")</f>
        <v/>
      </c>
    </row>
    <row r="325" ht="27.5" customHeight="1" s="62">
      <c r="B325" t="inlineStr">
        <is>
          <t>Moneda Chile 2 Centésimos 1967</t>
        </is>
      </c>
      <c r="C325" s="0">
        <f>LEN(INDIRECT(ADDRESS(ROW() + (0),COLUMN() + (-1))))</f>
        <v/>
      </c>
      <c r="D325" s="0" t="inlineStr">
        <is>
          <t>Usado</t>
        </is>
      </c>
      <c r="E325" s="38" t="inlineStr">
        <is>
          <t>https://numismaticapopper.com/images/723A.jpeg,https://numismaticapopper.com/images/723B.jpeg</t>
        </is>
      </c>
      <c r="F325" t="inlineStr">
        <is>
          <t>723</t>
        </is>
      </c>
      <c r="G325" s="40" t="n">
        <v>1</v>
      </c>
      <c r="H325" t="n">
        <v>7000</v>
      </c>
      <c r="I325" t="inlineStr">
        <is>
          <t>Estado de conservacion: Excelente
Referencia de catalogo: KM# 193
Material: Bronce-Aluminio</t>
        </is>
      </c>
      <c r="J325" s="31">
        <f>IF(INDIRECT(ADDRESS(ROW() + (0),COLUMN() + (1)))="Agregar cuotas", IF(("16%")="", "-", "16%"), IF(INDIRECT(ADDRESS(ROW() + (0),COLUMN() + (1)))="No agregar cuotas", IF(("16%")="", "-", "16%"), "-"))</f>
        <v/>
      </c>
      <c r="K325" s="0" t="inlineStr">
        <is>
          <t>No agregar cuotas</t>
        </is>
      </c>
      <c r="L325" s="31">
        <f>IF(INDIRECT(ADDRESS(ROW() + (0),COLUMN() + (-1)))="Agregar cuotas", IF(("13.4%")="", "Sin costo", "13.4%"), IF(INDIRECT(ADDRESS(ROW() + (0),COLUMN() + (-1)))="No agregar cuotas", IF(("")="", "Sin costo", ""), "-"))</f>
        <v/>
      </c>
      <c r="M325" s="0" t="inlineStr">
        <is>
          <t>Mercado Envíos</t>
        </is>
      </c>
      <c r="N325" s="0" t="inlineStr">
        <is>
          <t>A cargo del comprador</t>
        </is>
      </c>
      <c r="O325" s="0" t="inlineStr">
        <is>
          <t>Acepto</t>
        </is>
      </c>
      <c r="P325" s="47" t="inlineStr">
        <is>
          <t>Sin garantía</t>
        </is>
      </c>
      <c r="R325" s="0" t="inlineStr">
        <is>
          <t>Seleccionar</t>
        </is>
      </c>
      <c r="S325" s="0" t="inlineStr">
        <is>
          <t>No ofrezco</t>
        </is>
      </c>
      <c r="T325" t="n">
        <v>1967</v>
      </c>
      <c r="U325" s="0" t="inlineStr">
        <is>
          <t>Chile</t>
        </is>
      </c>
      <c r="X325" s="0" t="inlineStr">
        <is>
          <t>Bronce</t>
        </is>
      </c>
      <c r="Z325" t="inlineStr">
        <is>
          <t>2 Centésimos</t>
        </is>
      </c>
      <c r="AA325" s="0" t="inlineStr">
        <is>
          <t>Euro</t>
        </is>
      </c>
      <c r="AB3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5" s="53">
        <f>IF(OR(TRIM(INDIRECT("B"&amp;ROW())) &lt;&gt; "",TRIM(INDIRECT("A"&amp;ROW())) &lt;&gt; ""),AND(TRIM(INDIRECT("A"&amp;ROW())) &lt;&gt; "",TRIM(INDIRECT("D"&amp;ROW())) = "nuevo"),"")</f>
        <v/>
      </c>
    </row>
    <row r="326" ht="27.5" customHeight="1" s="62">
      <c r="B326" t="inlineStr">
        <is>
          <t>Moneda Chile 10 Centésimos 1969</t>
        </is>
      </c>
      <c r="C326" s="0">
        <f>LEN(INDIRECT(ADDRESS(ROW() + (0),COLUMN() + (-1))))</f>
        <v/>
      </c>
      <c r="D326" s="0" t="inlineStr">
        <is>
          <t>Usado</t>
        </is>
      </c>
      <c r="E326" s="38" t="inlineStr">
        <is>
          <t>https://numismaticapopper.com/images/725A.jpeg,https://numismaticapopper.com/images/725B.jpeg</t>
        </is>
      </c>
      <c r="F326" t="inlineStr">
        <is>
          <t>725</t>
        </is>
      </c>
      <c r="G326" s="40" t="n">
        <v>1</v>
      </c>
      <c r="H326" t="n">
        <v>7000</v>
      </c>
      <c r="I326" t="inlineStr">
        <is>
          <t>Estado de conservacion: Excelente
Referencia de catalogo: KM# 191
Material: Bronce-Aluminio</t>
        </is>
      </c>
      <c r="J326" s="31">
        <f>IF(INDIRECT(ADDRESS(ROW() + (0),COLUMN() + (1)))="Agregar cuotas", IF(("16%")="", "-", "16%"), IF(INDIRECT(ADDRESS(ROW() + (0),COLUMN() + (1)))="No agregar cuotas", IF(("16%")="", "-", "16%"), "-"))</f>
        <v/>
      </c>
      <c r="K326" s="0" t="inlineStr">
        <is>
          <t>No agregar cuotas</t>
        </is>
      </c>
      <c r="L326" s="31">
        <f>IF(INDIRECT(ADDRESS(ROW() + (0),COLUMN() + (-1)))="Agregar cuotas", IF(("13.4%")="", "Sin costo", "13.4%"), IF(INDIRECT(ADDRESS(ROW() + (0),COLUMN() + (-1)))="No agregar cuotas", IF(("")="", "Sin costo", ""), "-"))</f>
        <v/>
      </c>
      <c r="M326" s="0" t="inlineStr">
        <is>
          <t>Mercado Envíos</t>
        </is>
      </c>
      <c r="N326" s="0" t="inlineStr">
        <is>
          <t>A cargo del comprador</t>
        </is>
      </c>
      <c r="O326" s="0" t="inlineStr">
        <is>
          <t>Acepto</t>
        </is>
      </c>
      <c r="P326" s="47" t="inlineStr">
        <is>
          <t>Sin garantía</t>
        </is>
      </c>
      <c r="R326" s="0" t="inlineStr">
        <is>
          <t>Seleccionar</t>
        </is>
      </c>
      <c r="S326" s="0" t="inlineStr">
        <is>
          <t>No ofrezco</t>
        </is>
      </c>
      <c r="T326" t="n">
        <v>1969</v>
      </c>
      <c r="U326" s="0" t="inlineStr">
        <is>
          <t>Chile</t>
        </is>
      </c>
      <c r="X326" s="0" t="inlineStr">
        <is>
          <t>Bronce</t>
        </is>
      </c>
      <c r="Z326" t="inlineStr">
        <is>
          <t>10 Centésimos</t>
        </is>
      </c>
      <c r="AA326" s="0" t="inlineStr">
        <is>
          <t>Euro</t>
        </is>
      </c>
      <c r="AB3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6" s="53">
        <f>IF(OR(TRIM(INDIRECT("B"&amp;ROW())) &lt;&gt; "",TRIM(INDIRECT("A"&amp;ROW())) &lt;&gt; ""),AND(TRIM(INDIRECT("A"&amp;ROW())) &lt;&gt; "",TRIM(INDIRECT("D"&amp;ROW())) = "nuevo"),"")</f>
        <v/>
      </c>
    </row>
    <row r="327" ht="27.5" customHeight="1" s="62">
      <c r="B327" t="inlineStr">
        <is>
          <t>Moneda Chile 10 Centavos 1925</t>
        </is>
      </c>
      <c r="C327" s="0">
        <f>LEN(INDIRECT(ADDRESS(ROW() + (0),COLUMN() + (-1))))</f>
        <v/>
      </c>
      <c r="D327" s="0" t="inlineStr">
        <is>
          <t>Usado</t>
        </is>
      </c>
      <c r="E327" s="38" t="inlineStr">
        <is>
          <t>https://numismaticapopper.com/images/727A.jpeg,https://numismaticapopper.com/images/727B.jpeg</t>
        </is>
      </c>
      <c r="F327" t="inlineStr">
        <is>
          <t>727</t>
        </is>
      </c>
      <c r="G327" s="40" t="n">
        <v>1</v>
      </c>
      <c r="H327" t="n">
        <v>7000</v>
      </c>
      <c r="I327" t="inlineStr">
        <is>
          <t>Estado de conservacion: Muy Buena -
Referencia de catalogo: KM# 166
Material: Cuproníquel
Tirada: 2.665.000</t>
        </is>
      </c>
      <c r="J327" s="31">
        <f>IF(INDIRECT(ADDRESS(ROW() + (0),COLUMN() + (1)))="Agregar cuotas", IF(("16%")="", "-", "16%"), IF(INDIRECT(ADDRESS(ROW() + (0),COLUMN() + (1)))="No agregar cuotas", IF(("16%")="", "-", "16%"), "-"))</f>
        <v/>
      </c>
      <c r="K327" s="0" t="inlineStr">
        <is>
          <t>No agregar cuotas</t>
        </is>
      </c>
      <c r="L327" s="31">
        <f>IF(INDIRECT(ADDRESS(ROW() + (0),COLUMN() + (-1)))="Agregar cuotas", IF(("13.4%")="", "Sin costo", "13.4%"), IF(INDIRECT(ADDRESS(ROW() + (0),COLUMN() + (-1)))="No agregar cuotas", IF(("")="", "Sin costo", ""), "-"))</f>
        <v/>
      </c>
      <c r="M327" s="0" t="inlineStr">
        <is>
          <t>Mercado Envíos</t>
        </is>
      </c>
      <c r="N327" s="0" t="inlineStr">
        <is>
          <t>A cargo del comprador</t>
        </is>
      </c>
      <c r="O327" s="0" t="inlineStr">
        <is>
          <t>Acepto</t>
        </is>
      </c>
      <c r="P327" s="47" t="inlineStr">
        <is>
          <t>Sin garantía</t>
        </is>
      </c>
      <c r="R327" s="0" t="inlineStr">
        <is>
          <t>Seleccionar</t>
        </is>
      </c>
      <c r="S327" s="0" t="inlineStr">
        <is>
          <t>No ofrezco</t>
        </is>
      </c>
      <c r="T327" t="n">
        <v>1925</v>
      </c>
      <c r="U327" s="0" t="inlineStr">
        <is>
          <t>Chile</t>
        </is>
      </c>
      <c r="X327" s="0" t="inlineStr">
        <is>
          <t>Níquel</t>
        </is>
      </c>
      <c r="Z327" t="inlineStr">
        <is>
          <t>10 Centavos</t>
        </is>
      </c>
      <c r="AA327" s="0" t="inlineStr">
        <is>
          <t>Peso</t>
        </is>
      </c>
      <c r="AB3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7" s="53">
        <f>IF(OR(TRIM(INDIRECT("B"&amp;ROW())) &lt;&gt; "",TRIM(INDIRECT("A"&amp;ROW())) &lt;&gt; ""),AND(TRIM(INDIRECT("A"&amp;ROW())) &lt;&gt; "",TRIM(INDIRECT("D"&amp;ROW())) = "nuevo"),"")</f>
        <v/>
      </c>
    </row>
    <row r="328" ht="27.5" customHeight="1" s="62">
      <c r="B328" t="inlineStr">
        <is>
          <t>Moneda Chile 10 Centavos 1932</t>
        </is>
      </c>
      <c r="C328" s="0">
        <f>LEN(INDIRECT(ADDRESS(ROW() + (0),COLUMN() + (-1))))</f>
        <v/>
      </c>
      <c r="D328" s="0" t="inlineStr">
        <is>
          <t>Usado</t>
        </is>
      </c>
      <c r="E328" s="38" t="inlineStr">
        <is>
          <t>https://numismaticapopper.com/images/728A.jpeg,https://numismaticapopper.com/images/728B.jpeg</t>
        </is>
      </c>
      <c r="F328" t="inlineStr">
        <is>
          <t>728</t>
        </is>
      </c>
      <c r="G328" s="40" t="n">
        <v>1</v>
      </c>
      <c r="H328" t="n">
        <v>8000</v>
      </c>
      <c r="I328" t="inlineStr">
        <is>
          <t>Estado de conservacion: Muy Buena -
Referencia de catalogo: KM# 166
Material: Cuproníquel
Tirada: 1.500.000</t>
        </is>
      </c>
      <c r="J328" s="31">
        <f>IF(INDIRECT(ADDRESS(ROW() + (0),COLUMN() + (1)))="Agregar cuotas", IF(("16%")="", "-", "16%"), IF(INDIRECT(ADDRESS(ROW() + (0),COLUMN() + (1)))="No agregar cuotas", IF(("16%")="", "-", "16%"), "-"))</f>
        <v/>
      </c>
      <c r="K328" s="0" t="inlineStr">
        <is>
          <t>No agregar cuotas</t>
        </is>
      </c>
      <c r="L328" s="31">
        <f>IF(INDIRECT(ADDRESS(ROW() + (0),COLUMN() + (-1)))="Agregar cuotas", IF(("13.4%")="", "Sin costo", "13.4%"), IF(INDIRECT(ADDRESS(ROW() + (0),COLUMN() + (-1)))="No agregar cuotas", IF(("")="", "Sin costo", ""), "-"))</f>
        <v/>
      </c>
      <c r="M328" s="0" t="inlineStr">
        <is>
          <t>Mercado Envíos</t>
        </is>
      </c>
      <c r="N328" s="0" t="inlineStr">
        <is>
          <t>A cargo del comprador</t>
        </is>
      </c>
      <c r="O328" s="0" t="inlineStr">
        <is>
          <t>Acepto</t>
        </is>
      </c>
      <c r="P328" s="47" t="inlineStr">
        <is>
          <t>Sin garantía</t>
        </is>
      </c>
      <c r="R328" s="0" t="inlineStr">
        <is>
          <t>Seleccionar</t>
        </is>
      </c>
      <c r="S328" s="0" t="inlineStr">
        <is>
          <t>No ofrezco</t>
        </is>
      </c>
      <c r="T328" t="n">
        <v>1932</v>
      </c>
      <c r="U328" s="0" t="inlineStr">
        <is>
          <t>Chile</t>
        </is>
      </c>
      <c r="X328" s="0" t="inlineStr">
        <is>
          <t>Níquel</t>
        </is>
      </c>
      <c r="Z328" t="inlineStr">
        <is>
          <t>10 Centavos</t>
        </is>
      </c>
      <c r="AA328" s="0" t="inlineStr">
        <is>
          <t>Peso</t>
        </is>
      </c>
      <c r="AB3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8" s="53">
        <f>IF(OR(TRIM(INDIRECT("B"&amp;ROW())) &lt;&gt; "",TRIM(INDIRECT("A"&amp;ROW())) &lt;&gt; ""),AND(TRIM(INDIRECT("A"&amp;ROW())) &lt;&gt; "",TRIM(INDIRECT("D"&amp;ROW())) = "nuevo"),"")</f>
        <v/>
      </c>
    </row>
    <row r="329" ht="27.5" customHeight="1" s="62">
      <c r="B329" t="inlineStr">
        <is>
          <t>Moneda Chile 10 Pesos 1958</t>
        </is>
      </c>
      <c r="C329" s="0">
        <f>LEN(INDIRECT(ADDRESS(ROW() + (0),COLUMN() + (-1))))</f>
        <v/>
      </c>
      <c r="D329" s="0" t="inlineStr">
        <is>
          <t>Usado</t>
        </is>
      </c>
      <c r="E329" s="38" t="inlineStr">
        <is>
          <t>https://numismaticapopper.com/images/731A.jpeg,https://numismaticapopper.com/images/731B.jpeg</t>
        </is>
      </c>
      <c r="F329" t="inlineStr">
        <is>
          <t>731</t>
        </is>
      </c>
      <c r="G329" s="40" t="n">
        <v>1</v>
      </c>
      <c r="H329" t="n">
        <v>7000</v>
      </c>
      <c r="I329" t="inlineStr">
        <is>
          <t>Referencia de catalogo: KM# 181
Material: Aluminio</t>
        </is>
      </c>
      <c r="J329" s="31">
        <f>IF(INDIRECT(ADDRESS(ROW() + (0),COLUMN() + (1)))="Agregar cuotas", IF(("16%")="", "-", "16%"), IF(INDIRECT(ADDRESS(ROW() + (0),COLUMN() + (1)))="No agregar cuotas", IF(("16%")="", "-", "16%"), "-"))</f>
        <v/>
      </c>
      <c r="K329" s="0" t="inlineStr">
        <is>
          <t>No agregar cuotas</t>
        </is>
      </c>
      <c r="L329" s="31">
        <f>IF(INDIRECT(ADDRESS(ROW() + (0),COLUMN() + (-1)))="Agregar cuotas", IF(("13.4%")="", "Sin costo", "13.4%"), IF(INDIRECT(ADDRESS(ROW() + (0),COLUMN() + (-1)))="No agregar cuotas", IF(("")="", "Sin costo", ""), "-"))</f>
        <v/>
      </c>
      <c r="M329" s="0" t="inlineStr">
        <is>
          <t>Mercado Envíos</t>
        </is>
      </c>
      <c r="N329" s="0" t="inlineStr">
        <is>
          <t>A cargo del comprador</t>
        </is>
      </c>
      <c r="O329" s="0" t="inlineStr">
        <is>
          <t>Acepto</t>
        </is>
      </c>
      <c r="P329" s="47" t="inlineStr">
        <is>
          <t>Sin garantía</t>
        </is>
      </c>
      <c r="R329" s="0" t="inlineStr">
        <is>
          <t>Seleccionar</t>
        </is>
      </c>
      <c r="S329" s="0" t="inlineStr">
        <is>
          <t>No ofrezco</t>
        </is>
      </c>
      <c r="T329" t="n">
        <v>1958</v>
      </c>
      <c r="U329" s="0" t="inlineStr">
        <is>
          <t>Chile</t>
        </is>
      </c>
      <c r="X329" s="0" t="inlineStr">
        <is>
          <t>Níquel</t>
        </is>
      </c>
      <c r="Z329" t="inlineStr">
        <is>
          <t>10 Pesos</t>
        </is>
      </c>
      <c r="AA329" s="0" t="inlineStr">
        <is>
          <t>Peso</t>
        </is>
      </c>
      <c r="AB3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29" s="53">
        <f>IF(OR(TRIM(INDIRECT("B"&amp;ROW())) &lt;&gt; "",TRIM(INDIRECT("A"&amp;ROW())) &lt;&gt; ""),AND(TRIM(INDIRECT("A"&amp;ROW())) &lt;&gt; "",TRIM(INDIRECT("D"&amp;ROW())) = "nuevo"),"")</f>
        <v/>
      </c>
    </row>
    <row r="330" ht="27.5" customHeight="1" s="62">
      <c r="B330" t="inlineStr">
        <is>
          <t>Moneda Uruguay 5 Pesos 1975</t>
        </is>
      </c>
      <c r="C330" s="0">
        <f>LEN(INDIRECT(ADDRESS(ROW() + (0),COLUMN() + (-1))))</f>
        <v/>
      </c>
      <c r="D330" s="0" t="inlineStr">
        <is>
          <t>Usado</t>
        </is>
      </c>
      <c r="E330" s="38" t="inlineStr">
        <is>
          <t>https://numismaticapopper.com/images/732A.jpeg,https://numismaticapopper.com/images/732B.jpeg</t>
        </is>
      </c>
      <c r="F330" t="inlineStr">
        <is>
          <t>732</t>
        </is>
      </c>
      <c r="G330" s="40" t="n">
        <v>1</v>
      </c>
      <c r="H330" t="n">
        <v>10000</v>
      </c>
      <c r="I330" t="inlineStr">
        <is>
          <t>Estado de conservacion: Sin Circular
Referencia de catalogo: KM# 65
Material: Bronce-Aluminio
Tirada: 10.000.000
150 aniversario - Movimiento Revolucionario</t>
        </is>
      </c>
      <c r="J330" s="31">
        <f>IF(INDIRECT(ADDRESS(ROW() + (0),COLUMN() + (1)))="Agregar cuotas", IF(("16%")="", "-", "16%"), IF(INDIRECT(ADDRESS(ROW() + (0),COLUMN() + (1)))="No agregar cuotas", IF(("16%")="", "-", "16%"), "-"))</f>
        <v/>
      </c>
      <c r="K330" s="0" t="inlineStr">
        <is>
          <t>No agregar cuotas</t>
        </is>
      </c>
      <c r="L330" s="31">
        <f>IF(INDIRECT(ADDRESS(ROW() + (0),COLUMN() + (-1)))="Agregar cuotas", IF(("13.4%")="", "Sin costo", "13.4%"), IF(INDIRECT(ADDRESS(ROW() + (0),COLUMN() + (-1)))="No agregar cuotas", IF(("")="", "Sin costo", ""), "-"))</f>
        <v/>
      </c>
      <c r="M330" s="0" t="inlineStr">
        <is>
          <t>Mercado Envíos</t>
        </is>
      </c>
      <c r="N330" s="0" t="inlineStr">
        <is>
          <t>A cargo del comprador</t>
        </is>
      </c>
      <c r="O330" s="0" t="inlineStr">
        <is>
          <t>Acepto</t>
        </is>
      </c>
      <c r="P330" s="47" t="inlineStr">
        <is>
          <t>Sin garantía</t>
        </is>
      </c>
      <c r="R330" s="0" t="inlineStr">
        <is>
          <t>Seleccionar</t>
        </is>
      </c>
      <c r="S330" s="0" t="inlineStr">
        <is>
          <t>No ofrezco</t>
        </is>
      </c>
      <c r="T330" t="n">
        <v>1975</v>
      </c>
      <c r="U330" s="0" t="inlineStr">
        <is>
          <t>Uruguay</t>
        </is>
      </c>
      <c r="X330" s="0" t="inlineStr">
        <is>
          <t>Bronce</t>
        </is>
      </c>
      <c r="Z330" t="inlineStr">
        <is>
          <t>5 Pesos</t>
        </is>
      </c>
      <c r="AA330" s="0" t="inlineStr">
        <is>
          <t>Peso</t>
        </is>
      </c>
      <c r="AB3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0" s="53">
        <f>IF(OR(TRIM(INDIRECT("B"&amp;ROW())) &lt;&gt; "",TRIM(INDIRECT("A"&amp;ROW())) &lt;&gt; ""),AND(TRIM(INDIRECT("A"&amp;ROW())) &lt;&gt; "",TRIM(INDIRECT("D"&amp;ROW())) = "nuevo"),"")</f>
        <v/>
      </c>
    </row>
    <row r="331" ht="27.5" customHeight="1" s="62">
      <c r="B331" t="inlineStr">
        <is>
          <t>Moneda Argentina 10 Centavos 1882</t>
        </is>
      </c>
      <c r="C331" s="0">
        <f>LEN(INDIRECT(ADDRESS(ROW() + (0),COLUMN() + (-1))))</f>
        <v/>
      </c>
      <c r="D331" s="0" t="inlineStr">
        <is>
          <t>Usado</t>
        </is>
      </c>
      <c r="E331" s="38" t="inlineStr">
        <is>
          <t>https://numismaticapopper.com/images/733A.jpeg,https://numismaticapopper.com/images/733B.jpeg</t>
        </is>
      </c>
      <c r="F331" t="inlineStr">
        <is>
          <t>733</t>
        </is>
      </c>
      <c r="G331" s="40" t="n">
        <v>1</v>
      </c>
      <c r="H331" t="n">
        <v>40000</v>
      </c>
      <c r="I331" t="inlineStr">
        <is>
          <t>Estado de conservacion: Excelente
Referencia de catalogo: CJ# 22
Material: Plata .900
Tirada: 778.000</t>
        </is>
      </c>
      <c r="J331" s="31">
        <f>IF(INDIRECT(ADDRESS(ROW() + (0),COLUMN() + (1)))="Agregar cuotas", IF(("16%")="", "-", "16%"), IF(INDIRECT(ADDRESS(ROW() + (0),COLUMN() + (1)))="No agregar cuotas", IF(("16%")="", "-", "16%"), "-"))</f>
        <v/>
      </c>
      <c r="K331" s="0" t="inlineStr">
        <is>
          <t>No agregar cuotas</t>
        </is>
      </c>
      <c r="L331" s="31">
        <f>IF(INDIRECT(ADDRESS(ROW() + (0),COLUMN() + (-1)))="Agregar cuotas", IF(("13.4%")="", "Sin costo", "13.4%"), IF(INDIRECT(ADDRESS(ROW() + (0),COLUMN() + (-1)))="No agregar cuotas", IF(("")="", "Sin costo", ""), "-"))</f>
        <v/>
      </c>
      <c r="M331" s="0" t="inlineStr">
        <is>
          <t>Mercado Envíos</t>
        </is>
      </c>
      <c r="N331" s="0" t="inlineStr">
        <is>
          <t>A cargo del comprador</t>
        </is>
      </c>
      <c r="O331" s="0" t="inlineStr">
        <is>
          <t>Acepto</t>
        </is>
      </c>
      <c r="P331" s="47" t="inlineStr">
        <is>
          <t>Sin garantía</t>
        </is>
      </c>
      <c r="R331" s="0" t="inlineStr">
        <is>
          <t>Seleccionar</t>
        </is>
      </c>
      <c r="S331" s="0" t="inlineStr">
        <is>
          <t>No ofrezco</t>
        </is>
      </c>
      <c r="T331" t="n">
        <v>1882</v>
      </c>
      <c r="U331" s="0" t="inlineStr">
        <is>
          <t>Argentina</t>
        </is>
      </c>
      <c r="X331" s="0" t="inlineStr">
        <is>
          <t>Plata</t>
        </is>
      </c>
      <c r="Z331" t="inlineStr">
        <is>
          <t>10 Centavos</t>
        </is>
      </c>
      <c r="AA331" s="0" t="inlineStr">
        <is>
          <t>Peso</t>
        </is>
      </c>
      <c r="AB3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1" s="53">
        <f>IF(OR(TRIM(INDIRECT("B"&amp;ROW())) &lt;&gt; "",TRIM(INDIRECT("A"&amp;ROW())) &lt;&gt; ""),AND(TRIM(INDIRECT("A"&amp;ROW())) &lt;&gt; "",TRIM(INDIRECT("D"&amp;ROW())) = "nuevo"),"")</f>
        <v/>
      </c>
    </row>
    <row r="332" ht="27.5" customHeight="1" s="62">
      <c r="B332" t="inlineStr">
        <is>
          <t>Moneda Argentina 5 Centavos 1896</t>
        </is>
      </c>
      <c r="C332" s="0">
        <f>LEN(INDIRECT(ADDRESS(ROW() + (0),COLUMN() + (-1))))</f>
        <v/>
      </c>
      <c r="D332" s="0" t="inlineStr">
        <is>
          <t>Usado</t>
        </is>
      </c>
      <c r="E332" s="38" t="inlineStr">
        <is>
          <t>https://numismaticapopper.com/images/734A.jpeg,https://numismaticapopper.com/images/734B.jpeg</t>
        </is>
      </c>
      <c r="F332" t="inlineStr">
        <is>
          <t>734</t>
        </is>
      </c>
      <c r="G332" s="40" t="n">
        <v>1</v>
      </c>
      <c r="H332" t="n">
        <v>31000</v>
      </c>
      <c r="I332" t="inlineStr">
        <is>
          <t>Referencia de catalogo: CJ# 130
Material: Cuproníquel</t>
        </is>
      </c>
      <c r="J332" s="31">
        <f>IF(INDIRECT(ADDRESS(ROW() + (0),COLUMN() + (1)))="Agregar cuotas", IF(("16%")="", "-", "16%"), IF(INDIRECT(ADDRESS(ROW() + (0),COLUMN() + (1)))="No agregar cuotas", IF(("16%")="", "-", "16%"), "-"))</f>
        <v/>
      </c>
      <c r="K332" s="0" t="inlineStr">
        <is>
          <t>No agregar cuotas</t>
        </is>
      </c>
      <c r="L332" s="31">
        <f>IF(INDIRECT(ADDRESS(ROW() + (0),COLUMN() + (-1)))="Agregar cuotas", IF(("13.4%")="", "Sin costo", "13.4%"), IF(INDIRECT(ADDRESS(ROW() + (0),COLUMN() + (-1)))="No agregar cuotas", IF(("")="", "Sin costo", ""), "-"))</f>
        <v/>
      </c>
      <c r="M332" s="0" t="inlineStr">
        <is>
          <t>Mercado Envíos</t>
        </is>
      </c>
      <c r="N332" s="0" t="inlineStr">
        <is>
          <t>A cargo del comprador</t>
        </is>
      </c>
      <c r="O332" s="0" t="inlineStr">
        <is>
          <t>Acepto</t>
        </is>
      </c>
      <c r="P332" s="47" t="inlineStr">
        <is>
          <t>Sin garantía</t>
        </is>
      </c>
      <c r="R332" s="0" t="inlineStr">
        <is>
          <t>Seleccionar</t>
        </is>
      </c>
      <c r="S332" s="0" t="inlineStr">
        <is>
          <t>No ofrezco</t>
        </is>
      </c>
      <c r="T332" t="n">
        <v>1896</v>
      </c>
      <c r="U332" s="0" t="inlineStr">
        <is>
          <t>Argentina</t>
        </is>
      </c>
      <c r="X332" s="0" t="inlineStr">
        <is>
          <t>Níquel</t>
        </is>
      </c>
      <c r="Z332" t="inlineStr">
        <is>
          <t>5 Centavos</t>
        </is>
      </c>
      <c r="AA332" s="0" t="inlineStr">
        <is>
          <t>Peso</t>
        </is>
      </c>
      <c r="AB3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2" s="53">
        <f>IF(OR(TRIM(INDIRECT("B"&amp;ROW())) &lt;&gt; "",TRIM(INDIRECT("A"&amp;ROW())) &lt;&gt; ""),AND(TRIM(INDIRECT("A"&amp;ROW())) &lt;&gt; "",TRIM(INDIRECT("D"&amp;ROW())) = "nuevo"),"")</f>
        <v/>
      </c>
    </row>
    <row r="333" ht="27.5" customHeight="1" s="62">
      <c r="B333" t="inlineStr">
        <is>
          <t>Moneda Argentina 5 Centavos 1899</t>
        </is>
      </c>
      <c r="C333" s="0">
        <f>LEN(INDIRECT(ADDRESS(ROW() + (0),COLUMN() + (-1))))</f>
        <v/>
      </c>
      <c r="D333" s="0" t="inlineStr">
        <is>
          <t>Usado</t>
        </is>
      </c>
      <c r="E333" s="38" t="inlineStr">
        <is>
          <t>https://numismaticapopper.com/images/735A.jpeg,https://numismaticapopper.com/images/735B.jpeg</t>
        </is>
      </c>
      <c r="F333" t="inlineStr">
        <is>
          <t>735</t>
        </is>
      </c>
      <c r="G333" s="40" t="n">
        <v>1</v>
      </c>
      <c r="H333" t="n">
        <v>13000</v>
      </c>
      <c r="I333" t="inlineStr">
        <is>
          <t>Referencia de catalogo: CJ# 133
Material: Cuproníquel</t>
        </is>
      </c>
      <c r="J333" s="31">
        <f>IF(INDIRECT(ADDRESS(ROW() + (0),COLUMN() + (1)))="Agregar cuotas", IF(("16%")="", "-", "16%"), IF(INDIRECT(ADDRESS(ROW() + (0),COLUMN() + (1)))="No agregar cuotas", IF(("16%")="", "-", "16%"), "-"))</f>
        <v/>
      </c>
      <c r="K333" s="0" t="inlineStr">
        <is>
          <t>No agregar cuotas</t>
        </is>
      </c>
      <c r="L333" s="31">
        <f>IF(INDIRECT(ADDRESS(ROW() + (0),COLUMN() + (-1)))="Agregar cuotas", IF(("13.4%")="", "Sin costo", "13.4%"), IF(INDIRECT(ADDRESS(ROW() + (0),COLUMN() + (-1)))="No agregar cuotas", IF(("")="", "Sin costo", ""), "-"))</f>
        <v/>
      </c>
      <c r="M333" s="0" t="inlineStr">
        <is>
          <t>Mercado Envíos</t>
        </is>
      </c>
      <c r="N333" s="0" t="inlineStr">
        <is>
          <t>A cargo del comprador</t>
        </is>
      </c>
      <c r="O333" s="0" t="inlineStr">
        <is>
          <t>Acepto</t>
        </is>
      </c>
      <c r="P333" s="47" t="inlineStr">
        <is>
          <t>Sin garantía</t>
        </is>
      </c>
      <c r="R333" s="0" t="inlineStr">
        <is>
          <t>Seleccionar</t>
        </is>
      </c>
      <c r="S333" s="0" t="inlineStr">
        <is>
          <t>No ofrezco</t>
        </is>
      </c>
      <c r="T333" t="n">
        <v>1899</v>
      </c>
      <c r="U333" s="0" t="inlineStr">
        <is>
          <t>Argentina</t>
        </is>
      </c>
      <c r="X333" s="0" t="inlineStr">
        <is>
          <t>Níquel</t>
        </is>
      </c>
      <c r="Z333" t="inlineStr">
        <is>
          <t>5 Centavos</t>
        </is>
      </c>
      <c r="AA333" s="0" t="inlineStr">
        <is>
          <t>Peso</t>
        </is>
      </c>
      <c r="AB3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3" s="53">
        <f>IF(OR(TRIM(INDIRECT("B"&amp;ROW())) &lt;&gt; "",TRIM(INDIRECT("A"&amp;ROW())) &lt;&gt; ""),AND(TRIM(INDIRECT("A"&amp;ROW())) &lt;&gt; "",TRIM(INDIRECT("D"&amp;ROW())) = "nuevo"),"")</f>
        <v/>
      </c>
    </row>
    <row r="334" ht="27.5" customHeight="1" s="62">
      <c r="B334" t="inlineStr">
        <is>
          <t>Moneda Argentina 5 Centavos 1903</t>
        </is>
      </c>
      <c r="C334" s="0">
        <f>LEN(INDIRECT(ADDRESS(ROW() + (0),COLUMN() + (-1))))</f>
        <v/>
      </c>
      <c r="D334" s="0" t="inlineStr">
        <is>
          <t>Usado</t>
        </is>
      </c>
      <c r="E334" s="38" t="inlineStr">
        <is>
          <t>https://numismaticapopper.com/images/736A.jpeg,https://numismaticapopper.com/images/736B.jpeg</t>
        </is>
      </c>
      <c r="F334" t="inlineStr">
        <is>
          <t>736</t>
        </is>
      </c>
      <c r="G334" s="40" t="n">
        <v>1</v>
      </c>
      <c r="H334" t="n">
        <v>13000</v>
      </c>
      <c r="I334" t="inlineStr">
        <is>
          <t>Referencia de catalogo: CJ# 134
Material: Cuproníquel</t>
        </is>
      </c>
      <c r="J334" s="31">
        <f>IF(INDIRECT(ADDRESS(ROW() + (0),COLUMN() + (1)))="Agregar cuotas", IF(("16%")="", "-", "16%"), IF(INDIRECT(ADDRESS(ROW() + (0),COLUMN() + (1)))="No agregar cuotas", IF(("16%")="", "-", "16%"), "-"))</f>
        <v/>
      </c>
      <c r="K334" s="0" t="inlineStr">
        <is>
          <t>No agregar cuotas</t>
        </is>
      </c>
      <c r="L334" s="31">
        <f>IF(INDIRECT(ADDRESS(ROW() + (0),COLUMN() + (-1)))="Agregar cuotas", IF(("13.4%")="", "Sin costo", "13.4%"), IF(INDIRECT(ADDRESS(ROW() + (0),COLUMN() + (-1)))="No agregar cuotas", IF(("")="", "Sin costo", ""), "-"))</f>
        <v/>
      </c>
      <c r="M334" s="0" t="inlineStr">
        <is>
          <t>Mercado Envíos</t>
        </is>
      </c>
      <c r="N334" s="0" t="inlineStr">
        <is>
          <t>A cargo del comprador</t>
        </is>
      </c>
      <c r="O334" s="0" t="inlineStr">
        <is>
          <t>Acepto</t>
        </is>
      </c>
      <c r="P334" s="47" t="inlineStr">
        <is>
          <t>Sin garantía</t>
        </is>
      </c>
      <c r="R334" s="0" t="inlineStr">
        <is>
          <t>Seleccionar</t>
        </is>
      </c>
      <c r="S334" s="0" t="inlineStr">
        <is>
          <t>No ofrezco</t>
        </is>
      </c>
      <c r="T334" t="n">
        <v>1903</v>
      </c>
      <c r="U334" s="0" t="inlineStr">
        <is>
          <t>Argentina</t>
        </is>
      </c>
      <c r="X334" s="0" t="inlineStr">
        <is>
          <t>Níquel</t>
        </is>
      </c>
      <c r="Z334" t="inlineStr">
        <is>
          <t>5 Centavos</t>
        </is>
      </c>
      <c r="AA334" s="0" t="inlineStr">
        <is>
          <t>Peso</t>
        </is>
      </c>
      <c r="AB3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4" s="53">
        <f>IF(OR(TRIM(INDIRECT("B"&amp;ROW())) &lt;&gt; "",TRIM(INDIRECT("A"&amp;ROW())) &lt;&gt; ""),AND(TRIM(INDIRECT("A"&amp;ROW())) &lt;&gt; "",TRIM(INDIRECT("D"&amp;ROW())) = "nuevo"),"")</f>
        <v/>
      </c>
    </row>
    <row r="335" ht="27.5" customHeight="1" s="62">
      <c r="B335" t="inlineStr">
        <is>
          <t>Moneda Argentina 5 Centavos 1904</t>
        </is>
      </c>
      <c r="C335" s="0">
        <f>LEN(INDIRECT(ADDRESS(ROW() + (0),COLUMN() + (-1))))</f>
        <v/>
      </c>
      <c r="D335" s="0" t="inlineStr">
        <is>
          <t>Usado</t>
        </is>
      </c>
      <c r="E335" s="38" t="inlineStr">
        <is>
          <t>https://numismaticapopper.com/images/737A.jpeg,https://numismaticapopper.com/images/737B.jpeg</t>
        </is>
      </c>
      <c r="F335" t="inlineStr">
        <is>
          <t>737</t>
        </is>
      </c>
      <c r="G335" s="40" t="n">
        <v>1</v>
      </c>
      <c r="H335" t="n">
        <v>18000</v>
      </c>
      <c r="I335" t="inlineStr">
        <is>
          <t>Referencia de catalogo: CJ# 135
Material: Cuproníquel</t>
        </is>
      </c>
      <c r="J335" s="31">
        <f>IF(INDIRECT(ADDRESS(ROW() + (0),COLUMN() + (1)))="Agregar cuotas", IF(("16%")="", "-", "16%"), IF(INDIRECT(ADDRESS(ROW() + (0),COLUMN() + (1)))="No agregar cuotas", IF(("16%")="", "-", "16%"), "-"))</f>
        <v/>
      </c>
      <c r="K335" s="0" t="inlineStr">
        <is>
          <t>No agregar cuotas</t>
        </is>
      </c>
      <c r="L335" s="31">
        <f>IF(INDIRECT(ADDRESS(ROW() + (0),COLUMN() + (-1)))="Agregar cuotas", IF(("13.4%")="", "Sin costo", "13.4%"), IF(INDIRECT(ADDRESS(ROW() + (0),COLUMN() + (-1)))="No agregar cuotas", IF(("")="", "Sin costo", ""), "-"))</f>
        <v/>
      </c>
      <c r="M335" s="0" t="inlineStr">
        <is>
          <t>Mercado Envíos</t>
        </is>
      </c>
      <c r="N335" s="0" t="inlineStr">
        <is>
          <t>A cargo del comprador</t>
        </is>
      </c>
      <c r="O335" s="0" t="inlineStr">
        <is>
          <t>Acepto</t>
        </is>
      </c>
      <c r="P335" s="47" t="inlineStr">
        <is>
          <t>Sin garantía</t>
        </is>
      </c>
      <c r="R335" s="0" t="inlineStr">
        <is>
          <t>Seleccionar</t>
        </is>
      </c>
      <c r="S335" s="0" t="inlineStr">
        <is>
          <t>No ofrezco</t>
        </is>
      </c>
      <c r="T335" t="n">
        <v>1904</v>
      </c>
      <c r="U335" s="0" t="inlineStr">
        <is>
          <t>Argentina</t>
        </is>
      </c>
      <c r="X335" s="0" t="inlineStr">
        <is>
          <t>Níquel</t>
        </is>
      </c>
      <c r="Z335" t="inlineStr">
        <is>
          <t>5 Centavos</t>
        </is>
      </c>
      <c r="AA335" s="0" t="inlineStr">
        <is>
          <t>Peso</t>
        </is>
      </c>
      <c r="AB3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5" s="53">
        <f>IF(OR(TRIM(INDIRECT("B"&amp;ROW())) &lt;&gt; "",TRIM(INDIRECT("A"&amp;ROW())) &lt;&gt; ""),AND(TRIM(INDIRECT("A"&amp;ROW())) &lt;&gt; "",TRIM(INDIRECT("D"&amp;ROW())) = "nuevo"),"")</f>
        <v/>
      </c>
    </row>
    <row r="336" ht="27.5" customHeight="1" s="62">
      <c r="B336" t="inlineStr">
        <is>
          <t>Moneda Argentina 5 Centavos 1904</t>
        </is>
      </c>
      <c r="C336" s="0">
        <f>LEN(INDIRECT(ADDRESS(ROW() + (0),COLUMN() + (-1))))</f>
        <v/>
      </c>
      <c r="D336" s="0" t="inlineStr">
        <is>
          <t>Usado</t>
        </is>
      </c>
      <c r="E336" s="38" t="inlineStr">
        <is>
          <t>https://numismaticapopper.com/images/738A.jpeg,https://numismaticapopper.com/images/738B.jpeg</t>
        </is>
      </c>
      <c r="F336" t="inlineStr">
        <is>
          <t>738</t>
        </is>
      </c>
      <c r="G336" s="40" t="n">
        <v>1</v>
      </c>
      <c r="H336" t="n">
        <v>13000</v>
      </c>
      <c r="I336" t="inlineStr">
        <is>
          <t>Referencia de catalogo: CJ# 135
Material: Cuproníquel</t>
        </is>
      </c>
      <c r="J336" s="31">
        <f>IF(INDIRECT(ADDRESS(ROW() + (0),COLUMN() + (1)))="Agregar cuotas", IF(("16%")="", "-", "16%"), IF(INDIRECT(ADDRESS(ROW() + (0),COLUMN() + (1)))="No agregar cuotas", IF(("16%")="", "-", "16%"), "-"))</f>
        <v/>
      </c>
      <c r="K336" s="0" t="inlineStr">
        <is>
          <t>No agregar cuotas</t>
        </is>
      </c>
      <c r="L336" s="31">
        <f>IF(INDIRECT(ADDRESS(ROW() + (0),COLUMN() + (-1)))="Agregar cuotas", IF(("13.4%")="", "Sin costo", "13.4%"), IF(INDIRECT(ADDRESS(ROW() + (0),COLUMN() + (-1)))="No agregar cuotas", IF(("")="", "Sin costo", ""), "-"))</f>
        <v/>
      </c>
      <c r="M336" s="0" t="inlineStr">
        <is>
          <t>Mercado Envíos</t>
        </is>
      </c>
      <c r="N336" s="0" t="inlineStr">
        <is>
          <t>A cargo del comprador</t>
        </is>
      </c>
      <c r="O336" s="0" t="inlineStr">
        <is>
          <t>Acepto</t>
        </is>
      </c>
      <c r="P336" s="47" t="inlineStr">
        <is>
          <t>Sin garantía</t>
        </is>
      </c>
      <c r="R336" s="0" t="inlineStr">
        <is>
          <t>Seleccionar</t>
        </is>
      </c>
      <c r="S336" s="0" t="inlineStr">
        <is>
          <t>No ofrezco</t>
        </is>
      </c>
      <c r="T336" t="n">
        <v>1904</v>
      </c>
      <c r="U336" s="0" t="inlineStr">
        <is>
          <t>Argentina</t>
        </is>
      </c>
      <c r="X336" s="0" t="inlineStr">
        <is>
          <t>Níquel</t>
        </is>
      </c>
      <c r="Z336" t="inlineStr">
        <is>
          <t>5 Centavos</t>
        </is>
      </c>
      <c r="AA336" s="0" t="inlineStr">
        <is>
          <t>Peso</t>
        </is>
      </c>
      <c r="AB3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6" s="53">
        <f>IF(OR(TRIM(INDIRECT("B"&amp;ROW())) &lt;&gt; "",TRIM(INDIRECT("A"&amp;ROW())) &lt;&gt; ""),AND(TRIM(INDIRECT("A"&amp;ROW())) &lt;&gt; "",TRIM(INDIRECT("D"&amp;ROW())) = "nuevo"),"")</f>
        <v/>
      </c>
    </row>
    <row r="337" ht="27.5" customHeight="1" s="62">
      <c r="B337" t="inlineStr">
        <is>
          <t>Moneda Argentina 5 Centavos 1905</t>
        </is>
      </c>
      <c r="C337" s="0">
        <f>LEN(INDIRECT(ADDRESS(ROW() + (0),COLUMN() + (-1))))</f>
        <v/>
      </c>
      <c r="D337" s="0" t="inlineStr">
        <is>
          <t>Usado</t>
        </is>
      </c>
      <c r="E337" s="38" t="inlineStr">
        <is>
          <t>https://numismaticapopper.com/images/739A.jpeg,https://numismaticapopper.com/images/739B.jpeg</t>
        </is>
      </c>
      <c r="F337" t="inlineStr">
        <is>
          <t>739</t>
        </is>
      </c>
      <c r="G337" s="40" t="n">
        <v>1</v>
      </c>
      <c r="H337" t="n">
        <v>11000</v>
      </c>
      <c r="I337" t="inlineStr">
        <is>
          <t>Referencia de catalogo: CJ# 136
Material: Cuproníquel</t>
        </is>
      </c>
      <c r="J337" s="31">
        <f>IF(INDIRECT(ADDRESS(ROW() + (0),COLUMN() + (1)))="Agregar cuotas", IF(("16%")="", "-", "16%"), IF(INDIRECT(ADDRESS(ROW() + (0),COLUMN() + (1)))="No agregar cuotas", IF(("16%")="", "-", "16%"), "-"))</f>
        <v/>
      </c>
      <c r="K337" s="0" t="inlineStr">
        <is>
          <t>No agregar cuotas</t>
        </is>
      </c>
      <c r="L337" s="31">
        <f>IF(INDIRECT(ADDRESS(ROW() + (0),COLUMN() + (-1)))="Agregar cuotas", IF(("13.4%")="", "Sin costo", "13.4%"), IF(INDIRECT(ADDRESS(ROW() + (0),COLUMN() + (-1)))="No agregar cuotas", IF(("")="", "Sin costo", ""), "-"))</f>
        <v/>
      </c>
      <c r="M337" s="0" t="inlineStr">
        <is>
          <t>Mercado Envíos</t>
        </is>
      </c>
      <c r="N337" s="0" t="inlineStr">
        <is>
          <t>A cargo del comprador</t>
        </is>
      </c>
      <c r="O337" s="0" t="inlineStr">
        <is>
          <t>Acepto</t>
        </is>
      </c>
      <c r="P337" s="47" t="inlineStr">
        <is>
          <t>Sin garantía</t>
        </is>
      </c>
      <c r="R337" s="0" t="inlineStr">
        <is>
          <t>Seleccionar</t>
        </is>
      </c>
      <c r="S337" s="0" t="inlineStr">
        <is>
          <t>No ofrezco</t>
        </is>
      </c>
      <c r="T337" t="n">
        <v>1905</v>
      </c>
      <c r="U337" s="0" t="inlineStr">
        <is>
          <t>Argentina</t>
        </is>
      </c>
      <c r="X337" s="0" t="inlineStr">
        <is>
          <t>Níquel</t>
        </is>
      </c>
      <c r="Z337" t="inlineStr">
        <is>
          <t>5 Centavos</t>
        </is>
      </c>
      <c r="AA337" s="0" t="inlineStr">
        <is>
          <t>Peso</t>
        </is>
      </c>
      <c r="AB3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7" s="53">
        <f>IF(OR(TRIM(INDIRECT("B"&amp;ROW())) &lt;&gt; "",TRIM(INDIRECT("A"&amp;ROW())) &lt;&gt; ""),AND(TRIM(INDIRECT("A"&amp;ROW())) &lt;&gt; "",TRIM(INDIRECT("D"&amp;ROW())) = "nuevo"),"")</f>
        <v/>
      </c>
    </row>
    <row r="338" ht="27.5" customHeight="1" s="62">
      <c r="B338" t="inlineStr">
        <is>
          <t>Moneda Argentina 5 Centavos 1907</t>
        </is>
      </c>
      <c r="C338" s="0">
        <f>LEN(INDIRECT(ADDRESS(ROW() + (0),COLUMN() + (-1))))</f>
        <v/>
      </c>
      <c r="D338" s="0" t="inlineStr">
        <is>
          <t>Usado</t>
        </is>
      </c>
      <c r="E338" s="38" t="inlineStr">
        <is>
          <t>https://numismaticapopper.com/images/740A.jpeg,https://numismaticapopper.com/images/740B.jpeg</t>
        </is>
      </c>
      <c r="F338" t="inlineStr">
        <is>
          <t>740</t>
        </is>
      </c>
      <c r="G338" s="40" t="n">
        <v>1</v>
      </c>
      <c r="H338" t="n">
        <v>11000</v>
      </c>
      <c r="I338" t="inlineStr">
        <is>
          <t>Referencia de catalogo: CJ# 138
Material: Cuproníquel</t>
        </is>
      </c>
      <c r="J338" s="31">
        <f>IF(INDIRECT(ADDRESS(ROW() + (0),COLUMN() + (1)))="Agregar cuotas", IF(("16%")="", "-", "16%"), IF(INDIRECT(ADDRESS(ROW() + (0),COLUMN() + (1)))="No agregar cuotas", IF(("16%")="", "-", "16%"), "-"))</f>
        <v/>
      </c>
      <c r="K338" s="0" t="inlineStr">
        <is>
          <t>No agregar cuotas</t>
        </is>
      </c>
      <c r="L338" s="31">
        <f>IF(INDIRECT(ADDRESS(ROW() + (0),COLUMN() + (-1)))="Agregar cuotas", IF(("13.4%")="", "Sin costo", "13.4%"), IF(INDIRECT(ADDRESS(ROW() + (0),COLUMN() + (-1)))="No agregar cuotas", IF(("")="", "Sin costo", ""), "-"))</f>
        <v/>
      </c>
      <c r="M338" s="0" t="inlineStr">
        <is>
          <t>Mercado Envíos</t>
        </is>
      </c>
      <c r="N338" s="0" t="inlineStr">
        <is>
          <t>A cargo del comprador</t>
        </is>
      </c>
      <c r="O338" s="0" t="inlineStr">
        <is>
          <t>Acepto</t>
        </is>
      </c>
      <c r="P338" s="47" t="inlineStr">
        <is>
          <t>Sin garantía</t>
        </is>
      </c>
      <c r="R338" s="0" t="inlineStr">
        <is>
          <t>Seleccionar</t>
        </is>
      </c>
      <c r="S338" s="0" t="inlineStr">
        <is>
          <t>No ofrezco</t>
        </is>
      </c>
      <c r="T338" t="n">
        <v>1907</v>
      </c>
      <c r="U338" s="0" t="inlineStr">
        <is>
          <t>Argentina</t>
        </is>
      </c>
      <c r="X338" s="0" t="inlineStr">
        <is>
          <t>Níquel</t>
        </is>
      </c>
      <c r="Z338" t="inlineStr">
        <is>
          <t>5 Centavos</t>
        </is>
      </c>
      <c r="AA338" s="0" t="inlineStr">
        <is>
          <t>Peso</t>
        </is>
      </c>
      <c r="AB3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8" s="53">
        <f>IF(OR(TRIM(INDIRECT("B"&amp;ROW())) &lt;&gt; "",TRIM(INDIRECT("A"&amp;ROW())) &lt;&gt; ""),AND(TRIM(INDIRECT("A"&amp;ROW())) &lt;&gt; "",TRIM(INDIRECT("D"&amp;ROW())) = "nuevo"),"")</f>
        <v/>
      </c>
    </row>
    <row r="339" ht="27.5" customHeight="1" s="62">
      <c r="B339" t="inlineStr">
        <is>
          <t>Moneda Argentina 5 Centavos 1907</t>
        </is>
      </c>
      <c r="C339" s="0">
        <f>LEN(INDIRECT(ADDRESS(ROW() + (0),COLUMN() + (-1))))</f>
        <v/>
      </c>
      <c r="D339" s="0" t="inlineStr">
        <is>
          <t>Usado</t>
        </is>
      </c>
      <c r="E339" s="38" t="inlineStr">
        <is>
          <t>https://numismaticapopper.com/images/741A.jpeg,https://numismaticapopper.com/images/741B.jpeg</t>
        </is>
      </c>
      <c r="F339" t="inlineStr">
        <is>
          <t>741</t>
        </is>
      </c>
      <c r="G339" s="40" t="n">
        <v>1</v>
      </c>
      <c r="H339" t="n">
        <v>13000</v>
      </c>
      <c r="I339" t="inlineStr">
        <is>
          <t>Referencia de catalogo: CJ# 138
Material: Cuproníquel</t>
        </is>
      </c>
      <c r="J339" s="31">
        <f>IF(INDIRECT(ADDRESS(ROW() + (0),COLUMN() + (1)))="Agregar cuotas", IF(("16%")="", "-", "16%"), IF(INDIRECT(ADDRESS(ROW() + (0),COLUMN() + (1)))="No agregar cuotas", IF(("16%")="", "-", "16%"), "-"))</f>
        <v/>
      </c>
      <c r="K339" s="0" t="inlineStr">
        <is>
          <t>No agregar cuotas</t>
        </is>
      </c>
      <c r="L339" s="31">
        <f>IF(INDIRECT(ADDRESS(ROW() + (0),COLUMN() + (-1)))="Agregar cuotas", IF(("13.4%")="", "Sin costo", "13.4%"), IF(INDIRECT(ADDRESS(ROW() + (0),COLUMN() + (-1)))="No agregar cuotas", IF(("")="", "Sin costo", ""), "-"))</f>
        <v/>
      </c>
      <c r="M339" s="0" t="inlineStr">
        <is>
          <t>Mercado Envíos</t>
        </is>
      </c>
      <c r="N339" s="0" t="inlineStr">
        <is>
          <t>A cargo del comprador</t>
        </is>
      </c>
      <c r="O339" s="0" t="inlineStr">
        <is>
          <t>Acepto</t>
        </is>
      </c>
      <c r="P339" s="47" t="inlineStr">
        <is>
          <t>Sin garantía</t>
        </is>
      </c>
      <c r="R339" s="0" t="inlineStr">
        <is>
          <t>Seleccionar</t>
        </is>
      </c>
      <c r="S339" s="0" t="inlineStr">
        <is>
          <t>No ofrezco</t>
        </is>
      </c>
      <c r="T339" t="n">
        <v>1907</v>
      </c>
      <c r="U339" s="0" t="inlineStr">
        <is>
          <t>Argentina</t>
        </is>
      </c>
      <c r="X339" s="0" t="inlineStr">
        <is>
          <t>Níquel</t>
        </is>
      </c>
      <c r="Z339" t="inlineStr">
        <is>
          <t>5 Centavos</t>
        </is>
      </c>
      <c r="AA339" s="0" t="inlineStr">
        <is>
          <t>Peso</t>
        </is>
      </c>
      <c r="AB3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39" s="53">
        <f>IF(OR(TRIM(INDIRECT("B"&amp;ROW())) &lt;&gt; "",TRIM(INDIRECT("A"&amp;ROW())) &lt;&gt; ""),AND(TRIM(INDIRECT("A"&amp;ROW())) &lt;&gt; "",TRIM(INDIRECT("D"&amp;ROW())) = "nuevo"),"")</f>
        <v/>
      </c>
    </row>
    <row r="340" ht="27.5" customHeight="1" s="62">
      <c r="B340" t="inlineStr">
        <is>
          <t>Moneda Argentina 5 Centavos 1908</t>
        </is>
      </c>
      <c r="C340" s="0">
        <f>LEN(INDIRECT(ADDRESS(ROW() + (0),COLUMN() + (-1))))</f>
        <v/>
      </c>
      <c r="D340" s="0" t="inlineStr">
        <is>
          <t>Usado</t>
        </is>
      </c>
      <c r="E340" s="38" t="inlineStr">
        <is>
          <t>https://numismaticapopper.com/images/742A.jpeg,https://numismaticapopper.com/images/742B.jpeg</t>
        </is>
      </c>
      <c r="F340" t="inlineStr">
        <is>
          <t>742</t>
        </is>
      </c>
      <c r="G340" s="40" t="n">
        <v>1</v>
      </c>
      <c r="H340" t="n">
        <v>9000</v>
      </c>
      <c r="I340" t="inlineStr">
        <is>
          <t>Referencia de catalogo: CJ# 139
Material: Cuproníquel</t>
        </is>
      </c>
      <c r="J340" s="31">
        <f>IF(INDIRECT(ADDRESS(ROW() + (0),COLUMN() + (1)))="Agregar cuotas", IF(("16%")="", "-", "16%"), IF(INDIRECT(ADDRESS(ROW() + (0),COLUMN() + (1)))="No agregar cuotas", IF(("16%")="", "-", "16%"), "-"))</f>
        <v/>
      </c>
      <c r="K340" s="0" t="inlineStr">
        <is>
          <t>No agregar cuotas</t>
        </is>
      </c>
      <c r="L340" s="31">
        <f>IF(INDIRECT(ADDRESS(ROW() + (0),COLUMN() + (-1)))="Agregar cuotas", IF(("13.4%")="", "Sin costo", "13.4%"), IF(INDIRECT(ADDRESS(ROW() + (0),COLUMN() + (-1)))="No agregar cuotas", IF(("")="", "Sin costo", ""), "-"))</f>
        <v/>
      </c>
      <c r="M340" s="0" t="inlineStr">
        <is>
          <t>Mercado Envíos</t>
        </is>
      </c>
      <c r="N340" s="0" t="inlineStr">
        <is>
          <t>A cargo del comprador</t>
        </is>
      </c>
      <c r="O340" s="0" t="inlineStr">
        <is>
          <t>Acepto</t>
        </is>
      </c>
      <c r="P340" s="47" t="inlineStr">
        <is>
          <t>Sin garantía</t>
        </is>
      </c>
      <c r="R340" s="0" t="inlineStr">
        <is>
          <t>Seleccionar</t>
        </is>
      </c>
      <c r="S340" s="0" t="inlineStr">
        <is>
          <t>No ofrezco</t>
        </is>
      </c>
      <c r="T340" t="n">
        <v>1908</v>
      </c>
      <c r="U340" s="0" t="inlineStr">
        <is>
          <t>Argentina</t>
        </is>
      </c>
      <c r="X340" s="0" t="inlineStr">
        <is>
          <t>Níquel</t>
        </is>
      </c>
      <c r="Z340" t="inlineStr">
        <is>
          <t>5 Centavos</t>
        </is>
      </c>
      <c r="AA340" s="0" t="inlineStr">
        <is>
          <t>Peso</t>
        </is>
      </c>
      <c r="AB3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0" s="53">
        <f>IF(OR(TRIM(INDIRECT("B"&amp;ROW())) &lt;&gt; "",TRIM(INDIRECT("A"&amp;ROW())) &lt;&gt; ""),AND(TRIM(INDIRECT("A"&amp;ROW())) &lt;&gt; "",TRIM(INDIRECT("D"&amp;ROW())) = "nuevo"),"")</f>
        <v/>
      </c>
    </row>
    <row r="341" ht="27.5" customHeight="1" s="62">
      <c r="B341" t="inlineStr">
        <is>
          <t>Moneda Argentina 5 Centavos 1911</t>
        </is>
      </c>
      <c r="C341" s="0">
        <f>LEN(INDIRECT(ADDRESS(ROW() + (0),COLUMN() + (-1))))</f>
        <v/>
      </c>
      <c r="D341" s="0" t="inlineStr">
        <is>
          <t>Usado</t>
        </is>
      </c>
      <c r="E341" s="38" t="inlineStr">
        <is>
          <t>https://numismaticapopper.com/images/743A.jpeg,https://numismaticapopper.com/images/743B.jpeg</t>
        </is>
      </c>
      <c r="F341" t="inlineStr">
        <is>
          <t>743</t>
        </is>
      </c>
      <c r="G341" s="40" t="n">
        <v>1</v>
      </c>
      <c r="H341" t="n">
        <v>15000</v>
      </c>
      <c r="I341" t="inlineStr">
        <is>
          <t>Referencia de catalogo: CJ# 142
Material: Cuproníquel</t>
        </is>
      </c>
      <c r="J341" s="31">
        <f>IF(INDIRECT(ADDRESS(ROW() + (0),COLUMN() + (1)))="Agregar cuotas", IF(("16%")="", "-", "16%"), IF(INDIRECT(ADDRESS(ROW() + (0),COLUMN() + (1)))="No agregar cuotas", IF(("16%")="", "-", "16%"), "-"))</f>
        <v/>
      </c>
      <c r="K341" s="0" t="inlineStr">
        <is>
          <t>No agregar cuotas</t>
        </is>
      </c>
      <c r="L341" s="31">
        <f>IF(INDIRECT(ADDRESS(ROW() + (0),COLUMN() + (-1)))="Agregar cuotas", IF(("13.4%")="", "Sin costo", "13.4%"), IF(INDIRECT(ADDRESS(ROW() + (0),COLUMN() + (-1)))="No agregar cuotas", IF(("")="", "Sin costo", ""), "-"))</f>
        <v/>
      </c>
      <c r="M341" s="0" t="inlineStr">
        <is>
          <t>Mercado Envíos</t>
        </is>
      </c>
      <c r="N341" s="0" t="inlineStr">
        <is>
          <t>A cargo del comprador</t>
        </is>
      </c>
      <c r="O341" s="0" t="inlineStr">
        <is>
          <t>Acepto</t>
        </is>
      </c>
      <c r="P341" s="47" t="inlineStr">
        <is>
          <t>Sin garantía</t>
        </is>
      </c>
      <c r="R341" s="0" t="inlineStr">
        <is>
          <t>Seleccionar</t>
        </is>
      </c>
      <c r="S341" s="0" t="inlineStr">
        <is>
          <t>No ofrezco</t>
        </is>
      </c>
      <c r="T341" t="n">
        <v>1911</v>
      </c>
      <c r="U341" s="0" t="inlineStr">
        <is>
          <t>Argentina</t>
        </is>
      </c>
      <c r="X341" s="0" t="inlineStr">
        <is>
          <t>Níquel</t>
        </is>
      </c>
      <c r="Z341" t="inlineStr">
        <is>
          <t>5 Centavos</t>
        </is>
      </c>
      <c r="AA341" s="0" t="inlineStr">
        <is>
          <t>Peso</t>
        </is>
      </c>
      <c r="AB3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1" s="53">
        <f>IF(OR(TRIM(INDIRECT("B"&amp;ROW())) &lt;&gt; "",TRIM(INDIRECT("A"&amp;ROW())) &lt;&gt; ""),AND(TRIM(INDIRECT("A"&amp;ROW())) &lt;&gt; "",TRIM(INDIRECT("D"&amp;ROW())) = "nuevo"),"")</f>
        <v/>
      </c>
    </row>
    <row r="342" ht="27.5" customHeight="1" s="62">
      <c r="B342" t="inlineStr">
        <is>
          <t>Moneda Argentina 5 Centavos 1912</t>
        </is>
      </c>
      <c r="C342" s="0">
        <f>LEN(INDIRECT(ADDRESS(ROW() + (0),COLUMN() + (-1))))</f>
        <v/>
      </c>
      <c r="D342" s="0" t="inlineStr">
        <is>
          <t>Usado</t>
        </is>
      </c>
      <c r="E342" s="38" t="inlineStr">
        <is>
          <t>https://numismaticapopper.com/images/744A.jpeg,https://numismaticapopper.com/images/744B.jpeg</t>
        </is>
      </c>
      <c r="F342" t="inlineStr">
        <is>
          <t>744</t>
        </is>
      </c>
      <c r="G342" s="40" t="n">
        <v>1</v>
      </c>
      <c r="H342" t="n">
        <v>11000</v>
      </c>
      <c r="I342" t="inlineStr">
        <is>
          <t>Referencia de catalogo: CJ# 143
Material: Cuproníquel</t>
        </is>
      </c>
      <c r="J342" s="31">
        <f>IF(INDIRECT(ADDRESS(ROW() + (0),COLUMN() + (1)))="Agregar cuotas", IF(("16%")="", "-", "16%"), IF(INDIRECT(ADDRESS(ROW() + (0),COLUMN() + (1)))="No agregar cuotas", IF(("16%")="", "-", "16%"), "-"))</f>
        <v/>
      </c>
      <c r="K342" s="0" t="inlineStr">
        <is>
          <t>No agregar cuotas</t>
        </is>
      </c>
      <c r="L342" s="31">
        <f>IF(INDIRECT(ADDRESS(ROW() + (0),COLUMN() + (-1)))="Agregar cuotas", IF(("13.4%")="", "Sin costo", "13.4%"), IF(INDIRECT(ADDRESS(ROW() + (0),COLUMN() + (-1)))="No agregar cuotas", IF(("")="", "Sin costo", ""), "-"))</f>
        <v/>
      </c>
      <c r="M342" s="0" t="inlineStr">
        <is>
          <t>Mercado Envíos</t>
        </is>
      </c>
      <c r="N342" s="0" t="inlineStr">
        <is>
          <t>A cargo del comprador</t>
        </is>
      </c>
      <c r="O342" s="0" t="inlineStr">
        <is>
          <t>Acepto</t>
        </is>
      </c>
      <c r="P342" s="47" t="inlineStr">
        <is>
          <t>Sin garantía</t>
        </is>
      </c>
      <c r="R342" s="0" t="inlineStr">
        <is>
          <t>Seleccionar</t>
        </is>
      </c>
      <c r="S342" s="0" t="inlineStr">
        <is>
          <t>No ofrezco</t>
        </is>
      </c>
      <c r="T342" t="n">
        <v>1912</v>
      </c>
      <c r="U342" s="0" t="inlineStr">
        <is>
          <t>Argentina</t>
        </is>
      </c>
      <c r="X342" s="0" t="inlineStr">
        <is>
          <t>Níquel</t>
        </is>
      </c>
      <c r="Z342" t="inlineStr">
        <is>
          <t>5 Centavos</t>
        </is>
      </c>
      <c r="AA342" s="0" t="inlineStr">
        <is>
          <t>Peso</t>
        </is>
      </c>
      <c r="AB3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2" s="53">
        <f>IF(OR(TRIM(INDIRECT("B"&amp;ROW())) &lt;&gt; "",TRIM(INDIRECT("A"&amp;ROW())) &lt;&gt; ""),AND(TRIM(INDIRECT("A"&amp;ROW())) &lt;&gt; "",TRIM(INDIRECT("D"&amp;ROW())) = "nuevo"),"")</f>
        <v/>
      </c>
    </row>
    <row r="343" ht="27.5" customHeight="1" s="62">
      <c r="B343" t="inlineStr">
        <is>
          <t>Moneda Argentina 5 Centavos 1941</t>
        </is>
      </c>
      <c r="C343" s="0">
        <f>LEN(INDIRECT(ADDRESS(ROW() + (0),COLUMN() + (-1))))</f>
        <v/>
      </c>
      <c r="D343" s="0" t="inlineStr">
        <is>
          <t>Usado</t>
        </is>
      </c>
      <c r="E343" s="38" t="inlineStr">
        <is>
          <t>https://numismaticapopper.com/images/745A.jpeg,https://numismaticapopper.com/images/745B.jpeg</t>
        </is>
      </c>
      <c r="F343" t="inlineStr">
        <is>
          <t>745</t>
        </is>
      </c>
      <c r="G343" s="40" t="n">
        <v>1</v>
      </c>
      <c r="H343" t="n">
        <v>9000</v>
      </c>
      <c r="I343" t="inlineStr">
        <is>
          <t>Referencia de catalogo: CJ# 171
Material: Cuproníquel</t>
        </is>
      </c>
      <c r="J343" s="31">
        <f>IF(INDIRECT(ADDRESS(ROW() + (0),COLUMN() + (1)))="Agregar cuotas", IF(("16%")="", "-", "16%"), IF(INDIRECT(ADDRESS(ROW() + (0),COLUMN() + (1)))="No agregar cuotas", IF(("16%")="", "-", "16%"), "-"))</f>
        <v/>
      </c>
      <c r="K343" s="0" t="inlineStr">
        <is>
          <t>No agregar cuotas</t>
        </is>
      </c>
      <c r="L343" s="31">
        <f>IF(INDIRECT(ADDRESS(ROW() + (0),COLUMN() + (-1)))="Agregar cuotas", IF(("13.4%")="", "Sin costo", "13.4%"), IF(INDIRECT(ADDRESS(ROW() + (0),COLUMN() + (-1)))="No agregar cuotas", IF(("")="", "Sin costo", ""), "-"))</f>
        <v/>
      </c>
      <c r="M343" s="0" t="inlineStr">
        <is>
          <t>Mercado Envíos</t>
        </is>
      </c>
      <c r="N343" s="0" t="inlineStr">
        <is>
          <t>A cargo del comprador</t>
        </is>
      </c>
      <c r="O343" s="0" t="inlineStr">
        <is>
          <t>Acepto</t>
        </is>
      </c>
      <c r="P343" s="47" t="inlineStr">
        <is>
          <t>Sin garantía</t>
        </is>
      </c>
      <c r="R343" s="0" t="inlineStr">
        <is>
          <t>Seleccionar</t>
        </is>
      </c>
      <c r="S343" s="0" t="inlineStr">
        <is>
          <t>No ofrezco</t>
        </is>
      </c>
      <c r="T343" t="n">
        <v>1941</v>
      </c>
      <c r="U343" s="0" t="inlineStr">
        <is>
          <t>Argentina</t>
        </is>
      </c>
      <c r="X343" s="0" t="inlineStr">
        <is>
          <t>Níquel</t>
        </is>
      </c>
      <c r="Z343" t="inlineStr">
        <is>
          <t>5 Centavos</t>
        </is>
      </c>
      <c r="AA343" s="0" t="inlineStr">
        <is>
          <t>Peso</t>
        </is>
      </c>
      <c r="AB3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3" s="53">
        <f>IF(OR(TRIM(INDIRECT("B"&amp;ROW())) &lt;&gt; "",TRIM(INDIRECT("A"&amp;ROW())) &lt;&gt; ""),AND(TRIM(INDIRECT("A"&amp;ROW())) &lt;&gt; "",TRIM(INDIRECT("D"&amp;ROW())) = "nuevo"),"")</f>
        <v/>
      </c>
    </row>
    <row r="344" ht="27.5" customHeight="1" s="62">
      <c r="B344" t="inlineStr">
        <is>
          <t>Moneda Argentina 10 Centavos 1935</t>
        </is>
      </c>
      <c r="C344" s="0">
        <f>LEN(INDIRECT(ADDRESS(ROW() + (0),COLUMN() + (-1))))</f>
        <v/>
      </c>
      <c r="D344" s="0" t="inlineStr">
        <is>
          <t>Usado</t>
        </is>
      </c>
      <c r="E344" s="38" t="inlineStr">
        <is>
          <t>https://numismaticapopper.com/images/746A.jpeg,https://numismaticapopper.com/images/746B.jpeg</t>
        </is>
      </c>
      <c r="F344" t="inlineStr">
        <is>
          <t>746</t>
        </is>
      </c>
      <c r="G344" s="40" t="n">
        <v>1</v>
      </c>
      <c r="H344" t="n">
        <v>11000</v>
      </c>
      <c r="I344" t="inlineStr">
        <is>
          <t>Referencia de catalogo: CJ# 122
Material: Cuproníquel</t>
        </is>
      </c>
      <c r="J344" s="31">
        <f>IF(INDIRECT(ADDRESS(ROW() + (0),COLUMN() + (1)))="Agregar cuotas", IF(("16%")="", "-", "16%"), IF(INDIRECT(ADDRESS(ROW() + (0),COLUMN() + (1)))="No agregar cuotas", IF(("16%")="", "-", "16%"), "-"))</f>
        <v/>
      </c>
      <c r="K344" s="0" t="inlineStr">
        <is>
          <t>No agregar cuotas</t>
        </is>
      </c>
      <c r="L344" s="31">
        <f>IF(INDIRECT(ADDRESS(ROW() + (0),COLUMN() + (-1)))="Agregar cuotas", IF(("13.4%")="", "Sin costo", "13.4%"), IF(INDIRECT(ADDRESS(ROW() + (0),COLUMN() + (-1)))="No agregar cuotas", IF(("")="", "Sin costo", ""), "-"))</f>
        <v/>
      </c>
      <c r="M344" s="0" t="inlineStr">
        <is>
          <t>Mercado Envíos</t>
        </is>
      </c>
      <c r="N344" s="0" t="inlineStr">
        <is>
          <t>A cargo del comprador</t>
        </is>
      </c>
      <c r="O344" s="0" t="inlineStr">
        <is>
          <t>Acepto</t>
        </is>
      </c>
      <c r="P344" s="47" t="inlineStr">
        <is>
          <t>Sin garantía</t>
        </is>
      </c>
      <c r="R344" s="0" t="inlineStr">
        <is>
          <t>Seleccionar</t>
        </is>
      </c>
      <c r="S344" s="0" t="inlineStr">
        <is>
          <t>No ofrezco</t>
        </is>
      </c>
      <c r="T344" t="n">
        <v>1935</v>
      </c>
      <c r="U344" s="0" t="inlineStr">
        <is>
          <t>Argentina</t>
        </is>
      </c>
      <c r="X344" s="0" t="inlineStr">
        <is>
          <t>Níquel</t>
        </is>
      </c>
      <c r="Z344" t="inlineStr">
        <is>
          <t>10 Centavos</t>
        </is>
      </c>
      <c r="AA344" s="0" t="inlineStr">
        <is>
          <t>Peso</t>
        </is>
      </c>
      <c r="AB3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4" s="53">
        <f>IF(OR(TRIM(INDIRECT("B"&amp;ROW())) &lt;&gt; "",TRIM(INDIRECT("A"&amp;ROW())) &lt;&gt; ""),AND(TRIM(INDIRECT("A"&amp;ROW())) &lt;&gt; "",TRIM(INDIRECT("D"&amp;ROW())) = "nuevo"),"")</f>
        <v/>
      </c>
    </row>
    <row r="345" ht="27.5" customHeight="1" s="62">
      <c r="B345" t="inlineStr">
        <is>
          <t>Moneda Argentina 10 Centavos 1935</t>
        </is>
      </c>
      <c r="C345" s="0">
        <f>LEN(INDIRECT(ADDRESS(ROW() + (0),COLUMN() + (-1))))</f>
        <v/>
      </c>
      <c r="D345" s="0" t="inlineStr">
        <is>
          <t>Usado</t>
        </is>
      </c>
      <c r="E345" s="38" t="inlineStr">
        <is>
          <t>https://numismaticapopper.com/images/747A.jpeg,https://numismaticapopper.com/images/747B.jpeg</t>
        </is>
      </c>
      <c r="F345" t="inlineStr">
        <is>
          <t>747</t>
        </is>
      </c>
      <c r="G345" s="40" t="n">
        <v>1</v>
      </c>
      <c r="H345" t="n">
        <v>10000</v>
      </c>
      <c r="I345" t="inlineStr">
        <is>
          <t>Referencia de catalogo: CJ# 122
Material: Cuproníquel</t>
        </is>
      </c>
      <c r="J345" s="31">
        <f>IF(INDIRECT(ADDRESS(ROW() + (0),COLUMN() + (1)))="Agregar cuotas", IF(("16%")="", "-", "16%"), IF(INDIRECT(ADDRESS(ROW() + (0),COLUMN() + (1)))="No agregar cuotas", IF(("16%")="", "-", "16%"), "-"))</f>
        <v/>
      </c>
      <c r="K345" s="0" t="inlineStr">
        <is>
          <t>No agregar cuotas</t>
        </is>
      </c>
      <c r="L345" s="31">
        <f>IF(INDIRECT(ADDRESS(ROW() + (0),COLUMN() + (-1)))="Agregar cuotas", IF(("13.4%")="", "Sin costo", "13.4%"), IF(INDIRECT(ADDRESS(ROW() + (0),COLUMN() + (-1)))="No agregar cuotas", IF(("")="", "Sin costo", ""), "-"))</f>
        <v/>
      </c>
      <c r="M345" s="0" t="inlineStr">
        <is>
          <t>Mercado Envíos</t>
        </is>
      </c>
      <c r="N345" s="0" t="inlineStr">
        <is>
          <t>A cargo del comprador</t>
        </is>
      </c>
      <c r="O345" s="0" t="inlineStr">
        <is>
          <t>Acepto</t>
        </is>
      </c>
      <c r="P345" s="47" t="inlineStr">
        <is>
          <t>Sin garantía</t>
        </is>
      </c>
      <c r="R345" s="0" t="inlineStr">
        <is>
          <t>Seleccionar</t>
        </is>
      </c>
      <c r="S345" s="0" t="inlineStr">
        <is>
          <t>No ofrezco</t>
        </is>
      </c>
      <c r="T345" t="n">
        <v>1935</v>
      </c>
      <c r="U345" s="0" t="inlineStr">
        <is>
          <t>Argentina</t>
        </is>
      </c>
      <c r="X345" s="0" t="inlineStr">
        <is>
          <t>Níquel</t>
        </is>
      </c>
      <c r="Z345" t="inlineStr">
        <is>
          <t>10 Centavos</t>
        </is>
      </c>
      <c r="AA345" s="0" t="inlineStr">
        <is>
          <t>Peso</t>
        </is>
      </c>
      <c r="AB3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5" s="53">
        <f>IF(OR(TRIM(INDIRECT("B"&amp;ROW())) &lt;&gt; "",TRIM(INDIRECT("A"&amp;ROW())) &lt;&gt; ""),AND(TRIM(INDIRECT("A"&amp;ROW())) &lt;&gt; "",TRIM(INDIRECT("D"&amp;ROW())) = "nuevo"),"")</f>
        <v/>
      </c>
    </row>
    <row r="346" ht="27.5" customHeight="1" s="62">
      <c r="B346" t="inlineStr">
        <is>
          <t>Moneda Argentina 10 Centavos 1919</t>
        </is>
      </c>
      <c r="C346" s="0">
        <f>LEN(INDIRECT(ADDRESS(ROW() + (0),COLUMN() + (-1))))</f>
        <v/>
      </c>
      <c r="D346" s="0" t="inlineStr">
        <is>
          <t>Usado</t>
        </is>
      </c>
      <c r="E346" s="38" t="inlineStr">
        <is>
          <t>https://numismaticapopper.com/images/749A.jpeg,https://numismaticapopper.com/images/749B.jpeg</t>
        </is>
      </c>
      <c r="F346" t="inlineStr">
        <is>
          <t>749</t>
        </is>
      </c>
      <c r="G346" s="40" t="n">
        <v>1</v>
      </c>
      <c r="H346" t="n">
        <v>7000</v>
      </c>
      <c r="I346" t="inlineStr">
        <is>
          <t>Referencia de catalogo: CJ# 107
Material: Cuproníquel</t>
        </is>
      </c>
      <c r="J346" s="31">
        <f>IF(INDIRECT(ADDRESS(ROW() + (0),COLUMN() + (1)))="Agregar cuotas", IF(("16%")="", "-", "16%"), IF(INDIRECT(ADDRESS(ROW() + (0),COLUMN() + (1)))="No agregar cuotas", IF(("16%")="", "-", "16%"), "-"))</f>
        <v/>
      </c>
      <c r="K346" s="0" t="inlineStr">
        <is>
          <t>No agregar cuotas</t>
        </is>
      </c>
      <c r="L346" s="31">
        <f>IF(INDIRECT(ADDRESS(ROW() + (0),COLUMN() + (-1)))="Agregar cuotas", IF(("13.4%")="", "Sin costo", "13.4%"), IF(INDIRECT(ADDRESS(ROW() + (0),COLUMN() + (-1)))="No agregar cuotas", IF(("")="", "Sin costo", ""), "-"))</f>
        <v/>
      </c>
      <c r="M346" s="0" t="inlineStr">
        <is>
          <t>Mercado Envíos</t>
        </is>
      </c>
      <c r="N346" s="0" t="inlineStr">
        <is>
          <t>A cargo del comprador</t>
        </is>
      </c>
      <c r="O346" s="0" t="inlineStr">
        <is>
          <t>Acepto</t>
        </is>
      </c>
      <c r="P346" s="47" t="inlineStr">
        <is>
          <t>Sin garantía</t>
        </is>
      </c>
      <c r="R346" s="0" t="inlineStr">
        <is>
          <t>Seleccionar</t>
        </is>
      </c>
      <c r="S346" s="0" t="inlineStr">
        <is>
          <t>No ofrezco</t>
        </is>
      </c>
      <c r="T346" t="n">
        <v>1919</v>
      </c>
      <c r="U346" s="0" t="inlineStr">
        <is>
          <t>Argentina</t>
        </is>
      </c>
      <c r="X346" s="0" t="inlineStr">
        <is>
          <t>Níquel</t>
        </is>
      </c>
      <c r="Z346" t="inlineStr">
        <is>
          <t>10 Centavos</t>
        </is>
      </c>
      <c r="AA346" s="0" t="inlineStr">
        <is>
          <t>Peso</t>
        </is>
      </c>
      <c r="AB3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6" s="53">
        <f>IF(OR(TRIM(INDIRECT("B"&amp;ROW())) &lt;&gt; "",TRIM(INDIRECT("A"&amp;ROW())) &lt;&gt; ""),AND(TRIM(INDIRECT("A"&amp;ROW())) &lt;&gt; "",TRIM(INDIRECT("D"&amp;ROW())) = "nuevo"),"")</f>
        <v/>
      </c>
    </row>
    <row r="347" ht="27.5" customHeight="1" s="62">
      <c r="B347" t="inlineStr">
        <is>
          <t>Moneda Argentina 10 Centavos 1916</t>
        </is>
      </c>
      <c r="C347" s="0">
        <f>LEN(INDIRECT(ADDRESS(ROW() + (0),COLUMN() + (-1))))</f>
        <v/>
      </c>
      <c r="D347" s="0" t="inlineStr">
        <is>
          <t>Usado</t>
        </is>
      </c>
      <c r="E347" s="38" t="inlineStr">
        <is>
          <t>https://numismaticapopper.com/images/750A.jpeg,https://numismaticapopper.com/images/750B.jpeg</t>
        </is>
      </c>
      <c r="F347" t="inlineStr">
        <is>
          <t>750</t>
        </is>
      </c>
      <c r="G347" s="40" t="n">
        <v>1</v>
      </c>
      <c r="H347" t="n">
        <v>15000</v>
      </c>
      <c r="I347" t="inlineStr">
        <is>
          <t>Referencia de catalogo: CJ# 105
Material: Cuproníquel
Tirada: 835.059
ESCASA</t>
        </is>
      </c>
      <c r="J347" s="31">
        <f>IF(INDIRECT(ADDRESS(ROW() + (0),COLUMN() + (1)))="Agregar cuotas", IF(("16%")="", "-", "16%"), IF(INDIRECT(ADDRESS(ROW() + (0),COLUMN() + (1)))="No agregar cuotas", IF(("16%")="", "-", "16%"), "-"))</f>
        <v/>
      </c>
      <c r="K347" s="0" t="inlineStr">
        <is>
          <t>No agregar cuotas</t>
        </is>
      </c>
      <c r="L347" s="31">
        <f>IF(INDIRECT(ADDRESS(ROW() + (0),COLUMN() + (-1)))="Agregar cuotas", IF(("13.4%")="", "Sin costo", "13.4%"), IF(INDIRECT(ADDRESS(ROW() + (0),COLUMN() + (-1)))="No agregar cuotas", IF(("")="", "Sin costo", ""), "-"))</f>
        <v/>
      </c>
      <c r="M347" s="0" t="inlineStr">
        <is>
          <t>Mercado Envíos</t>
        </is>
      </c>
      <c r="N347" s="0" t="inlineStr">
        <is>
          <t>A cargo del comprador</t>
        </is>
      </c>
      <c r="O347" s="0" t="inlineStr">
        <is>
          <t>Acepto</t>
        </is>
      </c>
      <c r="P347" s="47" t="inlineStr">
        <is>
          <t>Sin garantía</t>
        </is>
      </c>
      <c r="R347" s="0" t="inlineStr">
        <is>
          <t>Seleccionar</t>
        </is>
      </c>
      <c r="S347" s="0" t="inlineStr">
        <is>
          <t>No ofrezco</t>
        </is>
      </c>
      <c r="T347" t="n">
        <v>1916</v>
      </c>
      <c r="U347" s="0" t="inlineStr">
        <is>
          <t>Argentina</t>
        </is>
      </c>
      <c r="X347" s="0" t="inlineStr">
        <is>
          <t>Níquel</t>
        </is>
      </c>
      <c r="Z347" t="inlineStr">
        <is>
          <t>10 Centavos</t>
        </is>
      </c>
      <c r="AA347" s="0" t="inlineStr">
        <is>
          <t>Peso</t>
        </is>
      </c>
      <c r="AB3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7" s="53">
        <f>IF(OR(TRIM(INDIRECT("B"&amp;ROW())) &lt;&gt; "",TRIM(INDIRECT("A"&amp;ROW())) &lt;&gt; ""),AND(TRIM(INDIRECT("A"&amp;ROW())) &lt;&gt; "",TRIM(INDIRECT("D"&amp;ROW())) = "nuevo"),"")</f>
        <v/>
      </c>
    </row>
    <row r="348" ht="27.5" customHeight="1" s="62">
      <c r="B348" t="inlineStr">
        <is>
          <t>Moneda Argentina 10 Centavos 1915</t>
        </is>
      </c>
      <c r="C348" s="0">
        <f>LEN(INDIRECT(ADDRESS(ROW() + (0),COLUMN() + (-1))))</f>
        <v/>
      </c>
      <c r="D348" s="0" t="inlineStr">
        <is>
          <t>Usado</t>
        </is>
      </c>
      <c r="E348" s="38" t="inlineStr">
        <is>
          <t>https://numismaticapopper.com/images/751A.jpeg,https://numismaticapopper.com/images/751B.jpeg</t>
        </is>
      </c>
      <c r="F348" t="inlineStr">
        <is>
          <t>751</t>
        </is>
      </c>
      <c r="G348" s="40" t="n">
        <v>1</v>
      </c>
      <c r="H348" t="n">
        <v>5000</v>
      </c>
      <c r="I348" t="inlineStr">
        <is>
          <t>Referencia de catalogo: CJ# 104
Material: Cuproníquel</t>
        </is>
      </c>
      <c r="J348" s="31">
        <f>IF(INDIRECT(ADDRESS(ROW() + (0),COLUMN() + (1)))="Agregar cuotas", IF(("16%")="", "-", "16%"), IF(INDIRECT(ADDRESS(ROW() + (0),COLUMN() + (1)))="No agregar cuotas", IF(("16%")="", "-", "16%"), "-"))</f>
        <v/>
      </c>
      <c r="K348" s="0" t="inlineStr">
        <is>
          <t>No agregar cuotas</t>
        </is>
      </c>
      <c r="L348" s="31">
        <f>IF(INDIRECT(ADDRESS(ROW() + (0),COLUMN() + (-1)))="Agregar cuotas", IF(("13.4%")="", "Sin costo", "13.4%"), IF(INDIRECT(ADDRESS(ROW() + (0),COLUMN() + (-1)))="No agregar cuotas", IF(("")="", "Sin costo", ""), "-"))</f>
        <v/>
      </c>
      <c r="M348" s="0" t="inlineStr">
        <is>
          <t>Mercado Envíos</t>
        </is>
      </c>
      <c r="N348" s="0" t="inlineStr">
        <is>
          <t>A cargo del comprador</t>
        </is>
      </c>
      <c r="O348" s="0" t="inlineStr">
        <is>
          <t>Acepto</t>
        </is>
      </c>
      <c r="P348" s="47" t="inlineStr">
        <is>
          <t>Sin garantía</t>
        </is>
      </c>
      <c r="R348" s="0" t="inlineStr">
        <is>
          <t>Seleccionar</t>
        </is>
      </c>
      <c r="S348" s="0" t="inlineStr">
        <is>
          <t>No ofrezco</t>
        </is>
      </c>
      <c r="T348" t="n">
        <v>1915</v>
      </c>
      <c r="U348" s="0" t="inlineStr">
        <is>
          <t>Argentina</t>
        </is>
      </c>
      <c r="X348" s="0" t="inlineStr">
        <is>
          <t>Níquel</t>
        </is>
      </c>
      <c r="Z348" t="inlineStr">
        <is>
          <t>10 Centavos</t>
        </is>
      </c>
      <c r="AA348" s="0" t="inlineStr">
        <is>
          <t>Peso</t>
        </is>
      </c>
      <c r="AB3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8" s="53">
        <f>IF(OR(TRIM(INDIRECT("B"&amp;ROW())) &lt;&gt; "",TRIM(INDIRECT("A"&amp;ROW())) &lt;&gt; ""),AND(TRIM(INDIRECT("A"&amp;ROW())) &lt;&gt; "",TRIM(INDIRECT("D"&amp;ROW())) = "nuevo"),"")</f>
        <v/>
      </c>
    </row>
    <row r="349" ht="27.5" customHeight="1" s="62">
      <c r="B349" t="inlineStr">
        <is>
          <t>Moneda Argentina 10 Centavos 1908</t>
        </is>
      </c>
      <c r="C349" s="0">
        <f>LEN(INDIRECT(ADDRESS(ROW() + (0),COLUMN() + (-1))))</f>
        <v/>
      </c>
      <c r="D349" s="0" t="inlineStr">
        <is>
          <t>Usado</t>
        </is>
      </c>
      <c r="E349" s="38" t="inlineStr">
        <is>
          <t>https://numismaticapopper.com/images/754A.jpeg,https://numismaticapopper.com/images/754B.jpeg</t>
        </is>
      </c>
      <c r="F349" t="inlineStr">
        <is>
          <t>754</t>
        </is>
      </c>
      <c r="G349" s="40" t="n">
        <v>1</v>
      </c>
      <c r="H349" t="n">
        <v>10000</v>
      </c>
      <c r="I349" t="inlineStr">
        <is>
          <t>Referencia de catalogo: CJ# 97
Material: Cuproníquel</t>
        </is>
      </c>
      <c r="J349" s="31">
        <f>IF(INDIRECT(ADDRESS(ROW() + (0),COLUMN() + (1)))="Agregar cuotas", IF(("16%")="", "-", "16%"), IF(INDIRECT(ADDRESS(ROW() + (0),COLUMN() + (1)))="No agregar cuotas", IF(("16%")="", "-", "16%"), "-"))</f>
        <v/>
      </c>
      <c r="K349" s="0" t="inlineStr">
        <is>
          <t>No agregar cuotas</t>
        </is>
      </c>
      <c r="L349" s="31">
        <f>IF(INDIRECT(ADDRESS(ROW() + (0),COLUMN() + (-1)))="Agregar cuotas", IF(("13.4%")="", "Sin costo", "13.4%"), IF(INDIRECT(ADDRESS(ROW() + (0),COLUMN() + (-1)))="No agregar cuotas", IF(("")="", "Sin costo", ""), "-"))</f>
        <v/>
      </c>
      <c r="M349" s="0" t="inlineStr">
        <is>
          <t>Mercado Envíos</t>
        </is>
      </c>
      <c r="N349" s="0" t="inlineStr">
        <is>
          <t>A cargo del comprador</t>
        </is>
      </c>
      <c r="O349" s="0" t="inlineStr">
        <is>
          <t>Acepto</t>
        </is>
      </c>
      <c r="P349" s="47" t="inlineStr">
        <is>
          <t>Sin garantía</t>
        </is>
      </c>
      <c r="R349" s="0" t="inlineStr">
        <is>
          <t>Seleccionar</t>
        </is>
      </c>
      <c r="S349" s="0" t="inlineStr">
        <is>
          <t>No ofrezco</t>
        </is>
      </c>
      <c r="T349" t="n">
        <v>1908</v>
      </c>
      <c r="U349" s="0" t="inlineStr">
        <is>
          <t>Argentina</t>
        </is>
      </c>
      <c r="X349" s="0" t="inlineStr">
        <is>
          <t>Níquel</t>
        </is>
      </c>
      <c r="Z349" t="inlineStr">
        <is>
          <t>10 Centavos</t>
        </is>
      </c>
      <c r="AA349" s="0" t="inlineStr">
        <is>
          <t>Peso</t>
        </is>
      </c>
      <c r="AB3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49" s="53">
        <f>IF(OR(TRIM(INDIRECT("B"&amp;ROW())) &lt;&gt; "",TRIM(INDIRECT("A"&amp;ROW())) &lt;&gt; ""),AND(TRIM(INDIRECT("A"&amp;ROW())) &lt;&gt; "",TRIM(INDIRECT("D"&amp;ROW())) = "nuevo"),"")</f>
        <v/>
      </c>
    </row>
    <row r="350" ht="27.5" customHeight="1" s="62">
      <c r="B350" t="inlineStr">
        <is>
          <t>Moneda Argentina 10 Centavos 1907</t>
        </is>
      </c>
      <c r="C350" s="0">
        <f>LEN(INDIRECT(ADDRESS(ROW() + (0),COLUMN() + (-1))))</f>
        <v/>
      </c>
      <c r="D350" s="0" t="inlineStr">
        <is>
          <t>Usado</t>
        </is>
      </c>
      <c r="E350" s="38" t="inlineStr">
        <is>
          <t>https://numismaticapopper.com/images/755A.jpeg,https://numismaticapopper.com/images/755B.jpeg</t>
        </is>
      </c>
      <c r="F350" t="inlineStr">
        <is>
          <t>755</t>
        </is>
      </c>
      <c r="G350" s="40" t="n">
        <v>1</v>
      </c>
      <c r="H350" t="n">
        <v>18000</v>
      </c>
      <c r="I350" t="inlineStr">
        <is>
          <t>Referencia de catalogo: CJ# 96
Material: Cuproníquel</t>
        </is>
      </c>
      <c r="J350" s="31">
        <f>IF(INDIRECT(ADDRESS(ROW() + (0),COLUMN() + (1)))="Agregar cuotas", IF(("16%")="", "-", "16%"), IF(INDIRECT(ADDRESS(ROW() + (0),COLUMN() + (1)))="No agregar cuotas", IF(("16%")="", "-", "16%"), "-"))</f>
        <v/>
      </c>
      <c r="K350" s="0" t="inlineStr">
        <is>
          <t>No agregar cuotas</t>
        </is>
      </c>
      <c r="L350" s="31">
        <f>IF(INDIRECT(ADDRESS(ROW() + (0),COLUMN() + (-1)))="Agregar cuotas", IF(("13.4%")="", "Sin costo", "13.4%"), IF(INDIRECT(ADDRESS(ROW() + (0),COLUMN() + (-1)))="No agregar cuotas", IF(("")="", "Sin costo", ""), "-"))</f>
        <v/>
      </c>
      <c r="M350" s="0" t="inlineStr">
        <is>
          <t>Mercado Envíos</t>
        </is>
      </c>
      <c r="N350" s="0" t="inlineStr">
        <is>
          <t>A cargo del comprador</t>
        </is>
      </c>
      <c r="O350" s="0" t="inlineStr">
        <is>
          <t>Acepto</t>
        </is>
      </c>
      <c r="P350" s="47" t="inlineStr">
        <is>
          <t>Sin garantía</t>
        </is>
      </c>
      <c r="R350" s="0" t="inlineStr">
        <is>
          <t>Seleccionar</t>
        </is>
      </c>
      <c r="S350" s="0" t="inlineStr">
        <is>
          <t>No ofrezco</t>
        </is>
      </c>
      <c r="T350" t="n">
        <v>1907</v>
      </c>
      <c r="U350" s="0" t="inlineStr">
        <is>
          <t>Argentina</t>
        </is>
      </c>
      <c r="X350" s="0" t="inlineStr">
        <is>
          <t>Níquel</t>
        </is>
      </c>
      <c r="Z350" t="inlineStr">
        <is>
          <t>10 Centavos</t>
        </is>
      </c>
      <c r="AA350" s="0" t="inlineStr">
        <is>
          <t>Peso</t>
        </is>
      </c>
      <c r="AB3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0" s="53">
        <f>IF(OR(TRIM(INDIRECT("B"&amp;ROW())) &lt;&gt; "",TRIM(INDIRECT("A"&amp;ROW())) &lt;&gt; ""),AND(TRIM(INDIRECT("A"&amp;ROW())) &lt;&gt; "",TRIM(INDIRECT("D"&amp;ROW())) = "nuevo"),"")</f>
        <v/>
      </c>
    </row>
    <row r="351" ht="27.5" customHeight="1" s="62">
      <c r="B351" t="inlineStr">
        <is>
          <t>Moneda Argentina 10 Centavos 1897</t>
        </is>
      </c>
      <c r="C351" s="0">
        <f>LEN(INDIRECT(ADDRESS(ROW() + (0),COLUMN() + (-1))))</f>
        <v/>
      </c>
      <c r="D351" s="0" t="inlineStr">
        <is>
          <t>Usado</t>
        </is>
      </c>
      <c r="E351" s="38" t="inlineStr">
        <is>
          <t>https://numismaticapopper.com/images/756A.jpeg,https://numismaticapopper.com/images/756B.jpeg</t>
        </is>
      </c>
      <c r="F351" t="inlineStr">
        <is>
          <t>756</t>
        </is>
      </c>
      <c r="G351" s="40" t="n">
        <v>1</v>
      </c>
      <c r="H351" t="n">
        <v>8000</v>
      </c>
      <c r="I351" t="inlineStr">
        <is>
          <t>Referencia de catalogo: CJ# 91
Material: Cuproníquel</t>
        </is>
      </c>
      <c r="J351" s="31">
        <f>IF(INDIRECT(ADDRESS(ROW() + (0),COLUMN() + (1)))="Agregar cuotas", IF(("16%")="", "-", "16%"), IF(INDIRECT(ADDRESS(ROW() + (0),COLUMN() + (1)))="No agregar cuotas", IF(("16%")="", "-", "16%"), "-"))</f>
        <v/>
      </c>
      <c r="K351" s="0" t="inlineStr">
        <is>
          <t>No agregar cuotas</t>
        </is>
      </c>
      <c r="L351" s="31">
        <f>IF(INDIRECT(ADDRESS(ROW() + (0),COLUMN() + (-1)))="Agregar cuotas", IF(("13.4%")="", "Sin costo", "13.4%"), IF(INDIRECT(ADDRESS(ROW() + (0),COLUMN() + (-1)))="No agregar cuotas", IF(("")="", "Sin costo", ""), "-"))</f>
        <v/>
      </c>
      <c r="M351" s="0" t="inlineStr">
        <is>
          <t>Mercado Envíos</t>
        </is>
      </c>
      <c r="N351" s="0" t="inlineStr">
        <is>
          <t>A cargo del comprador</t>
        </is>
      </c>
      <c r="O351" s="0" t="inlineStr">
        <is>
          <t>Acepto</t>
        </is>
      </c>
      <c r="P351" s="47" t="inlineStr">
        <is>
          <t>Sin garantía</t>
        </is>
      </c>
      <c r="R351" s="0" t="inlineStr">
        <is>
          <t>Seleccionar</t>
        </is>
      </c>
      <c r="S351" s="0" t="inlineStr">
        <is>
          <t>No ofrezco</t>
        </is>
      </c>
      <c r="T351" t="n">
        <v>1897</v>
      </c>
      <c r="U351" s="0" t="inlineStr">
        <is>
          <t>Argentina</t>
        </is>
      </c>
      <c r="X351" s="0" t="inlineStr">
        <is>
          <t>Níquel</t>
        </is>
      </c>
      <c r="Z351" t="inlineStr">
        <is>
          <t>10 Centavos</t>
        </is>
      </c>
      <c r="AA351" s="0" t="inlineStr">
        <is>
          <t>Peso</t>
        </is>
      </c>
      <c r="AB3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1" s="53">
        <f>IF(OR(TRIM(INDIRECT("B"&amp;ROW())) &lt;&gt; "",TRIM(INDIRECT("A"&amp;ROW())) &lt;&gt; ""),AND(TRIM(INDIRECT("A"&amp;ROW())) &lt;&gt; "",TRIM(INDIRECT("D"&amp;ROW())) = "nuevo"),"")</f>
        <v/>
      </c>
    </row>
    <row r="352" ht="27.5" customHeight="1" s="62">
      <c r="B352" t="inlineStr">
        <is>
          <t>Moneda Argentina 10 Centavos 1897</t>
        </is>
      </c>
      <c r="C352" s="0">
        <f>LEN(INDIRECT(ADDRESS(ROW() + (0),COLUMN() + (-1))))</f>
        <v/>
      </c>
      <c r="D352" s="0" t="inlineStr">
        <is>
          <t>Usado</t>
        </is>
      </c>
      <c r="E352" s="38" t="inlineStr">
        <is>
          <t>https://numismaticapopper.com/images/757A.jpeg,https://numismaticapopper.com/images/757B.jpeg</t>
        </is>
      </c>
      <c r="F352" t="inlineStr">
        <is>
          <t>757</t>
        </is>
      </c>
      <c r="G352" s="40" t="n">
        <v>1</v>
      </c>
      <c r="H352" t="n">
        <v>7000</v>
      </c>
      <c r="I352" t="inlineStr">
        <is>
          <t>Referencia de catalogo: CJ# 91
Material: Cuproníquel</t>
        </is>
      </c>
      <c r="J352" s="31">
        <f>IF(INDIRECT(ADDRESS(ROW() + (0),COLUMN() + (1)))="Agregar cuotas", IF(("16%")="", "-", "16%"), IF(INDIRECT(ADDRESS(ROW() + (0),COLUMN() + (1)))="No agregar cuotas", IF(("16%")="", "-", "16%"), "-"))</f>
        <v/>
      </c>
      <c r="K352" s="0" t="inlineStr">
        <is>
          <t>No agregar cuotas</t>
        </is>
      </c>
      <c r="L352" s="31">
        <f>IF(INDIRECT(ADDRESS(ROW() + (0),COLUMN() + (-1)))="Agregar cuotas", IF(("13.4%")="", "Sin costo", "13.4%"), IF(INDIRECT(ADDRESS(ROW() + (0),COLUMN() + (-1)))="No agregar cuotas", IF(("")="", "Sin costo", ""), "-"))</f>
        <v/>
      </c>
      <c r="M352" s="0" t="inlineStr">
        <is>
          <t>Mercado Envíos</t>
        </is>
      </c>
      <c r="N352" s="0" t="inlineStr">
        <is>
          <t>A cargo del comprador</t>
        </is>
      </c>
      <c r="O352" s="0" t="inlineStr">
        <is>
          <t>Acepto</t>
        </is>
      </c>
      <c r="P352" s="47" t="inlineStr">
        <is>
          <t>Sin garantía</t>
        </is>
      </c>
      <c r="R352" s="0" t="inlineStr">
        <is>
          <t>Seleccionar</t>
        </is>
      </c>
      <c r="S352" s="0" t="inlineStr">
        <is>
          <t>No ofrezco</t>
        </is>
      </c>
      <c r="T352" t="n">
        <v>1897</v>
      </c>
      <c r="U352" s="0" t="inlineStr">
        <is>
          <t>Argentina</t>
        </is>
      </c>
      <c r="X352" s="0" t="inlineStr">
        <is>
          <t>Níquel</t>
        </is>
      </c>
      <c r="Z352" t="inlineStr">
        <is>
          <t>10 Centavos</t>
        </is>
      </c>
      <c r="AA352" s="0" t="inlineStr">
        <is>
          <t>Peso</t>
        </is>
      </c>
      <c r="AB3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2" s="53">
        <f>IF(OR(TRIM(INDIRECT("B"&amp;ROW())) &lt;&gt; "",TRIM(INDIRECT("A"&amp;ROW())) &lt;&gt; ""),AND(TRIM(INDIRECT("A"&amp;ROW())) &lt;&gt; "",TRIM(INDIRECT("D"&amp;ROW())) = "nuevo"),"")</f>
        <v/>
      </c>
    </row>
    <row r="353" ht="27.5" customHeight="1" s="62">
      <c r="B353" t="inlineStr">
        <is>
          <t>Moneda Argentina 10 Centavos 1896</t>
        </is>
      </c>
      <c r="C353" s="0">
        <f>LEN(INDIRECT(ADDRESS(ROW() + (0),COLUMN() + (-1))))</f>
        <v/>
      </c>
      <c r="D353" s="0" t="inlineStr">
        <is>
          <t>Usado</t>
        </is>
      </c>
      <c r="E353" s="38" t="inlineStr">
        <is>
          <t>https://numismaticapopper.com/images/758A.jpeg,https://numismaticapopper.com/images/758B.jpeg</t>
        </is>
      </c>
      <c r="F353" t="inlineStr">
        <is>
          <t>758</t>
        </is>
      </c>
      <c r="G353" s="40" t="n">
        <v>1</v>
      </c>
      <c r="H353" t="n">
        <v>13000</v>
      </c>
      <c r="I353" t="inlineStr">
        <is>
          <t>Referencia de catalogo: CJ# 90
Material: Cuproníquel</t>
        </is>
      </c>
      <c r="J353" s="31">
        <f>IF(INDIRECT(ADDRESS(ROW() + (0),COLUMN() + (1)))="Agregar cuotas", IF(("16%")="", "-", "16%"), IF(INDIRECT(ADDRESS(ROW() + (0),COLUMN() + (1)))="No agregar cuotas", IF(("16%")="", "-", "16%"), "-"))</f>
        <v/>
      </c>
      <c r="K353" s="0" t="inlineStr">
        <is>
          <t>No agregar cuotas</t>
        </is>
      </c>
      <c r="L353" s="31">
        <f>IF(INDIRECT(ADDRESS(ROW() + (0),COLUMN() + (-1)))="Agregar cuotas", IF(("13.4%")="", "Sin costo", "13.4%"), IF(INDIRECT(ADDRESS(ROW() + (0),COLUMN() + (-1)))="No agregar cuotas", IF(("")="", "Sin costo", ""), "-"))</f>
        <v/>
      </c>
      <c r="M353" s="0" t="inlineStr">
        <is>
          <t>Mercado Envíos</t>
        </is>
      </c>
      <c r="N353" s="0" t="inlineStr">
        <is>
          <t>A cargo del comprador</t>
        </is>
      </c>
      <c r="O353" s="0" t="inlineStr">
        <is>
          <t>Acepto</t>
        </is>
      </c>
      <c r="P353" s="47" t="inlineStr">
        <is>
          <t>Sin garantía</t>
        </is>
      </c>
      <c r="R353" s="0" t="inlineStr">
        <is>
          <t>Seleccionar</t>
        </is>
      </c>
      <c r="S353" s="0" t="inlineStr">
        <is>
          <t>No ofrezco</t>
        </is>
      </c>
      <c r="T353" t="n">
        <v>1896</v>
      </c>
      <c r="U353" s="0" t="inlineStr">
        <is>
          <t>Argentina</t>
        </is>
      </c>
      <c r="X353" s="0" t="inlineStr">
        <is>
          <t>Níquel</t>
        </is>
      </c>
      <c r="Z353" t="inlineStr">
        <is>
          <t>10 Centavos</t>
        </is>
      </c>
      <c r="AA353" s="0" t="inlineStr">
        <is>
          <t>Peso</t>
        </is>
      </c>
      <c r="AB3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3" s="53">
        <f>IF(OR(TRIM(INDIRECT("B"&amp;ROW())) &lt;&gt; "",TRIM(INDIRECT("A"&amp;ROW())) &lt;&gt; ""),AND(TRIM(INDIRECT("A"&amp;ROW())) &lt;&gt; "",TRIM(INDIRECT("D"&amp;ROW())) = "nuevo"),"")</f>
        <v/>
      </c>
    </row>
    <row r="354" ht="27.5" customHeight="1" s="62">
      <c r="B354" t="inlineStr">
        <is>
          <t>Moneda Argentina 10 Centavos 1914</t>
        </is>
      </c>
      <c r="C354" s="0">
        <f>LEN(INDIRECT(ADDRESS(ROW() + (0),COLUMN() + (-1))))</f>
        <v/>
      </c>
      <c r="D354" s="0" t="inlineStr">
        <is>
          <t>Usado</t>
        </is>
      </c>
      <c r="E354" s="38" t="inlineStr">
        <is>
          <t>https://numismaticapopper.com/images/759A.jpeg,https://numismaticapopper.com/images/759B.jpeg</t>
        </is>
      </c>
      <c r="F354" t="inlineStr">
        <is>
          <t>759</t>
        </is>
      </c>
      <c r="G354" s="40" t="n">
        <v>1</v>
      </c>
      <c r="H354" t="n">
        <v>22000</v>
      </c>
      <c r="I354" t="inlineStr">
        <is>
          <t>Referencia de catalogo: CJ# 103
Material: Cuproníquel
Tirada: 750.733
ESCASA</t>
        </is>
      </c>
      <c r="J354" s="31">
        <f>IF(INDIRECT(ADDRESS(ROW() + (0),COLUMN() + (1)))="Agregar cuotas", IF(("16%")="", "-", "16%"), IF(INDIRECT(ADDRESS(ROW() + (0),COLUMN() + (1)))="No agregar cuotas", IF(("16%")="", "-", "16%"), "-"))</f>
        <v/>
      </c>
      <c r="K354" s="0" t="inlineStr">
        <is>
          <t>No agregar cuotas</t>
        </is>
      </c>
      <c r="L354" s="31">
        <f>IF(INDIRECT(ADDRESS(ROW() + (0),COLUMN() + (-1)))="Agregar cuotas", IF(("13.4%")="", "Sin costo", "13.4%"), IF(INDIRECT(ADDRESS(ROW() + (0),COLUMN() + (-1)))="No agregar cuotas", IF(("")="", "Sin costo", ""), "-"))</f>
        <v/>
      </c>
      <c r="M354" s="0" t="inlineStr">
        <is>
          <t>Mercado Envíos</t>
        </is>
      </c>
      <c r="N354" s="0" t="inlineStr">
        <is>
          <t>A cargo del comprador</t>
        </is>
      </c>
      <c r="O354" s="0" t="inlineStr">
        <is>
          <t>Acepto</t>
        </is>
      </c>
      <c r="P354" s="47" t="inlineStr">
        <is>
          <t>Sin garantía</t>
        </is>
      </c>
      <c r="R354" s="0" t="inlineStr">
        <is>
          <t>Seleccionar</t>
        </is>
      </c>
      <c r="S354" s="0" t="inlineStr">
        <is>
          <t>No ofrezco</t>
        </is>
      </c>
      <c r="T354" t="n">
        <v>1914</v>
      </c>
      <c r="U354" s="0" t="inlineStr">
        <is>
          <t>Argentina</t>
        </is>
      </c>
      <c r="X354" s="0" t="inlineStr">
        <is>
          <t>Níquel</t>
        </is>
      </c>
      <c r="Z354" t="inlineStr">
        <is>
          <t>10 Centavos</t>
        </is>
      </c>
      <c r="AA354" s="0" t="inlineStr">
        <is>
          <t>Peso</t>
        </is>
      </c>
      <c r="AB3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4" s="53">
        <f>IF(OR(TRIM(INDIRECT("B"&amp;ROW())) &lt;&gt; "",TRIM(INDIRECT("A"&amp;ROW())) &lt;&gt; ""),AND(TRIM(INDIRECT("A"&amp;ROW())) &lt;&gt; "",TRIM(INDIRECT("D"&amp;ROW())) = "nuevo"),"")</f>
        <v/>
      </c>
    </row>
    <row r="355" ht="27.5" customHeight="1" s="62">
      <c r="B355" t="inlineStr">
        <is>
          <t>Moneda Argentina 10 Centavos 1931</t>
        </is>
      </c>
      <c r="C355" s="0">
        <f>LEN(INDIRECT(ADDRESS(ROW() + (0),COLUMN() + (-1))))</f>
        <v/>
      </c>
      <c r="D355" s="0" t="inlineStr">
        <is>
          <t>Usado</t>
        </is>
      </c>
      <c r="E355" s="38" t="inlineStr">
        <is>
          <t>https://numismaticapopper.com/images/760A.jpeg,https://numismaticapopper.com/images/760B.jpeg</t>
        </is>
      </c>
      <c r="F355" t="inlineStr">
        <is>
          <t>760</t>
        </is>
      </c>
      <c r="G355" s="40" t="n">
        <v>1</v>
      </c>
      <c r="H355" t="n">
        <v>11000</v>
      </c>
      <c r="I355" t="inlineStr">
        <is>
          <t>Referencia de catalogo: CJ# 119
Material: Cuproníquel
Peso: 3.0 g
Diametro: 19.0 mm
Tirada: 892.873
ESCASA</t>
        </is>
      </c>
      <c r="J355" s="31">
        <f>IF(INDIRECT(ADDRESS(ROW() + (0),COLUMN() + (1)))="Agregar cuotas", IF(("16%")="", "-", "16%"), IF(INDIRECT(ADDRESS(ROW() + (0),COLUMN() + (1)))="No agregar cuotas", IF(("16%")="", "-", "16%"), "-"))</f>
        <v/>
      </c>
      <c r="K355" s="0" t="inlineStr">
        <is>
          <t>No agregar cuotas</t>
        </is>
      </c>
      <c r="L355" s="31">
        <f>IF(INDIRECT(ADDRESS(ROW() + (0),COLUMN() + (-1)))="Agregar cuotas", IF(("13.4%")="", "Sin costo", "13.4%"), IF(INDIRECT(ADDRESS(ROW() + (0),COLUMN() + (-1)))="No agregar cuotas", IF(("")="", "Sin costo", ""), "-"))</f>
        <v/>
      </c>
      <c r="M355" s="0" t="inlineStr">
        <is>
          <t>Mercado Envíos</t>
        </is>
      </c>
      <c r="N355" s="0" t="inlineStr">
        <is>
          <t>A cargo del comprador</t>
        </is>
      </c>
      <c r="O355" s="0" t="inlineStr">
        <is>
          <t>Acepto</t>
        </is>
      </c>
      <c r="P355" s="47" t="inlineStr">
        <is>
          <t>Sin garantía</t>
        </is>
      </c>
      <c r="R355" s="0" t="inlineStr">
        <is>
          <t>Seleccionar</t>
        </is>
      </c>
      <c r="S355" s="0" t="inlineStr">
        <is>
          <t>No ofrezco</t>
        </is>
      </c>
      <c r="T355" t="n">
        <v>1931</v>
      </c>
      <c r="U355" s="0" t="inlineStr">
        <is>
          <t>Argentina</t>
        </is>
      </c>
      <c r="X355" s="0" t="inlineStr">
        <is>
          <t>Níquel</t>
        </is>
      </c>
      <c r="Z355" t="inlineStr">
        <is>
          <t>10 Centavos</t>
        </is>
      </c>
      <c r="AA355" s="0" t="inlineStr">
        <is>
          <t>Peso</t>
        </is>
      </c>
      <c r="AB3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5" s="53">
        <f>IF(OR(TRIM(INDIRECT("B"&amp;ROW())) &lt;&gt; "",TRIM(INDIRECT("A"&amp;ROW())) &lt;&gt; ""),AND(TRIM(INDIRECT("A"&amp;ROW())) &lt;&gt; "",TRIM(INDIRECT("D"&amp;ROW())) = "nuevo"),"")</f>
        <v/>
      </c>
    </row>
    <row r="356" ht="27.5" customHeight="1" s="62">
      <c r="B356" t="inlineStr">
        <is>
          <t>Moneda Argentina 10 Centavos 1931</t>
        </is>
      </c>
      <c r="C356" s="0">
        <f>LEN(INDIRECT(ADDRESS(ROW() + (0),COLUMN() + (-1))))</f>
        <v/>
      </c>
      <c r="D356" s="0" t="inlineStr">
        <is>
          <t>Usado</t>
        </is>
      </c>
      <c r="E356" s="38" t="inlineStr">
        <is>
          <t>https://numismaticapopper.com/images/761A.jpeg,https://numismaticapopper.com/images/761B.jpeg</t>
        </is>
      </c>
      <c r="F356" t="inlineStr">
        <is>
          <t>761</t>
        </is>
      </c>
      <c r="G356" s="40" t="n">
        <v>1</v>
      </c>
      <c r="H356" t="n">
        <v>15000</v>
      </c>
      <c r="I356" t="inlineStr">
        <is>
          <t>Referencia de catalogo: CJ# 119
Material: Cuproníquel
Peso: 3.0 g
Diametro: 19.0 mm
Tirada: 892.873
ESCASA</t>
        </is>
      </c>
      <c r="J356" s="31">
        <f>IF(INDIRECT(ADDRESS(ROW() + (0),COLUMN() + (1)))="Agregar cuotas", IF(("16%")="", "-", "16%"), IF(INDIRECT(ADDRESS(ROW() + (0),COLUMN() + (1)))="No agregar cuotas", IF(("16%")="", "-", "16%"), "-"))</f>
        <v/>
      </c>
      <c r="K356" s="0" t="inlineStr">
        <is>
          <t>No agregar cuotas</t>
        </is>
      </c>
      <c r="L356" s="31">
        <f>IF(INDIRECT(ADDRESS(ROW() + (0),COLUMN() + (-1)))="Agregar cuotas", IF(("13.4%")="", "Sin costo", "13.4%"), IF(INDIRECT(ADDRESS(ROW() + (0),COLUMN() + (-1)))="No agregar cuotas", IF(("")="", "Sin costo", ""), "-"))</f>
        <v/>
      </c>
      <c r="M356" s="0" t="inlineStr">
        <is>
          <t>Mercado Envíos</t>
        </is>
      </c>
      <c r="N356" s="0" t="inlineStr">
        <is>
          <t>A cargo del comprador</t>
        </is>
      </c>
      <c r="O356" s="0" t="inlineStr">
        <is>
          <t>Acepto</t>
        </is>
      </c>
      <c r="P356" s="47" t="inlineStr">
        <is>
          <t>Sin garantía</t>
        </is>
      </c>
      <c r="R356" s="0" t="inlineStr">
        <is>
          <t>Seleccionar</t>
        </is>
      </c>
      <c r="S356" s="0" t="inlineStr">
        <is>
          <t>No ofrezco</t>
        </is>
      </c>
      <c r="T356" t="n">
        <v>1931</v>
      </c>
      <c r="U356" s="0" t="inlineStr">
        <is>
          <t>Argentina</t>
        </is>
      </c>
      <c r="X356" s="0" t="inlineStr">
        <is>
          <t>Níquel</t>
        </is>
      </c>
      <c r="Z356" t="inlineStr">
        <is>
          <t>10 Centavos</t>
        </is>
      </c>
      <c r="AA356" s="0" t="inlineStr">
        <is>
          <t>Peso</t>
        </is>
      </c>
      <c r="AB3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6" s="53">
        <f>IF(OR(TRIM(INDIRECT("B"&amp;ROW())) &lt;&gt; "",TRIM(INDIRECT("A"&amp;ROW())) &lt;&gt; ""),AND(TRIM(INDIRECT("A"&amp;ROW())) &lt;&gt; "",TRIM(INDIRECT("D"&amp;ROW())) = "nuevo"),"")</f>
        <v/>
      </c>
    </row>
    <row r="357" ht="27.5" customHeight="1" s="62">
      <c r="B357" t="inlineStr">
        <is>
          <t>Moneda Argentina 20 Centavos 1916</t>
        </is>
      </c>
      <c r="C357" s="0">
        <f>LEN(INDIRECT(ADDRESS(ROW() + (0),COLUMN() + (-1))))</f>
        <v/>
      </c>
      <c r="D357" s="0" t="inlineStr">
        <is>
          <t>Usado</t>
        </is>
      </c>
      <c r="E357" s="38" t="inlineStr">
        <is>
          <t>https://numismaticapopper.com/images/763A.jpeg,https://numismaticapopper.com/images/763B.jpeg</t>
        </is>
      </c>
      <c r="F357" t="inlineStr">
        <is>
          <t>763</t>
        </is>
      </c>
      <c r="G357" s="40" t="n">
        <v>1</v>
      </c>
      <c r="H357" t="n">
        <v>9000</v>
      </c>
      <c r="I357" t="inlineStr">
        <is>
          <t>Referencia de catalogo: CJ# 67
Material: Cuproníquel
Tirada: 984.634
ESCASA</t>
        </is>
      </c>
      <c r="J357" s="31">
        <f>IF(INDIRECT(ADDRESS(ROW() + (0),COLUMN() + (1)))="Agregar cuotas", IF(("16%")="", "-", "16%"), IF(INDIRECT(ADDRESS(ROW() + (0),COLUMN() + (1)))="No agregar cuotas", IF(("16%")="", "-", "16%"), "-"))</f>
        <v/>
      </c>
      <c r="K357" s="0" t="inlineStr">
        <is>
          <t>No agregar cuotas</t>
        </is>
      </c>
      <c r="L357" s="31">
        <f>IF(INDIRECT(ADDRESS(ROW() + (0),COLUMN() + (-1)))="Agregar cuotas", IF(("13.4%")="", "Sin costo", "13.4%"), IF(INDIRECT(ADDRESS(ROW() + (0),COLUMN() + (-1)))="No agregar cuotas", IF(("")="", "Sin costo", ""), "-"))</f>
        <v/>
      </c>
      <c r="M357" s="0" t="inlineStr">
        <is>
          <t>Mercado Envíos</t>
        </is>
      </c>
      <c r="N357" s="0" t="inlineStr">
        <is>
          <t>A cargo del comprador</t>
        </is>
      </c>
      <c r="O357" s="0" t="inlineStr">
        <is>
          <t>Acepto</t>
        </is>
      </c>
      <c r="P357" s="47" t="inlineStr">
        <is>
          <t>Sin garantía</t>
        </is>
      </c>
      <c r="R357" s="0" t="inlineStr">
        <is>
          <t>Seleccionar</t>
        </is>
      </c>
      <c r="S357" s="0" t="inlineStr">
        <is>
          <t>No ofrezco</t>
        </is>
      </c>
      <c r="T357" t="n">
        <v>1916</v>
      </c>
      <c r="U357" s="0" t="inlineStr">
        <is>
          <t>Argentina</t>
        </is>
      </c>
      <c r="X357" s="0" t="inlineStr">
        <is>
          <t>Níquel</t>
        </is>
      </c>
      <c r="Z357" t="inlineStr">
        <is>
          <t>20 Centavos</t>
        </is>
      </c>
      <c r="AA357" s="0" t="inlineStr">
        <is>
          <t>Peso</t>
        </is>
      </c>
      <c r="AB3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7" s="53">
        <f>IF(OR(TRIM(INDIRECT("B"&amp;ROW())) &lt;&gt; "",TRIM(INDIRECT("A"&amp;ROW())) &lt;&gt; ""),AND(TRIM(INDIRECT("A"&amp;ROW())) &lt;&gt; "",TRIM(INDIRECT("D"&amp;ROW())) = "nuevo"),"")</f>
        <v/>
      </c>
    </row>
    <row r="358" ht="27.5" customHeight="1" s="62">
      <c r="B358" t="inlineStr">
        <is>
          <t>Moneda Argentina 20 Centavos 1916</t>
        </is>
      </c>
      <c r="C358" s="0">
        <f>LEN(INDIRECT(ADDRESS(ROW() + (0),COLUMN() + (-1))))</f>
        <v/>
      </c>
      <c r="D358" s="0" t="inlineStr">
        <is>
          <t>Usado</t>
        </is>
      </c>
      <c r="E358" s="38" t="inlineStr">
        <is>
          <t>https://numismaticapopper.com/images/764A.jpeg,https://numismaticapopper.com/images/764B.jpeg</t>
        </is>
      </c>
      <c r="F358" t="inlineStr">
        <is>
          <t>764</t>
        </is>
      </c>
      <c r="G358" s="40" t="n">
        <v>1</v>
      </c>
      <c r="H358" t="n">
        <v>8000</v>
      </c>
      <c r="I358" t="inlineStr">
        <is>
          <t>Referencia de catalogo: CJ# 67
Material: Cuproníquel
Tirada: 984.634
ESCASA</t>
        </is>
      </c>
      <c r="J358" s="31">
        <f>IF(INDIRECT(ADDRESS(ROW() + (0),COLUMN() + (1)))="Agregar cuotas", IF(("16%")="", "-", "16%"), IF(INDIRECT(ADDRESS(ROW() + (0),COLUMN() + (1)))="No agregar cuotas", IF(("16%")="", "-", "16%"), "-"))</f>
        <v/>
      </c>
      <c r="K358" s="0" t="inlineStr">
        <is>
          <t>No agregar cuotas</t>
        </is>
      </c>
      <c r="L358" s="31">
        <f>IF(INDIRECT(ADDRESS(ROW() + (0),COLUMN() + (-1)))="Agregar cuotas", IF(("13.4%")="", "Sin costo", "13.4%"), IF(INDIRECT(ADDRESS(ROW() + (0),COLUMN() + (-1)))="No agregar cuotas", IF(("")="", "Sin costo", ""), "-"))</f>
        <v/>
      </c>
      <c r="M358" s="0" t="inlineStr">
        <is>
          <t>Mercado Envíos</t>
        </is>
      </c>
      <c r="N358" s="0" t="inlineStr">
        <is>
          <t>A cargo del comprador</t>
        </is>
      </c>
      <c r="O358" s="0" t="inlineStr">
        <is>
          <t>Acepto</t>
        </is>
      </c>
      <c r="P358" s="47" t="inlineStr">
        <is>
          <t>Sin garantía</t>
        </is>
      </c>
      <c r="R358" s="0" t="inlineStr">
        <is>
          <t>Seleccionar</t>
        </is>
      </c>
      <c r="S358" s="0" t="inlineStr">
        <is>
          <t>No ofrezco</t>
        </is>
      </c>
      <c r="T358" t="n">
        <v>1916</v>
      </c>
      <c r="U358" s="0" t="inlineStr">
        <is>
          <t>Argentina</t>
        </is>
      </c>
      <c r="X358" s="0" t="inlineStr">
        <is>
          <t>Níquel</t>
        </is>
      </c>
      <c r="Z358" t="inlineStr">
        <is>
          <t>20 Centavos</t>
        </is>
      </c>
      <c r="AA358" s="0" t="inlineStr">
        <is>
          <t>Peso</t>
        </is>
      </c>
      <c r="AB3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8" s="53">
        <f>IF(OR(TRIM(INDIRECT("B"&amp;ROW())) &lt;&gt; "",TRIM(INDIRECT("A"&amp;ROW())) &lt;&gt; ""),AND(TRIM(INDIRECT("A"&amp;ROW())) &lt;&gt; "",TRIM(INDIRECT("D"&amp;ROW())) = "nuevo"),"")</f>
        <v/>
      </c>
    </row>
    <row r="359" ht="27.5" customHeight="1" s="62">
      <c r="B359" t="inlineStr">
        <is>
          <t>Moneda Argentina 20 Centavos 1914</t>
        </is>
      </c>
      <c r="C359" s="0">
        <f>LEN(INDIRECT(ADDRESS(ROW() + (0),COLUMN() + (-1))))</f>
        <v/>
      </c>
      <c r="D359" s="0" t="inlineStr">
        <is>
          <t>Usado</t>
        </is>
      </c>
      <c r="E359" s="38" t="inlineStr">
        <is>
          <t>https://numismaticapopper.com/images/765A.jpeg,https://numismaticapopper.com/images/765B.jpeg</t>
        </is>
      </c>
      <c r="F359" t="inlineStr">
        <is>
          <t>765</t>
        </is>
      </c>
      <c r="G359" s="40" t="n">
        <v>1</v>
      </c>
      <c r="H359" t="n">
        <v>22000</v>
      </c>
      <c r="I359" t="inlineStr">
        <is>
          <t>Referencia de catalogo: CJ# 65
Material: Cuproníquel
Tirada: 526.770
ESCASA</t>
        </is>
      </c>
      <c r="J359" s="31">
        <f>IF(INDIRECT(ADDRESS(ROW() + (0),COLUMN() + (1)))="Agregar cuotas", IF(("16%")="", "-", "16%"), IF(INDIRECT(ADDRESS(ROW() + (0),COLUMN() + (1)))="No agregar cuotas", IF(("16%")="", "-", "16%"), "-"))</f>
        <v/>
      </c>
      <c r="K359" s="0" t="inlineStr">
        <is>
          <t>No agregar cuotas</t>
        </is>
      </c>
      <c r="L359" s="31">
        <f>IF(INDIRECT(ADDRESS(ROW() + (0),COLUMN() + (-1)))="Agregar cuotas", IF(("13.4%")="", "Sin costo", "13.4%"), IF(INDIRECT(ADDRESS(ROW() + (0),COLUMN() + (-1)))="No agregar cuotas", IF(("")="", "Sin costo", ""), "-"))</f>
        <v/>
      </c>
      <c r="M359" s="0" t="inlineStr">
        <is>
          <t>Mercado Envíos</t>
        </is>
      </c>
      <c r="N359" s="0" t="inlineStr">
        <is>
          <t>A cargo del comprador</t>
        </is>
      </c>
      <c r="O359" s="0" t="inlineStr">
        <is>
          <t>Acepto</t>
        </is>
      </c>
      <c r="P359" s="47" t="inlineStr">
        <is>
          <t>Sin garantía</t>
        </is>
      </c>
      <c r="R359" s="0" t="inlineStr">
        <is>
          <t>Seleccionar</t>
        </is>
      </c>
      <c r="S359" s="0" t="inlineStr">
        <is>
          <t>No ofrezco</t>
        </is>
      </c>
      <c r="T359" t="n">
        <v>1914</v>
      </c>
      <c r="U359" s="0" t="inlineStr">
        <is>
          <t>Argentina</t>
        </is>
      </c>
      <c r="X359" s="0" t="inlineStr">
        <is>
          <t>Níquel</t>
        </is>
      </c>
      <c r="Z359" t="inlineStr">
        <is>
          <t>20 Centavos</t>
        </is>
      </c>
      <c r="AA359" s="0" t="inlineStr">
        <is>
          <t>Peso</t>
        </is>
      </c>
      <c r="AB3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59" s="53">
        <f>IF(OR(TRIM(INDIRECT("B"&amp;ROW())) &lt;&gt; "",TRIM(INDIRECT("A"&amp;ROW())) &lt;&gt; ""),AND(TRIM(INDIRECT("A"&amp;ROW())) &lt;&gt; "",TRIM(INDIRECT("D"&amp;ROW())) = "nuevo"),"")</f>
        <v/>
      </c>
    </row>
    <row r="360" ht="27.5" customHeight="1" s="62">
      <c r="B360" t="inlineStr">
        <is>
          <t>Moneda Argentina 20 Centavos 1912</t>
        </is>
      </c>
      <c r="C360" s="0">
        <f>LEN(INDIRECT(ADDRESS(ROW() + (0),COLUMN() + (-1))))</f>
        <v/>
      </c>
      <c r="D360" s="0" t="inlineStr">
        <is>
          <t>Usado</t>
        </is>
      </c>
      <c r="E360" s="38" t="inlineStr">
        <is>
          <t>https://numismaticapopper.com/images/766A.jpeg,https://numismaticapopper.com/images/766B.jpeg</t>
        </is>
      </c>
      <c r="F360" t="inlineStr">
        <is>
          <t>766</t>
        </is>
      </c>
      <c r="G360" s="40" t="n">
        <v>1</v>
      </c>
      <c r="H360" t="n">
        <v>11000</v>
      </c>
      <c r="I360" t="inlineStr">
        <is>
          <t>Referencia de catalogo: CJ# 63
Material: Cuproníquel</t>
        </is>
      </c>
      <c r="J360" s="31">
        <f>IF(INDIRECT(ADDRESS(ROW() + (0),COLUMN() + (1)))="Agregar cuotas", IF(("16%")="", "-", "16%"), IF(INDIRECT(ADDRESS(ROW() + (0),COLUMN() + (1)))="No agregar cuotas", IF(("16%")="", "-", "16%"), "-"))</f>
        <v/>
      </c>
      <c r="K360" s="0" t="inlineStr">
        <is>
          <t>No agregar cuotas</t>
        </is>
      </c>
      <c r="L360" s="31">
        <f>IF(INDIRECT(ADDRESS(ROW() + (0),COLUMN() + (-1)))="Agregar cuotas", IF(("13.4%")="", "Sin costo", "13.4%"), IF(INDIRECT(ADDRESS(ROW() + (0),COLUMN() + (-1)))="No agregar cuotas", IF(("")="", "Sin costo", ""), "-"))</f>
        <v/>
      </c>
      <c r="M360" s="0" t="inlineStr">
        <is>
          <t>Mercado Envíos</t>
        </is>
      </c>
      <c r="N360" s="0" t="inlineStr">
        <is>
          <t>A cargo del comprador</t>
        </is>
      </c>
      <c r="O360" s="0" t="inlineStr">
        <is>
          <t>Acepto</t>
        </is>
      </c>
      <c r="P360" s="47" t="inlineStr">
        <is>
          <t>Sin garantía</t>
        </is>
      </c>
      <c r="R360" s="0" t="inlineStr">
        <is>
          <t>Seleccionar</t>
        </is>
      </c>
      <c r="S360" s="0" t="inlineStr">
        <is>
          <t>No ofrezco</t>
        </is>
      </c>
      <c r="T360" t="n">
        <v>1912</v>
      </c>
      <c r="U360" s="0" t="inlineStr">
        <is>
          <t>Argentina</t>
        </is>
      </c>
      <c r="X360" s="0" t="inlineStr">
        <is>
          <t>Níquel</t>
        </is>
      </c>
      <c r="Z360" t="inlineStr">
        <is>
          <t>20 Centavos</t>
        </is>
      </c>
      <c r="AA360" s="0" t="inlineStr">
        <is>
          <t>Peso</t>
        </is>
      </c>
      <c r="AB3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0" s="53">
        <f>IF(OR(TRIM(INDIRECT("B"&amp;ROW())) &lt;&gt; "",TRIM(INDIRECT("A"&amp;ROW())) &lt;&gt; ""),AND(TRIM(INDIRECT("A"&amp;ROW())) &lt;&gt; "",TRIM(INDIRECT("D"&amp;ROW())) = "nuevo"),"")</f>
        <v/>
      </c>
    </row>
    <row r="361" ht="27.5" customHeight="1" s="62">
      <c r="B361" t="inlineStr">
        <is>
          <t>Moneda Argentina 20 Centavos 1912</t>
        </is>
      </c>
      <c r="C361" s="0">
        <f>LEN(INDIRECT(ADDRESS(ROW() + (0),COLUMN() + (-1))))</f>
        <v/>
      </c>
      <c r="D361" s="0" t="inlineStr">
        <is>
          <t>Usado</t>
        </is>
      </c>
      <c r="E361" s="38" t="inlineStr">
        <is>
          <t>https://numismaticapopper.com/images/767A.jpeg,https://numismaticapopper.com/images/767B.jpeg</t>
        </is>
      </c>
      <c r="F361" t="inlineStr">
        <is>
          <t>767</t>
        </is>
      </c>
      <c r="G361" s="40" t="n">
        <v>1</v>
      </c>
      <c r="H361" t="n">
        <v>9000</v>
      </c>
      <c r="I361" t="inlineStr">
        <is>
          <t>Referencia de catalogo: CJ# 63
Material: Cuproníquel</t>
        </is>
      </c>
      <c r="J361" s="31">
        <f>IF(INDIRECT(ADDRESS(ROW() + (0),COLUMN() + (1)))="Agregar cuotas", IF(("16%")="", "-", "16%"), IF(INDIRECT(ADDRESS(ROW() + (0),COLUMN() + (1)))="No agregar cuotas", IF(("16%")="", "-", "16%"), "-"))</f>
        <v/>
      </c>
      <c r="K361" s="0" t="inlineStr">
        <is>
          <t>No agregar cuotas</t>
        </is>
      </c>
      <c r="L361" s="31">
        <f>IF(INDIRECT(ADDRESS(ROW() + (0),COLUMN() + (-1)))="Agregar cuotas", IF(("13.4%")="", "Sin costo", "13.4%"), IF(INDIRECT(ADDRESS(ROW() + (0),COLUMN() + (-1)))="No agregar cuotas", IF(("")="", "Sin costo", ""), "-"))</f>
        <v/>
      </c>
      <c r="M361" s="0" t="inlineStr">
        <is>
          <t>Mercado Envíos</t>
        </is>
      </c>
      <c r="N361" s="0" t="inlineStr">
        <is>
          <t>A cargo del comprador</t>
        </is>
      </c>
      <c r="O361" s="0" t="inlineStr">
        <is>
          <t>Acepto</t>
        </is>
      </c>
      <c r="P361" s="47" t="inlineStr">
        <is>
          <t>Sin garantía</t>
        </is>
      </c>
      <c r="R361" s="0" t="inlineStr">
        <is>
          <t>Seleccionar</t>
        </is>
      </c>
      <c r="S361" s="0" t="inlineStr">
        <is>
          <t>No ofrezco</t>
        </is>
      </c>
      <c r="T361" t="n">
        <v>1912</v>
      </c>
      <c r="U361" s="0" t="inlineStr">
        <is>
          <t>Argentina</t>
        </is>
      </c>
      <c r="X361" s="0" t="inlineStr">
        <is>
          <t>Níquel</t>
        </is>
      </c>
      <c r="Z361" t="inlineStr">
        <is>
          <t>20 Centavos</t>
        </is>
      </c>
      <c r="AA361" s="0" t="inlineStr">
        <is>
          <t>Peso</t>
        </is>
      </c>
      <c r="AB3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1" s="53">
        <f>IF(OR(TRIM(INDIRECT("B"&amp;ROW())) &lt;&gt; "",TRIM(INDIRECT("A"&amp;ROW())) &lt;&gt; ""),AND(TRIM(INDIRECT("A"&amp;ROW())) &lt;&gt; "",TRIM(INDIRECT("D"&amp;ROW())) = "nuevo"),"")</f>
        <v/>
      </c>
    </row>
    <row r="362" ht="27.5" customHeight="1" s="62">
      <c r="B362" t="inlineStr">
        <is>
          <t>Moneda Argentina 20 Centavos 1911</t>
        </is>
      </c>
      <c r="C362" s="0">
        <f>LEN(INDIRECT(ADDRESS(ROW() + (0),COLUMN() + (-1))))</f>
        <v/>
      </c>
      <c r="D362" s="0" t="inlineStr">
        <is>
          <t>Usado</t>
        </is>
      </c>
      <c r="E362" s="38" t="inlineStr">
        <is>
          <t>https://numismaticapopper.com/images/768A.jpeg,https://numismaticapopper.com/images/768B.jpeg</t>
        </is>
      </c>
      <c r="F362" t="inlineStr">
        <is>
          <t>768</t>
        </is>
      </c>
      <c r="G362" s="40" t="n">
        <v>1</v>
      </c>
      <c r="H362" t="n">
        <v>15000</v>
      </c>
      <c r="I362" t="inlineStr">
        <is>
          <t>Referencia de catalogo: CJ# 62
Material: Cuproníquel</t>
        </is>
      </c>
      <c r="J362" s="31">
        <f>IF(INDIRECT(ADDRESS(ROW() + (0),COLUMN() + (1)))="Agregar cuotas", IF(("16%")="", "-", "16%"), IF(INDIRECT(ADDRESS(ROW() + (0),COLUMN() + (1)))="No agregar cuotas", IF(("16%")="", "-", "16%"), "-"))</f>
        <v/>
      </c>
      <c r="K362" s="0" t="inlineStr">
        <is>
          <t>No agregar cuotas</t>
        </is>
      </c>
      <c r="L362" s="31">
        <f>IF(INDIRECT(ADDRESS(ROW() + (0),COLUMN() + (-1)))="Agregar cuotas", IF(("13.4%")="", "Sin costo", "13.4%"), IF(INDIRECT(ADDRESS(ROW() + (0),COLUMN() + (-1)))="No agregar cuotas", IF(("")="", "Sin costo", ""), "-"))</f>
        <v/>
      </c>
      <c r="M362" s="0" t="inlineStr">
        <is>
          <t>Mercado Envíos</t>
        </is>
      </c>
      <c r="N362" s="0" t="inlineStr">
        <is>
          <t>A cargo del comprador</t>
        </is>
      </c>
      <c r="O362" s="0" t="inlineStr">
        <is>
          <t>Acepto</t>
        </is>
      </c>
      <c r="P362" s="47" t="inlineStr">
        <is>
          <t>Sin garantía</t>
        </is>
      </c>
      <c r="R362" s="0" t="inlineStr">
        <is>
          <t>Seleccionar</t>
        </is>
      </c>
      <c r="S362" s="0" t="inlineStr">
        <is>
          <t>No ofrezco</t>
        </is>
      </c>
      <c r="T362" t="n">
        <v>1911</v>
      </c>
      <c r="U362" s="0" t="inlineStr">
        <is>
          <t>Argentina</t>
        </is>
      </c>
      <c r="X362" s="0" t="inlineStr">
        <is>
          <t>Níquel</t>
        </is>
      </c>
      <c r="Z362" t="inlineStr">
        <is>
          <t>20 Centavos</t>
        </is>
      </c>
      <c r="AA362" s="0" t="inlineStr">
        <is>
          <t>Peso</t>
        </is>
      </c>
      <c r="AB3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2" s="53">
        <f>IF(OR(TRIM(INDIRECT("B"&amp;ROW())) &lt;&gt; "",TRIM(INDIRECT("A"&amp;ROW())) &lt;&gt; ""),AND(TRIM(INDIRECT("A"&amp;ROW())) &lt;&gt; "",TRIM(INDIRECT("D"&amp;ROW())) = "nuevo"),"")</f>
        <v/>
      </c>
    </row>
    <row r="363" ht="27.5" customHeight="1" s="62">
      <c r="B363" t="inlineStr">
        <is>
          <t>Moneda Argentina 20 Centavos 1911</t>
        </is>
      </c>
      <c r="C363" s="0">
        <f>LEN(INDIRECT(ADDRESS(ROW() + (0),COLUMN() + (-1))))</f>
        <v/>
      </c>
      <c r="D363" s="0" t="inlineStr">
        <is>
          <t>Usado</t>
        </is>
      </c>
      <c r="E363" s="38" t="inlineStr">
        <is>
          <t>https://numismaticapopper.com/images/769A.jpeg,https://numismaticapopper.com/images/769B.jpeg</t>
        </is>
      </c>
      <c r="F363" t="inlineStr">
        <is>
          <t>769</t>
        </is>
      </c>
      <c r="G363" s="40" t="n">
        <v>1</v>
      </c>
      <c r="H363" t="n">
        <v>11000</v>
      </c>
      <c r="I363" t="inlineStr">
        <is>
          <t>Referencia de catalogo: CJ# 62
Material: Cuproníquel</t>
        </is>
      </c>
      <c r="J363" s="31">
        <f>IF(INDIRECT(ADDRESS(ROW() + (0),COLUMN() + (1)))="Agregar cuotas", IF(("16%")="", "-", "16%"), IF(INDIRECT(ADDRESS(ROW() + (0),COLUMN() + (1)))="No agregar cuotas", IF(("16%")="", "-", "16%"), "-"))</f>
        <v/>
      </c>
      <c r="K363" s="0" t="inlineStr">
        <is>
          <t>No agregar cuotas</t>
        </is>
      </c>
      <c r="L363" s="31">
        <f>IF(INDIRECT(ADDRESS(ROW() + (0),COLUMN() + (-1)))="Agregar cuotas", IF(("13.4%")="", "Sin costo", "13.4%"), IF(INDIRECT(ADDRESS(ROW() + (0),COLUMN() + (-1)))="No agregar cuotas", IF(("")="", "Sin costo", ""), "-"))</f>
        <v/>
      </c>
      <c r="M363" s="0" t="inlineStr">
        <is>
          <t>Mercado Envíos</t>
        </is>
      </c>
      <c r="N363" s="0" t="inlineStr">
        <is>
          <t>A cargo del comprador</t>
        </is>
      </c>
      <c r="O363" s="0" t="inlineStr">
        <is>
          <t>Acepto</t>
        </is>
      </c>
      <c r="P363" s="47" t="inlineStr">
        <is>
          <t>Sin garantía</t>
        </is>
      </c>
      <c r="R363" s="0" t="inlineStr">
        <is>
          <t>Seleccionar</t>
        </is>
      </c>
      <c r="S363" s="0" t="inlineStr">
        <is>
          <t>No ofrezco</t>
        </is>
      </c>
      <c r="T363" t="n">
        <v>1911</v>
      </c>
      <c r="U363" s="0" t="inlineStr">
        <is>
          <t>Argentina</t>
        </is>
      </c>
      <c r="X363" s="0" t="inlineStr">
        <is>
          <t>Níquel</t>
        </is>
      </c>
      <c r="Z363" t="inlineStr">
        <is>
          <t>20 Centavos</t>
        </is>
      </c>
      <c r="AA363" s="0" t="inlineStr">
        <is>
          <t>Peso</t>
        </is>
      </c>
      <c r="AB3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3" s="53">
        <f>IF(OR(TRIM(INDIRECT("B"&amp;ROW())) &lt;&gt; "",TRIM(INDIRECT("A"&amp;ROW())) &lt;&gt; ""),AND(TRIM(INDIRECT("A"&amp;ROW())) &lt;&gt; "",TRIM(INDIRECT("D"&amp;ROW())) = "nuevo"),"")</f>
        <v/>
      </c>
    </row>
    <row r="364" ht="27.5" customHeight="1" s="62">
      <c r="B364" t="inlineStr">
        <is>
          <t>Moneda Argentina 20 Centavos 1909</t>
        </is>
      </c>
      <c r="C364" s="0">
        <f>LEN(INDIRECT(ADDRESS(ROW() + (0),COLUMN() + (-1))))</f>
        <v/>
      </c>
      <c r="D364" s="0" t="inlineStr">
        <is>
          <t>Usado</t>
        </is>
      </c>
      <c r="E364" s="38" t="inlineStr">
        <is>
          <t>https://numismaticapopper.com/images/770A.jpeg,https://numismaticapopper.com/images/770B.jpeg</t>
        </is>
      </c>
      <c r="F364" t="inlineStr">
        <is>
          <t>770</t>
        </is>
      </c>
      <c r="G364" s="40" t="n">
        <v>1</v>
      </c>
      <c r="H364" t="n">
        <v>8000</v>
      </c>
      <c r="I364" t="inlineStr">
        <is>
          <t>Referencia de catalogo: CJ# 60
Material: Cuproníquel</t>
        </is>
      </c>
      <c r="J364" s="31">
        <f>IF(INDIRECT(ADDRESS(ROW() + (0),COLUMN() + (1)))="Agregar cuotas", IF(("16%")="", "-", "16%"), IF(INDIRECT(ADDRESS(ROW() + (0),COLUMN() + (1)))="No agregar cuotas", IF(("16%")="", "-", "16%"), "-"))</f>
        <v/>
      </c>
      <c r="K364" s="0" t="inlineStr">
        <is>
          <t>No agregar cuotas</t>
        </is>
      </c>
      <c r="L364" s="31">
        <f>IF(INDIRECT(ADDRESS(ROW() + (0),COLUMN() + (-1)))="Agregar cuotas", IF(("13.4%")="", "Sin costo", "13.4%"), IF(INDIRECT(ADDRESS(ROW() + (0),COLUMN() + (-1)))="No agregar cuotas", IF(("")="", "Sin costo", ""), "-"))</f>
        <v/>
      </c>
      <c r="M364" s="0" t="inlineStr">
        <is>
          <t>Mercado Envíos</t>
        </is>
      </c>
      <c r="N364" s="0" t="inlineStr">
        <is>
          <t>A cargo del comprador</t>
        </is>
      </c>
      <c r="O364" s="0" t="inlineStr">
        <is>
          <t>Acepto</t>
        </is>
      </c>
      <c r="P364" s="47" t="inlineStr">
        <is>
          <t>Sin garantía</t>
        </is>
      </c>
      <c r="R364" s="0" t="inlineStr">
        <is>
          <t>Seleccionar</t>
        </is>
      </c>
      <c r="S364" s="0" t="inlineStr">
        <is>
          <t>No ofrezco</t>
        </is>
      </c>
      <c r="T364" t="n">
        <v>1909</v>
      </c>
      <c r="U364" s="0" t="inlineStr">
        <is>
          <t>Argentina</t>
        </is>
      </c>
      <c r="X364" s="0" t="inlineStr">
        <is>
          <t>Níquel</t>
        </is>
      </c>
      <c r="Z364" t="inlineStr">
        <is>
          <t>20 Centavos</t>
        </is>
      </c>
      <c r="AA364" s="0" t="inlineStr">
        <is>
          <t>Peso</t>
        </is>
      </c>
      <c r="AB3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4" s="53">
        <f>IF(OR(TRIM(INDIRECT("B"&amp;ROW())) &lt;&gt; "",TRIM(INDIRECT("A"&amp;ROW())) &lt;&gt; ""),AND(TRIM(INDIRECT("A"&amp;ROW())) &lt;&gt; "",TRIM(INDIRECT("D"&amp;ROW())) = "nuevo"),"")</f>
        <v/>
      </c>
    </row>
    <row r="365" ht="27.5" customHeight="1" s="62">
      <c r="B365" t="inlineStr">
        <is>
          <t>Moneda Argentina 20 Centavos 1909</t>
        </is>
      </c>
      <c r="C365" s="0">
        <f>LEN(INDIRECT(ADDRESS(ROW() + (0),COLUMN() + (-1))))</f>
        <v/>
      </c>
      <c r="D365" s="0" t="inlineStr">
        <is>
          <t>Usado</t>
        </is>
      </c>
      <c r="E365" s="38" t="inlineStr">
        <is>
          <t>https://numismaticapopper.com/images/771A.jpeg,https://numismaticapopper.com/images/771B.jpeg</t>
        </is>
      </c>
      <c r="F365" t="inlineStr">
        <is>
          <t>771</t>
        </is>
      </c>
      <c r="G365" s="40" t="n">
        <v>1</v>
      </c>
      <c r="H365" t="n">
        <v>6000</v>
      </c>
      <c r="I365" t="inlineStr">
        <is>
          <t>Referencia de catalogo: CJ# 60
Material: Cuproníquel</t>
        </is>
      </c>
      <c r="J365" s="31">
        <f>IF(INDIRECT(ADDRESS(ROW() + (0),COLUMN() + (1)))="Agregar cuotas", IF(("16%")="", "-", "16%"), IF(INDIRECT(ADDRESS(ROW() + (0),COLUMN() + (1)))="No agregar cuotas", IF(("16%")="", "-", "16%"), "-"))</f>
        <v/>
      </c>
      <c r="K365" s="0" t="inlineStr">
        <is>
          <t>No agregar cuotas</t>
        </is>
      </c>
      <c r="L365" s="31">
        <f>IF(INDIRECT(ADDRESS(ROW() + (0),COLUMN() + (-1)))="Agregar cuotas", IF(("13.4%")="", "Sin costo", "13.4%"), IF(INDIRECT(ADDRESS(ROW() + (0),COLUMN() + (-1)))="No agregar cuotas", IF(("")="", "Sin costo", ""), "-"))</f>
        <v/>
      </c>
      <c r="M365" s="0" t="inlineStr">
        <is>
          <t>Mercado Envíos</t>
        </is>
      </c>
      <c r="N365" s="0" t="inlineStr">
        <is>
          <t>A cargo del comprador</t>
        </is>
      </c>
      <c r="O365" s="0" t="inlineStr">
        <is>
          <t>Acepto</t>
        </is>
      </c>
      <c r="P365" s="47" t="inlineStr">
        <is>
          <t>Sin garantía</t>
        </is>
      </c>
      <c r="R365" s="0" t="inlineStr">
        <is>
          <t>Seleccionar</t>
        </is>
      </c>
      <c r="S365" s="0" t="inlineStr">
        <is>
          <t>No ofrezco</t>
        </is>
      </c>
      <c r="T365" t="n">
        <v>1909</v>
      </c>
      <c r="U365" s="0" t="inlineStr">
        <is>
          <t>Argentina</t>
        </is>
      </c>
      <c r="X365" s="0" t="inlineStr">
        <is>
          <t>Níquel</t>
        </is>
      </c>
      <c r="Z365" t="inlineStr">
        <is>
          <t>20 Centavos</t>
        </is>
      </c>
      <c r="AA365" s="0" t="inlineStr">
        <is>
          <t>Peso</t>
        </is>
      </c>
      <c r="AB3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5" s="53">
        <f>IF(OR(TRIM(INDIRECT("B"&amp;ROW())) &lt;&gt; "",TRIM(INDIRECT("A"&amp;ROW())) &lt;&gt; ""),AND(TRIM(INDIRECT("A"&amp;ROW())) &lt;&gt; "",TRIM(INDIRECT("D"&amp;ROW())) = "nuevo"),"")</f>
        <v/>
      </c>
    </row>
    <row r="366" ht="27.5" customHeight="1" s="62">
      <c r="B366" t="inlineStr">
        <is>
          <t>Moneda Argentina 20 Centavos 1905</t>
        </is>
      </c>
      <c r="C366" s="0">
        <f>LEN(INDIRECT(ADDRESS(ROW() + (0),COLUMN() + (-1))))</f>
        <v/>
      </c>
      <c r="D366" s="0" t="inlineStr">
        <is>
          <t>Usado</t>
        </is>
      </c>
      <c r="E366" s="38" t="inlineStr">
        <is>
          <t>https://numismaticapopper.com/images/772A.jpeg,https://numismaticapopper.com/images/772B.jpeg</t>
        </is>
      </c>
      <c r="F366" t="inlineStr">
        <is>
          <t>772</t>
        </is>
      </c>
      <c r="G366" s="40" t="n">
        <v>1</v>
      </c>
      <c r="H366" t="n">
        <v>11000</v>
      </c>
      <c r="I366" t="inlineStr">
        <is>
          <t>Referencia de catalogo: CJ# 56
Material: Cuproníquel</t>
        </is>
      </c>
      <c r="J366" s="31">
        <f>IF(INDIRECT(ADDRESS(ROW() + (0),COLUMN() + (1)))="Agregar cuotas", IF(("16%")="", "-", "16%"), IF(INDIRECT(ADDRESS(ROW() + (0),COLUMN() + (1)))="No agregar cuotas", IF(("16%")="", "-", "16%"), "-"))</f>
        <v/>
      </c>
      <c r="K366" s="0" t="inlineStr">
        <is>
          <t>No agregar cuotas</t>
        </is>
      </c>
      <c r="L366" s="31">
        <f>IF(INDIRECT(ADDRESS(ROW() + (0),COLUMN() + (-1)))="Agregar cuotas", IF(("13.4%")="", "Sin costo", "13.4%"), IF(INDIRECT(ADDRESS(ROW() + (0),COLUMN() + (-1)))="No agregar cuotas", IF(("")="", "Sin costo", ""), "-"))</f>
        <v/>
      </c>
      <c r="M366" s="0" t="inlineStr">
        <is>
          <t>Mercado Envíos</t>
        </is>
      </c>
      <c r="N366" s="0" t="inlineStr">
        <is>
          <t>A cargo del comprador</t>
        </is>
      </c>
      <c r="O366" s="0" t="inlineStr">
        <is>
          <t>Acepto</t>
        </is>
      </c>
      <c r="P366" s="47" t="inlineStr">
        <is>
          <t>Sin garantía</t>
        </is>
      </c>
      <c r="R366" s="0" t="inlineStr">
        <is>
          <t>Seleccionar</t>
        </is>
      </c>
      <c r="S366" s="0" t="inlineStr">
        <is>
          <t>No ofrezco</t>
        </is>
      </c>
      <c r="T366" t="n">
        <v>1905</v>
      </c>
      <c r="U366" s="0" t="inlineStr">
        <is>
          <t>Argentina</t>
        </is>
      </c>
      <c r="X366" s="0" t="inlineStr">
        <is>
          <t>Níquel</t>
        </is>
      </c>
      <c r="Z366" t="inlineStr">
        <is>
          <t>20 Centavos</t>
        </is>
      </c>
      <c r="AA366" s="0" t="inlineStr">
        <is>
          <t>Peso</t>
        </is>
      </c>
      <c r="AB3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6" s="53">
        <f>IF(OR(TRIM(INDIRECT("B"&amp;ROW())) &lt;&gt; "",TRIM(INDIRECT("A"&amp;ROW())) &lt;&gt; ""),AND(TRIM(INDIRECT("A"&amp;ROW())) &lt;&gt; "",TRIM(INDIRECT("D"&amp;ROW())) = "nuevo"),"")</f>
        <v/>
      </c>
    </row>
    <row r="367" ht="27.5" customHeight="1" s="62">
      <c r="B367" t="inlineStr">
        <is>
          <t>Moneda Argentina 20 Centavos 1905</t>
        </is>
      </c>
      <c r="C367" s="0">
        <f>LEN(INDIRECT(ADDRESS(ROW() + (0),COLUMN() + (-1))))</f>
        <v/>
      </c>
      <c r="D367" s="0" t="inlineStr">
        <is>
          <t>Usado</t>
        </is>
      </c>
      <c r="E367" s="38" t="inlineStr">
        <is>
          <t>https://numismaticapopper.com/images/773A.jpeg,https://numismaticapopper.com/images/773B.jpeg</t>
        </is>
      </c>
      <c r="F367" t="inlineStr">
        <is>
          <t>773</t>
        </is>
      </c>
      <c r="G367" s="40" t="n">
        <v>1</v>
      </c>
      <c r="H367" t="n">
        <v>8000</v>
      </c>
      <c r="I367" t="inlineStr">
        <is>
          <t>Referencia de catalogo: CJ# 56
Material: Cuproníquel</t>
        </is>
      </c>
      <c r="J367" s="31">
        <f>IF(INDIRECT(ADDRESS(ROW() + (0),COLUMN() + (1)))="Agregar cuotas", IF(("16%")="", "-", "16%"), IF(INDIRECT(ADDRESS(ROW() + (0),COLUMN() + (1)))="No agregar cuotas", IF(("16%")="", "-", "16%"), "-"))</f>
        <v/>
      </c>
      <c r="K367" s="0" t="inlineStr">
        <is>
          <t>No agregar cuotas</t>
        </is>
      </c>
      <c r="L367" s="31">
        <f>IF(INDIRECT(ADDRESS(ROW() + (0),COLUMN() + (-1)))="Agregar cuotas", IF(("13.4%")="", "Sin costo", "13.4%"), IF(INDIRECT(ADDRESS(ROW() + (0),COLUMN() + (-1)))="No agregar cuotas", IF(("")="", "Sin costo", ""), "-"))</f>
        <v/>
      </c>
      <c r="M367" s="0" t="inlineStr">
        <is>
          <t>Mercado Envíos</t>
        </is>
      </c>
      <c r="N367" s="0" t="inlineStr">
        <is>
          <t>A cargo del comprador</t>
        </is>
      </c>
      <c r="O367" s="0" t="inlineStr">
        <is>
          <t>Acepto</t>
        </is>
      </c>
      <c r="P367" s="47" t="inlineStr">
        <is>
          <t>Sin garantía</t>
        </is>
      </c>
      <c r="R367" s="0" t="inlineStr">
        <is>
          <t>Seleccionar</t>
        </is>
      </c>
      <c r="S367" s="0" t="inlineStr">
        <is>
          <t>No ofrezco</t>
        </is>
      </c>
      <c r="T367" t="n">
        <v>1905</v>
      </c>
      <c r="U367" s="0" t="inlineStr">
        <is>
          <t>Argentina</t>
        </is>
      </c>
      <c r="X367" s="0" t="inlineStr">
        <is>
          <t>Níquel</t>
        </is>
      </c>
      <c r="Z367" t="inlineStr">
        <is>
          <t>20 Centavos</t>
        </is>
      </c>
      <c r="AA367" s="0" t="inlineStr">
        <is>
          <t>Peso</t>
        </is>
      </c>
      <c r="AB3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7" s="53">
        <f>IF(OR(TRIM(INDIRECT("B"&amp;ROW())) &lt;&gt; "",TRIM(INDIRECT("A"&amp;ROW())) &lt;&gt; ""),AND(TRIM(INDIRECT("A"&amp;ROW())) &lt;&gt; "",TRIM(INDIRECT("D"&amp;ROW())) = "nuevo"),"")</f>
        <v/>
      </c>
    </row>
    <row r="368" ht="27.5" customHeight="1" s="62">
      <c r="B368" t="inlineStr">
        <is>
          <t>Moneda Argentina 20 Centavos 1898</t>
        </is>
      </c>
      <c r="C368" s="0">
        <f>LEN(INDIRECT(ADDRESS(ROW() + (0),COLUMN() + (-1))))</f>
        <v/>
      </c>
      <c r="D368" s="0" t="inlineStr">
        <is>
          <t>Usado</t>
        </is>
      </c>
      <c r="E368" s="38" t="inlineStr">
        <is>
          <t>https://numismaticapopper.com/images/774A.jpeg,https://numismaticapopper.com/images/774B.jpeg</t>
        </is>
      </c>
      <c r="F368" t="inlineStr">
        <is>
          <t>774</t>
        </is>
      </c>
      <c r="G368" s="40" t="n">
        <v>1</v>
      </c>
      <c r="H368" t="n">
        <v>13000</v>
      </c>
      <c r="I368" t="inlineStr">
        <is>
          <t>Referencia de catalogo: CJ# 54
Material: Cuproníquel</t>
        </is>
      </c>
      <c r="J368" s="31">
        <f>IF(INDIRECT(ADDRESS(ROW() + (0),COLUMN() + (1)))="Agregar cuotas", IF(("16%")="", "-", "16%"), IF(INDIRECT(ADDRESS(ROW() + (0),COLUMN() + (1)))="No agregar cuotas", IF(("16%")="", "-", "16%"), "-"))</f>
        <v/>
      </c>
      <c r="K368" s="0" t="inlineStr">
        <is>
          <t>No agregar cuotas</t>
        </is>
      </c>
      <c r="L368" s="31">
        <f>IF(INDIRECT(ADDRESS(ROW() + (0),COLUMN() + (-1)))="Agregar cuotas", IF(("13.4%")="", "Sin costo", "13.4%"), IF(INDIRECT(ADDRESS(ROW() + (0),COLUMN() + (-1)))="No agregar cuotas", IF(("")="", "Sin costo", ""), "-"))</f>
        <v/>
      </c>
      <c r="M368" s="0" t="inlineStr">
        <is>
          <t>Mercado Envíos</t>
        </is>
      </c>
      <c r="N368" s="0" t="inlineStr">
        <is>
          <t>A cargo del comprador</t>
        </is>
      </c>
      <c r="O368" s="0" t="inlineStr">
        <is>
          <t>Acepto</t>
        </is>
      </c>
      <c r="P368" s="47" t="inlineStr">
        <is>
          <t>Sin garantía</t>
        </is>
      </c>
      <c r="R368" s="0" t="inlineStr">
        <is>
          <t>Seleccionar</t>
        </is>
      </c>
      <c r="S368" s="0" t="inlineStr">
        <is>
          <t>No ofrezco</t>
        </is>
      </c>
      <c r="T368" t="n">
        <v>1898</v>
      </c>
      <c r="U368" s="0" t="inlineStr">
        <is>
          <t>Argentina</t>
        </is>
      </c>
      <c r="X368" s="0" t="inlineStr">
        <is>
          <t>Níquel</t>
        </is>
      </c>
      <c r="Z368" t="inlineStr">
        <is>
          <t>20 Centavos</t>
        </is>
      </c>
      <c r="AA368" s="0" t="inlineStr">
        <is>
          <t>Peso</t>
        </is>
      </c>
      <c r="AB3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8" s="53">
        <f>IF(OR(TRIM(INDIRECT("B"&amp;ROW())) &lt;&gt; "",TRIM(INDIRECT("A"&amp;ROW())) &lt;&gt; ""),AND(TRIM(INDIRECT("A"&amp;ROW())) &lt;&gt; "",TRIM(INDIRECT("D"&amp;ROW())) = "nuevo"),"")</f>
        <v/>
      </c>
    </row>
    <row r="369" ht="27.5" customHeight="1" s="62">
      <c r="B369" t="inlineStr">
        <is>
          <t>Moneda Argentina 20 Centavos 1896</t>
        </is>
      </c>
      <c r="C369" s="0">
        <f>LEN(INDIRECT(ADDRESS(ROW() + (0),COLUMN() + (-1))))</f>
        <v/>
      </c>
      <c r="D369" s="0" t="inlineStr">
        <is>
          <t>Usado</t>
        </is>
      </c>
      <c r="E369" s="38" t="inlineStr">
        <is>
          <t>https://numismaticapopper.com/images/775A.jpeg,https://numismaticapopper.com/images/775B.jpeg</t>
        </is>
      </c>
      <c r="F369" t="inlineStr">
        <is>
          <t>775</t>
        </is>
      </c>
      <c r="G369" s="40" t="n">
        <v>1</v>
      </c>
      <c r="H369" t="n">
        <v>11000</v>
      </c>
      <c r="I369" t="inlineStr">
        <is>
          <t>Referencia de catalogo: CJ# 52
Material: Cuproníquel</t>
        </is>
      </c>
      <c r="J369" s="31">
        <f>IF(INDIRECT(ADDRESS(ROW() + (0),COLUMN() + (1)))="Agregar cuotas", IF(("16%")="", "-", "16%"), IF(INDIRECT(ADDRESS(ROW() + (0),COLUMN() + (1)))="No agregar cuotas", IF(("16%")="", "-", "16%"), "-"))</f>
        <v/>
      </c>
      <c r="K369" s="0" t="inlineStr">
        <is>
          <t>No agregar cuotas</t>
        </is>
      </c>
      <c r="L369" s="31">
        <f>IF(INDIRECT(ADDRESS(ROW() + (0),COLUMN() + (-1)))="Agregar cuotas", IF(("13.4%")="", "Sin costo", "13.4%"), IF(INDIRECT(ADDRESS(ROW() + (0),COLUMN() + (-1)))="No agregar cuotas", IF(("")="", "Sin costo", ""), "-"))</f>
        <v/>
      </c>
      <c r="M369" s="0" t="inlineStr">
        <is>
          <t>Mercado Envíos</t>
        </is>
      </c>
      <c r="N369" s="0" t="inlineStr">
        <is>
          <t>A cargo del comprador</t>
        </is>
      </c>
      <c r="O369" s="0" t="inlineStr">
        <is>
          <t>Acepto</t>
        </is>
      </c>
      <c r="P369" s="47" t="inlineStr">
        <is>
          <t>Sin garantía</t>
        </is>
      </c>
      <c r="R369" s="0" t="inlineStr">
        <is>
          <t>Seleccionar</t>
        </is>
      </c>
      <c r="S369" s="0" t="inlineStr">
        <is>
          <t>No ofrezco</t>
        </is>
      </c>
      <c r="T369" t="n">
        <v>1896</v>
      </c>
      <c r="U369" s="0" t="inlineStr">
        <is>
          <t>Argentina</t>
        </is>
      </c>
      <c r="X369" s="0" t="inlineStr">
        <is>
          <t>Níquel</t>
        </is>
      </c>
      <c r="Z369" t="inlineStr">
        <is>
          <t>20 Centavos</t>
        </is>
      </c>
      <c r="AA369" s="0" t="inlineStr">
        <is>
          <t>Peso</t>
        </is>
      </c>
      <c r="AB3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69" s="53">
        <f>IF(OR(TRIM(INDIRECT("B"&amp;ROW())) &lt;&gt; "",TRIM(INDIRECT("A"&amp;ROW())) &lt;&gt; ""),AND(TRIM(INDIRECT("A"&amp;ROW())) &lt;&gt; "",TRIM(INDIRECT("D"&amp;ROW())) = "nuevo"),"")</f>
        <v/>
      </c>
    </row>
    <row r="370" ht="27.5" customHeight="1" s="62">
      <c r="B370" t="inlineStr">
        <is>
          <t>Moneda Argentina 20 Centavos 1896</t>
        </is>
      </c>
      <c r="C370" s="0">
        <f>LEN(INDIRECT(ADDRESS(ROW() + (0),COLUMN() + (-1))))</f>
        <v/>
      </c>
      <c r="D370" s="0" t="inlineStr">
        <is>
          <t>Usado</t>
        </is>
      </c>
      <c r="E370" s="38" t="inlineStr">
        <is>
          <t>https://numismaticapopper.com/images/776A.jpeg,https://numismaticapopper.com/images/776B.jpeg</t>
        </is>
      </c>
      <c r="F370" t="inlineStr">
        <is>
          <t>776</t>
        </is>
      </c>
      <c r="G370" s="40" t="n">
        <v>1</v>
      </c>
      <c r="H370" t="n">
        <v>7000</v>
      </c>
      <c r="I370" t="inlineStr">
        <is>
          <t>Referencia de catalogo: CJ# 52
Material: Cuproníquel</t>
        </is>
      </c>
      <c r="J370" s="31">
        <f>IF(INDIRECT(ADDRESS(ROW() + (0),COLUMN() + (1)))="Agregar cuotas", IF(("16%")="", "-", "16%"), IF(INDIRECT(ADDRESS(ROW() + (0),COLUMN() + (1)))="No agregar cuotas", IF(("16%")="", "-", "16%"), "-"))</f>
        <v/>
      </c>
      <c r="K370" s="0" t="inlineStr">
        <is>
          <t>No agregar cuotas</t>
        </is>
      </c>
      <c r="L370" s="31">
        <f>IF(INDIRECT(ADDRESS(ROW() + (0),COLUMN() + (-1)))="Agregar cuotas", IF(("13.4%")="", "Sin costo", "13.4%"), IF(INDIRECT(ADDRESS(ROW() + (0),COLUMN() + (-1)))="No agregar cuotas", IF(("")="", "Sin costo", ""), "-"))</f>
        <v/>
      </c>
      <c r="M370" s="0" t="inlineStr">
        <is>
          <t>Mercado Envíos</t>
        </is>
      </c>
      <c r="N370" s="0" t="inlineStr">
        <is>
          <t>A cargo del comprador</t>
        </is>
      </c>
      <c r="O370" s="0" t="inlineStr">
        <is>
          <t>Acepto</t>
        </is>
      </c>
      <c r="P370" s="47" t="inlineStr">
        <is>
          <t>Sin garantía</t>
        </is>
      </c>
      <c r="R370" s="0" t="inlineStr">
        <is>
          <t>Seleccionar</t>
        </is>
      </c>
      <c r="S370" s="0" t="inlineStr">
        <is>
          <t>No ofrezco</t>
        </is>
      </c>
      <c r="T370" t="n">
        <v>1896</v>
      </c>
      <c r="U370" s="0" t="inlineStr">
        <is>
          <t>Argentina</t>
        </is>
      </c>
      <c r="X370" s="0" t="inlineStr">
        <is>
          <t>Níquel</t>
        </is>
      </c>
      <c r="Z370" t="inlineStr">
        <is>
          <t>20 Centavos</t>
        </is>
      </c>
      <c r="AA370" s="0" t="inlineStr">
        <is>
          <t>Peso</t>
        </is>
      </c>
      <c r="AB3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0" s="53">
        <f>IF(OR(TRIM(INDIRECT("B"&amp;ROW())) &lt;&gt; "",TRIM(INDIRECT("A"&amp;ROW())) &lt;&gt; ""),AND(TRIM(INDIRECT("A"&amp;ROW())) &lt;&gt; "",TRIM(INDIRECT("D"&amp;ROW())) = "nuevo"),"")</f>
        <v/>
      </c>
    </row>
    <row r="371" ht="27.5" customHeight="1" s="62">
      <c r="B371" t="inlineStr">
        <is>
          <t>Moneda Argentina 2 Centavos 1890</t>
        </is>
      </c>
      <c r="C371" s="0">
        <f>LEN(INDIRECT(ADDRESS(ROW() + (0),COLUMN() + (-1))))</f>
        <v/>
      </c>
      <c r="D371" s="0" t="inlineStr">
        <is>
          <t>Usado</t>
        </is>
      </c>
      <c r="E371" s="38" t="inlineStr">
        <is>
          <t>https://numismaticapopper.com/images/780A.jpeg,https://numismaticapopper.com/images/780B.jpeg</t>
        </is>
      </c>
      <c r="F371" t="inlineStr">
        <is>
          <t>780</t>
        </is>
      </c>
      <c r="G371" s="40" t="n">
        <v>1</v>
      </c>
      <c r="H371" t="n">
        <v>9000</v>
      </c>
      <c r="I371" t="inlineStr">
        <is>
          <t>Estado de conservacion: Muy Buena -
Referencia de catalogo: CJ# 31
Material: Bronce
Peso: 10.0 g
Diametro: 30.0 mm</t>
        </is>
      </c>
      <c r="J371" s="31">
        <f>IF(INDIRECT(ADDRESS(ROW() + (0),COLUMN() + (1)))="Agregar cuotas", IF(("16%")="", "-", "16%"), IF(INDIRECT(ADDRESS(ROW() + (0),COLUMN() + (1)))="No agregar cuotas", IF(("16%")="", "-", "16%"), "-"))</f>
        <v/>
      </c>
      <c r="K371" s="0" t="inlineStr">
        <is>
          <t>No agregar cuotas</t>
        </is>
      </c>
      <c r="L371" s="31">
        <f>IF(INDIRECT(ADDRESS(ROW() + (0),COLUMN() + (-1)))="Agregar cuotas", IF(("13.4%")="", "Sin costo", "13.4%"), IF(INDIRECT(ADDRESS(ROW() + (0),COLUMN() + (-1)))="No agregar cuotas", IF(("")="", "Sin costo", ""), "-"))</f>
        <v/>
      </c>
      <c r="M371" s="0" t="inlineStr">
        <is>
          <t>Mercado Envíos</t>
        </is>
      </c>
      <c r="N371" s="0" t="inlineStr">
        <is>
          <t>A cargo del comprador</t>
        </is>
      </c>
      <c r="O371" s="0" t="inlineStr">
        <is>
          <t>Acepto</t>
        </is>
      </c>
      <c r="P371" s="47" t="inlineStr">
        <is>
          <t>Sin garantía</t>
        </is>
      </c>
      <c r="R371" s="0" t="inlineStr">
        <is>
          <t>Seleccionar</t>
        </is>
      </c>
      <c r="S371" s="0" t="inlineStr">
        <is>
          <t>No ofrezco</t>
        </is>
      </c>
      <c r="T371" t="n">
        <v>1890</v>
      </c>
      <c r="U371" s="0" t="inlineStr">
        <is>
          <t>Argentina</t>
        </is>
      </c>
      <c r="X371" s="0" t="inlineStr">
        <is>
          <t>Bronce</t>
        </is>
      </c>
      <c r="Z371" t="inlineStr">
        <is>
          <t>2 Centavos</t>
        </is>
      </c>
      <c r="AA371" s="0" t="inlineStr">
        <is>
          <t>Peso</t>
        </is>
      </c>
      <c r="AB3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1" s="53">
        <f>IF(OR(TRIM(INDIRECT("B"&amp;ROW())) &lt;&gt; "",TRIM(INDIRECT("A"&amp;ROW())) &lt;&gt; ""),AND(TRIM(INDIRECT("A"&amp;ROW())) &lt;&gt; "",TRIM(INDIRECT("D"&amp;ROW())) = "nuevo"),"")</f>
        <v/>
      </c>
    </row>
    <row r="372" ht="27.5" customHeight="1" s="62">
      <c r="B372" t="inlineStr">
        <is>
          <t>Moneda Bolivia 2 Bolivianos 2025</t>
        </is>
      </c>
      <c r="C372" s="0">
        <f>LEN(INDIRECT(ADDRESS(ROW() + (0),COLUMN() + (-1))))</f>
        <v/>
      </c>
      <c r="D372" s="0" t="inlineStr">
        <is>
          <t>Usado</t>
        </is>
      </c>
      <c r="E372" s="38" t="inlineStr">
        <is>
          <t>https://numismaticapopper.com/images/781A.jpeg,https://numismaticapopper.com/images/781B.jpeg</t>
        </is>
      </c>
      <c r="F372" t="inlineStr">
        <is>
          <t>781</t>
        </is>
      </c>
      <c r="G372" s="40" t="n">
        <v>1</v>
      </c>
      <c r="H372" t="n">
        <v>9000</v>
      </c>
      <c r="I372" t="inlineStr">
        <is>
          <t>Estado de conservacion: Sin Circular
Referencia de catalogo: KM# 225
Conmemora: Bicentenario de la Independencia de Bolivia (1825-2025)
Moneda conmemorativa del Bicentenario de la Independencia de Bolivia (1825-2025).</t>
        </is>
      </c>
      <c r="J372" s="31">
        <f>IF(INDIRECT(ADDRESS(ROW() + (0),COLUMN() + (1)))="Agregar cuotas", IF(("16%")="", "-", "16%"), IF(INDIRECT(ADDRESS(ROW() + (0),COLUMN() + (1)))="No agregar cuotas", IF(("16%")="", "-", "16%"), "-"))</f>
        <v/>
      </c>
      <c r="K372" s="0" t="inlineStr">
        <is>
          <t>No agregar cuotas</t>
        </is>
      </c>
      <c r="L372" s="31">
        <f>IF(INDIRECT(ADDRESS(ROW() + (0),COLUMN() + (-1)))="Agregar cuotas", IF(("13.4%")="", "Sin costo", "13.4%"), IF(INDIRECT(ADDRESS(ROW() + (0),COLUMN() + (-1)))="No agregar cuotas", IF(("")="", "Sin costo", ""), "-"))</f>
        <v/>
      </c>
      <c r="M372" s="0" t="inlineStr">
        <is>
          <t>Mercado Envíos</t>
        </is>
      </c>
      <c r="N372" s="0" t="inlineStr">
        <is>
          <t>A cargo del comprador</t>
        </is>
      </c>
      <c r="O372" s="0" t="inlineStr">
        <is>
          <t>Acepto</t>
        </is>
      </c>
      <c r="P372" s="47" t="inlineStr">
        <is>
          <t>Sin garantía</t>
        </is>
      </c>
      <c r="R372" s="0" t="inlineStr">
        <is>
          <t>Seleccionar</t>
        </is>
      </c>
      <c r="S372" s="0" t="inlineStr">
        <is>
          <t>No ofrezco</t>
        </is>
      </c>
      <c r="T372" t="n">
        <v>2025</v>
      </c>
      <c r="U372" s="0" t="inlineStr">
        <is>
          <t>Bolivia</t>
        </is>
      </c>
      <c r="X372" s="0" t="inlineStr">
        <is>
          <t>Níquel</t>
        </is>
      </c>
      <c r="Y372" t="inlineStr">
        <is>
          <t>Bicentenario de la Independencia de Bolivia (1825-2025)</t>
        </is>
      </c>
      <c r="Z372" t="inlineStr">
        <is>
          <t>2 Bolivianos</t>
        </is>
      </c>
      <c r="AA372" s="0" t="inlineStr">
        <is>
          <t>Peso</t>
        </is>
      </c>
      <c r="AB3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2" s="53">
        <f>IF(OR(TRIM(INDIRECT("B"&amp;ROW())) &lt;&gt; "",TRIM(INDIRECT("A"&amp;ROW())) &lt;&gt; ""),AND(TRIM(INDIRECT("A"&amp;ROW())) &lt;&gt; "",TRIM(INDIRECT("D"&amp;ROW())) = "nuevo"),"")</f>
        <v/>
      </c>
    </row>
    <row r="373" ht="27.5" customHeight="1" s="62">
      <c r="B373" t="inlineStr">
        <is>
          <t>Moneda Canadá 25 Cents 2011</t>
        </is>
      </c>
      <c r="C373" s="0">
        <f>LEN(INDIRECT(ADDRESS(ROW() + (0),COLUMN() + (-1))))</f>
        <v/>
      </c>
      <c r="D373" s="0" t="inlineStr">
        <is>
          <t>Usado</t>
        </is>
      </c>
      <c r="E373" s="38" t="inlineStr">
        <is>
          <t>https://numismaticapopper.com/images/783A.jpeg,https://numismaticapopper.com/images/783B.jpeg</t>
        </is>
      </c>
      <c r="F373" t="inlineStr">
        <is>
          <t>783</t>
        </is>
      </c>
      <c r="G373" s="40" t="n">
        <v>1</v>
      </c>
      <c r="H373" t="n">
        <v>12000</v>
      </c>
      <c r="I373" t="inlineStr">
        <is>
          <t>Estado de conservacion: Sin Circular
Referencia de catalogo: KM# 1162
Bisonte</t>
        </is>
      </c>
      <c r="J373" s="31">
        <f>IF(INDIRECT(ADDRESS(ROW() + (0),COLUMN() + (1)))="Agregar cuotas", IF(("16%")="", "-", "16%"), IF(INDIRECT(ADDRESS(ROW() + (0),COLUMN() + (1)))="No agregar cuotas", IF(("16%")="", "-", "16%"), "-"))</f>
        <v/>
      </c>
      <c r="K373" s="0" t="inlineStr">
        <is>
          <t>No agregar cuotas</t>
        </is>
      </c>
      <c r="L373" s="31">
        <f>IF(INDIRECT(ADDRESS(ROW() + (0),COLUMN() + (-1)))="Agregar cuotas", IF(("13.4%")="", "Sin costo", "13.4%"), IF(INDIRECT(ADDRESS(ROW() + (0),COLUMN() + (-1)))="No agregar cuotas", IF(("")="", "Sin costo", ""), "-"))</f>
        <v/>
      </c>
      <c r="M373" s="0" t="inlineStr">
        <is>
          <t>Mercado Envíos</t>
        </is>
      </c>
      <c r="N373" s="0" t="inlineStr">
        <is>
          <t>A cargo del comprador</t>
        </is>
      </c>
      <c r="O373" s="0" t="inlineStr">
        <is>
          <t>Acepto</t>
        </is>
      </c>
      <c r="P373" s="47" t="inlineStr">
        <is>
          <t>Sin garantía</t>
        </is>
      </c>
      <c r="R373" s="0" t="inlineStr">
        <is>
          <t>Seleccionar</t>
        </is>
      </c>
      <c r="S373" s="0" t="inlineStr">
        <is>
          <t>No ofrezco</t>
        </is>
      </c>
      <c r="T373" t="n">
        <v>2011</v>
      </c>
      <c r="U373" s="0" t="inlineStr">
        <is>
          <t>Canadá</t>
        </is>
      </c>
      <c r="X373" s="0" t="inlineStr">
        <is>
          <t>Níquel</t>
        </is>
      </c>
      <c r="Z373" t="inlineStr">
        <is>
          <t>25 Cents</t>
        </is>
      </c>
      <c r="AA373" s="0" t="inlineStr">
        <is>
          <t>Dólar</t>
        </is>
      </c>
      <c r="AB3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3" s="53">
        <f>IF(OR(TRIM(INDIRECT("B"&amp;ROW())) &lt;&gt; "",TRIM(INDIRECT("A"&amp;ROW())) &lt;&gt; ""),AND(TRIM(INDIRECT("A"&amp;ROW())) &lt;&gt; "",TRIM(INDIRECT("D"&amp;ROW())) = "nuevo"),"")</f>
        <v/>
      </c>
    </row>
    <row r="374" ht="27.5" customHeight="1" s="62">
      <c r="B374" t="inlineStr">
        <is>
          <t>Moneda Canadá 25 Cents 2011</t>
        </is>
      </c>
      <c r="C374" s="0">
        <f>LEN(INDIRECT(ADDRESS(ROW() + (0),COLUMN() + (-1))))</f>
        <v/>
      </c>
      <c r="D374" s="0" t="inlineStr">
        <is>
          <t>Usado</t>
        </is>
      </c>
      <c r="E374" s="38" t="inlineStr">
        <is>
          <t>https://numismaticapopper.com/images/784A.jpeg,https://numismaticapopper.com/images/784B.jpeg</t>
        </is>
      </c>
      <c r="F374" t="inlineStr">
        <is>
          <t>784</t>
        </is>
      </c>
      <c r="G374" s="40" t="n">
        <v>1</v>
      </c>
      <c r="H374" t="n">
        <v>12000</v>
      </c>
      <c r="I374" t="inlineStr">
        <is>
          <t>Estado de conservacion: Sin Circular
Referencia de catalogo: KM# 1160
Ballena</t>
        </is>
      </c>
      <c r="J374" s="31">
        <f>IF(INDIRECT(ADDRESS(ROW() + (0),COLUMN() + (1)))="Agregar cuotas", IF(("16%")="", "-", "16%"), IF(INDIRECT(ADDRESS(ROW() + (0),COLUMN() + (1)))="No agregar cuotas", IF(("16%")="", "-", "16%"), "-"))</f>
        <v/>
      </c>
      <c r="K374" s="0" t="inlineStr">
        <is>
          <t>No agregar cuotas</t>
        </is>
      </c>
      <c r="L374" s="31">
        <f>IF(INDIRECT(ADDRESS(ROW() + (0),COLUMN() + (-1)))="Agregar cuotas", IF(("13.4%")="", "Sin costo", "13.4%"), IF(INDIRECT(ADDRESS(ROW() + (0),COLUMN() + (-1)))="No agregar cuotas", IF(("")="", "Sin costo", ""), "-"))</f>
        <v/>
      </c>
      <c r="M374" s="0" t="inlineStr">
        <is>
          <t>Mercado Envíos</t>
        </is>
      </c>
      <c r="N374" s="0" t="inlineStr">
        <is>
          <t>A cargo del comprador</t>
        </is>
      </c>
      <c r="O374" s="0" t="inlineStr">
        <is>
          <t>Acepto</t>
        </is>
      </c>
      <c r="P374" s="47" t="inlineStr">
        <is>
          <t>Sin garantía</t>
        </is>
      </c>
      <c r="R374" s="0" t="inlineStr">
        <is>
          <t>Seleccionar</t>
        </is>
      </c>
      <c r="S374" s="0" t="inlineStr">
        <is>
          <t>No ofrezco</t>
        </is>
      </c>
      <c r="T374" t="n">
        <v>2011</v>
      </c>
      <c r="U374" s="0" t="inlineStr">
        <is>
          <t>Canadá</t>
        </is>
      </c>
      <c r="X374" s="0" t="inlineStr">
        <is>
          <t>Níquel</t>
        </is>
      </c>
      <c r="Z374" t="inlineStr">
        <is>
          <t>25 Cents</t>
        </is>
      </c>
      <c r="AA374" s="0" t="inlineStr">
        <is>
          <t>Dólar</t>
        </is>
      </c>
      <c r="AB3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4" s="53">
        <f>IF(OR(TRIM(INDIRECT("B"&amp;ROW())) &lt;&gt; "",TRIM(INDIRECT("A"&amp;ROW())) &lt;&gt; ""),AND(TRIM(INDIRECT("A"&amp;ROW())) &lt;&gt; "",TRIM(INDIRECT("D"&amp;ROW())) = "nuevo"),"")</f>
        <v/>
      </c>
    </row>
    <row r="375" ht="27.5" customHeight="1" s="62">
      <c r="B375" t="inlineStr">
        <is>
          <t>Moneda Costa Rica 25 Colones 2023</t>
        </is>
      </c>
      <c r="C375" s="0">
        <f>LEN(INDIRECT(ADDRESS(ROW() + (0),COLUMN() + (-1))))</f>
        <v/>
      </c>
      <c r="D375" s="0" t="inlineStr">
        <is>
          <t>Usado</t>
        </is>
      </c>
      <c r="E375" s="38" t="inlineStr">
        <is>
          <t>https://numismaticapopper.com/images/785A.jpeg,https://numismaticapopper.com/images/785B.jpeg</t>
        </is>
      </c>
      <c r="F375" t="inlineStr">
        <is>
          <t>785</t>
        </is>
      </c>
      <c r="G375" s="40" t="n">
        <v>1</v>
      </c>
      <c r="H375" t="n">
        <v>8000</v>
      </c>
      <c r="I375" t="inlineStr">
        <is>
          <t>Estado de conservacion: Sin Circular
Referencia de catalogo: KM# 250
Limón</t>
        </is>
      </c>
      <c r="J375" s="31">
        <f>IF(INDIRECT(ADDRESS(ROW() + (0),COLUMN() + (1)))="Agregar cuotas", IF(("16%")="", "-", "16%"), IF(INDIRECT(ADDRESS(ROW() + (0),COLUMN() + (1)))="No agregar cuotas", IF(("16%")="", "-", "16%"), "-"))</f>
        <v/>
      </c>
      <c r="K375" s="0" t="inlineStr">
        <is>
          <t>No agregar cuotas</t>
        </is>
      </c>
      <c r="L375" s="31">
        <f>IF(INDIRECT(ADDRESS(ROW() + (0),COLUMN() + (-1)))="Agregar cuotas", IF(("13.4%")="", "Sin costo", "13.4%"), IF(INDIRECT(ADDRESS(ROW() + (0),COLUMN() + (-1)))="No agregar cuotas", IF(("")="", "Sin costo", ""), "-"))</f>
        <v/>
      </c>
      <c r="M375" s="0" t="inlineStr">
        <is>
          <t>Mercado Envíos</t>
        </is>
      </c>
      <c r="N375" s="0" t="inlineStr">
        <is>
          <t>A cargo del comprador</t>
        </is>
      </c>
      <c r="O375" s="0" t="inlineStr">
        <is>
          <t>Acepto</t>
        </is>
      </c>
      <c r="P375" s="47" t="inlineStr">
        <is>
          <t>Sin garantía</t>
        </is>
      </c>
      <c r="R375" s="0" t="inlineStr">
        <is>
          <t>Seleccionar</t>
        </is>
      </c>
      <c r="S375" s="0" t="inlineStr">
        <is>
          <t>No ofrezco</t>
        </is>
      </c>
      <c r="T375" t="n">
        <v>2023</v>
      </c>
      <c r="U375" s="0" t="inlineStr">
        <is>
          <t>México</t>
        </is>
      </c>
      <c r="X375" s="0" t="inlineStr">
        <is>
          <t>Níquel</t>
        </is>
      </c>
      <c r="Z375" t="inlineStr">
        <is>
          <t>25 Colones</t>
        </is>
      </c>
      <c r="AA375" s="0" t="inlineStr">
        <is>
          <t>Peso</t>
        </is>
      </c>
      <c r="AB3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5" s="53">
        <f>IF(OR(TRIM(INDIRECT("B"&amp;ROW())) &lt;&gt; "",TRIM(INDIRECT("A"&amp;ROW())) &lt;&gt; ""),AND(TRIM(INDIRECT("A"&amp;ROW())) &lt;&gt; "",TRIM(INDIRECT("D"&amp;ROW())) = "nuevo"),"")</f>
        <v/>
      </c>
    </row>
    <row r="376" ht="27.5" customHeight="1" s="62">
      <c r="B376" t="inlineStr">
        <is>
          <t>Moneda Costa Rica 25 Colones 2023</t>
        </is>
      </c>
      <c r="C376" s="0">
        <f>LEN(INDIRECT(ADDRESS(ROW() + (0),COLUMN() + (-1))))</f>
        <v/>
      </c>
      <c r="D376" s="0" t="inlineStr">
        <is>
          <t>Usado</t>
        </is>
      </c>
      <c r="E376" s="38" t="inlineStr">
        <is>
          <t>https://numismaticapopper.com/images/787A.jpeg,https://numismaticapopper.com/images/787B.jpeg</t>
        </is>
      </c>
      <c r="F376" t="inlineStr">
        <is>
          <t>787</t>
        </is>
      </c>
      <c r="G376" s="40" t="n">
        <v>1</v>
      </c>
      <c r="H376" t="n">
        <v>8000</v>
      </c>
      <c r="I376" t="inlineStr">
        <is>
          <t>Estado de conservacion: Sin Circular
Referencia de catalogo: KM# 248
Puntarenas</t>
        </is>
      </c>
      <c r="J376" s="31">
        <f>IF(INDIRECT(ADDRESS(ROW() + (0),COLUMN() + (1)))="Agregar cuotas", IF(("16%")="", "-", "16%"), IF(INDIRECT(ADDRESS(ROW() + (0),COLUMN() + (1)))="No agregar cuotas", IF(("16%")="", "-", "16%"), "-"))</f>
        <v/>
      </c>
      <c r="K376" s="0" t="inlineStr">
        <is>
          <t>No agregar cuotas</t>
        </is>
      </c>
      <c r="L376" s="31">
        <f>IF(INDIRECT(ADDRESS(ROW() + (0),COLUMN() + (-1)))="Agregar cuotas", IF(("13.4%")="", "Sin costo", "13.4%"), IF(INDIRECT(ADDRESS(ROW() + (0),COLUMN() + (-1)))="No agregar cuotas", IF(("")="", "Sin costo", ""), "-"))</f>
        <v/>
      </c>
      <c r="M376" s="0" t="inlineStr">
        <is>
          <t>Mercado Envíos</t>
        </is>
      </c>
      <c r="N376" s="0" t="inlineStr">
        <is>
          <t>A cargo del comprador</t>
        </is>
      </c>
      <c r="O376" s="0" t="inlineStr">
        <is>
          <t>Acepto</t>
        </is>
      </c>
      <c r="P376" s="47" t="inlineStr">
        <is>
          <t>Sin garantía</t>
        </is>
      </c>
      <c r="R376" s="0" t="inlineStr">
        <is>
          <t>Seleccionar</t>
        </is>
      </c>
      <c r="S376" s="0" t="inlineStr">
        <is>
          <t>No ofrezco</t>
        </is>
      </c>
      <c r="T376" t="n">
        <v>2023</v>
      </c>
      <c r="U376" s="0" t="inlineStr">
        <is>
          <t>México</t>
        </is>
      </c>
      <c r="X376" s="0" t="inlineStr">
        <is>
          <t>Níquel</t>
        </is>
      </c>
      <c r="Z376" t="inlineStr">
        <is>
          <t>25 Colones</t>
        </is>
      </c>
      <c r="AA376" s="0" t="inlineStr">
        <is>
          <t>Peso</t>
        </is>
      </c>
      <c r="AB3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6" s="53">
        <f>IF(OR(TRIM(INDIRECT("B"&amp;ROW())) &lt;&gt; "",TRIM(INDIRECT("A"&amp;ROW())) &lt;&gt; ""),AND(TRIM(INDIRECT("A"&amp;ROW())) &lt;&gt; "",TRIM(INDIRECT("D"&amp;ROW())) = "nuevo"),"")</f>
        <v/>
      </c>
    </row>
    <row r="377" ht="27.5" customHeight="1" s="62">
      <c r="B377" t="inlineStr">
        <is>
          <t>Moneda Costa Rica 25 Colones 2023</t>
        </is>
      </c>
      <c r="C377" s="0">
        <f>LEN(INDIRECT(ADDRESS(ROW() + (0),COLUMN() + (-1))))</f>
        <v/>
      </c>
      <c r="D377" s="0" t="inlineStr">
        <is>
          <t>Usado</t>
        </is>
      </c>
      <c r="E377" s="38" t="inlineStr">
        <is>
          <t>https://numismaticapopper.com/images/788A.jpeg,https://numismaticapopper.com/images/788B.jpeg</t>
        </is>
      </c>
      <c r="F377" t="inlineStr">
        <is>
          <t>788</t>
        </is>
      </c>
      <c r="G377" s="40" t="n">
        <v>1</v>
      </c>
      <c r="H377" t="n">
        <v>8000</v>
      </c>
      <c r="I377" t="inlineStr">
        <is>
          <t>Estado de conservacion: Sin Circular
Referencia de catalogo: KM# 247
Guanacaste</t>
        </is>
      </c>
      <c r="J377" s="31">
        <f>IF(INDIRECT(ADDRESS(ROW() + (0),COLUMN() + (1)))="Agregar cuotas", IF(("16%")="", "-", "16%"), IF(INDIRECT(ADDRESS(ROW() + (0),COLUMN() + (1)))="No agregar cuotas", IF(("16%")="", "-", "16%"), "-"))</f>
        <v/>
      </c>
      <c r="K377" s="0" t="inlineStr">
        <is>
          <t>No agregar cuotas</t>
        </is>
      </c>
      <c r="L377" s="31">
        <f>IF(INDIRECT(ADDRESS(ROW() + (0),COLUMN() + (-1)))="Agregar cuotas", IF(("13.4%")="", "Sin costo", "13.4%"), IF(INDIRECT(ADDRESS(ROW() + (0),COLUMN() + (-1)))="No agregar cuotas", IF(("")="", "Sin costo", ""), "-"))</f>
        <v/>
      </c>
      <c r="M377" s="0" t="inlineStr">
        <is>
          <t>Mercado Envíos</t>
        </is>
      </c>
      <c r="N377" s="0" t="inlineStr">
        <is>
          <t>A cargo del comprador</t>
        </is>
      </c>
      <c r="O377" s="0" t="inlineStr">
        <is>
          <t>Acepto</t>
        </is>
      </c>
      <c r="P377" s="47" t="inlineStr">
        <is>
          <t>Sin garantía</t>
        </is>
      </c>
      <c r="R377" s="0" t="inlineStr">
        <is>
          <t>Seleccionar</t>
        </is>
      </c>
      <c r="S377" s="0" t="inlineStr">
        <is>
          <t>No ofrezco</t>
        </is>
      </c>
      <c r="T377" t="n">
        <v>2023</v>
      </c>
      <c r="U377" s="0" t="inlineStr">
        <is>
          <t>México</t>
        </is>
      </c>
      <c r="X377" s="0" t="inlineStr">
        <is>
          <t>Níquel</t>
        </is>
      </c>
      <c r="Z377" t="inlineStr">
        <is>
          <t>25 Colones</t>
        </is>
      </c>
      <c r="AA377" s="0" t="inlineStr">
        <is>
          <t>Peso</t>
        </is>
      </c>
      <c r="AB3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7" s="53">
        <f>IF(OR(TRIM(INDIRECT("B"&amp;ROW())) &lt;&gt; "",TRIM(INDIRECT("A"&amp;ROW())) &lt;&gt; ""),AND(TRIM(INDIRECT("A"&amp;ROW())) &lt;&gt; "",TRIM(INDIRECT("D"&amp;ROW())) = "nuevo"),"")</f>
        <v/>
      </c>
    </row>
    <row r="378" ht="27.5" customHeight="1" s="62">
      <c r="B378" t="inlineStr">
        <is>
          <t>Moneda Kirguistán 1 Tyin 2008</t>
        </is>
      </c>
      <c r="C378" s="0">
        <f>LEN(INDIRECT(ADDRESS(ROW() + (0),COLUMN() + (-1))))</f>
        <v/>
      </c>
      <c r="D378" s="0" t="inlineStr">
        <is>
          <t>Usado</t>
        </is>
      </c>
      <c r="E378" s="38" t="inlineStr">
        <is>
          <t>https://numismaticapopper.com/images/789A.jpeg,https://numismaticapopper.com/images/789B.jpeg</t>
        </is>
      </c>
      <c r="F378" t="inlineStr">
        <is>
          <t>789</t>
        </is>
      </c>
      <c r="G378" s="40" t="n">
        <v>1</v>
      </c>
      <c r="H378" t="n">
        <v>8000</v>
      </c>
      <c r="I378" t="inlineStr">
        <is>
          <t>Estado de conservacion: Sin Circular
Referencia de catalogo: KM# 33</t>
        </is>
      </c>
      <c r="J378" s="31">
        <f>IF(INDIRECT(ADDRESS(ROW() + (0),COLUMN() + (1)))="Agregar cuotas", IF(("16%")="", "-", "16%"), IF(INDIRECT(ADDRESS(ROW() + (0),COLUMN() + (1)))="No agregar cuotas", IF(("16%")="", "-", "16%"), "-"))</f>
        <v/>
      </c>
      <c r="K378" s="0" t="inlineStr">
        <is>
          <t>No agregar cuotas</t>
        </is>
      </c>
      <c r="L378" s="31">
        <f>IF(INDIRECT(ADDRESS(ROW() + (0),COLUMN() + (-1)))="Agregar cuotas", IF(("13.4%")="", "Sin costo", "13.4%"), IF(INDIRECT(ADDRESS(ROW() + (0),COLUMN() + (-1)))="No agregar cuotas", IF(("")="", "Sin costo", ""), "-"))</f>
        <v/>
      </c>
      <c r="M378" s="0" t="inlineStr">
        <is>
          <t>Mercado Envíos</t>
        </is>
      </c>
      <c r="N378" s="0" t="inlineStr">
        <is>
          <t>A cargo del comprador</t>
        </is>
      </c>
      <c r="O378" s="0" t="inlineStr">
        <is>
          <t>Acepto</t>
        </is>
      </c>
      <c r="P378" s="47" t="inlineStr">
        <is>
          <t>Sin garantía</t>
        </is>
      </c>
      <c r="R378" s="0" t="inlineStr">
        <is>
          <t>Seleccionar</t>
        </is>
      </c>
      <c r="S378" s="0" t="inlineStr">
        <is>
          <t>No ofrezco</t>
        </is>
      </c>
      <c r="T378" t="n">
        <v>2008</v>
      </c>
      <c r="U378" s="0" t="inlineStr">
        <is>
          <t>Rusia</t>
        </is>
      </c>
      <c r="X378" s="0" t="inlineStr">
        <is>
          <t>Níquel</t>
        </is>
      </c>
      <c r="Z378" t="inlineStr">
        <is>
          <t>1 Tyin</t>
        </is>
      </c>
      <c r="AA378" s="0" t="inlineStr">
        <is>
          <t>Rublo</t>
        </is>
      </c>
      <c r="AB3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8" s="53">
        <f>IF(OR(TRIM(INDIRECT("B"&amp;ROW())) &lt;&gt; "",TRIM(INDIRECT("A"&amp;ROW())) &lt;&gt; ""),AND(TRIM(INDIRECT("A"&amp;ROW())) &lt;&gt; "",TRIM(INDIRECT("D"&amp;ROW())) = "nuevo"),"")</f>
        <v/>
      </c>
    </row>
    <row r="379" ht="27.5" customHeight="1" s="62">
      <c r="B379" t="inlineStr">
        <is>
          <t>Moneda Namibia 50 Cents 2025</t>
        </is>
      </c>
      <c r="C379" s="0">
        <f>LEN(INDIRECT(ADDRESS(ROW() + (0),COLUMN() + (-1))))</f>
        <v/>
      </c>
      <c r="D379" s="0" t="inlineStr">
        <is>
          <t>Usado</t>
        </is>
      </c>
      <c r="E379" s="38" t="inlineStr">
        <is>
          <t>https://numismaticapopper.com/images/792A.jpeg,https://numismaticapopper.com/images/792B.jpeg</t>
        </is>
      </c>
      <c r="F379" t="inlineStr">
        <is>
          <t>792</t>
        </is>
      </c>
      <c r="G379" s="40" t="n">
        <v>1</v>
      </c>
      <c r="H379" t="n">
        <v>10000</v>
      </c>
      <c r="I379" t="inlineStr">
        <is>
          <t>Estado de conservacion: Sin Circular
Referencia de catalogo: KM# 4</t>
        </is>
      </c>
      <c r="J379" s="31">
        <f>IF(INDIRECT(ADDRESS(ROW() + (0),COLUMN() + (1)))="Agregar cuotas", IF(("16%")="", "-", "16%"), IF(INDIRECT(ADDRESS(ROW() + (0),COLUMN() + (1)))="No agregar cuotas", IF(("16%")="", "-", "16%"), "-"))</f>
        <v/>
      </c>
      <c r="K379" s="0" t="inlineStr">
        <is>
          <t>No agregar cuotas</t>
        </is>
      </c>
      <c r="L379" s="31">
        <f>IF(INDIRECT(ADDRESS(ROW() + (0),COLUMN() + (-1)))="Agregar cuotas", IF(("13.4%")="", "Sin costo", "13.4%"), IF(INDIRECT(ADDRESS(ROW() + (0),COLUMN() + (-1)))="No agregar cuotas", IF(("")="", "Sin costo", ""), "-"))</f>
        <v/>
      </c>
      <c r="M379" s="0" t="inlineStr">
        <is>
          <t>Mercado Envíos</t>
        </is>
      </c>
      <c r="N379" s="0" t="inlineStr">
        <is>
          <t>A cargo del comprador</t>
        </is>
      </c>
      <c r="O379" s="0" t="inlineStr">
        <is>
          <t>Acepto</t>
        </is>
      </c>
      <c r="P379" s="47" t="inlineStr">
        <is>
          <t>Sin garantía</t>
        </is>
      </c>
      <c r="R379" s="0" t="inlineStr">
        <is>
          <t>Seleccionar</t>
        </is>
      </c>
      <c r="S379" s="0" t="inlineStr">
        <is>
          <t>No ofrezco</t>
        </is>
      </c>
      <c r="T379" t="n">
        <v>2025</v>
      </c>
      <c r="U379" s="0" t="inlineStr">
        <is>
          <t>Inglaterra</t>
        </is>
      </c>
      <c r="X379" s="0" t="inlineStr">
        <is>
          <t>Níquel</t>
        </is>
      </c>
      <c r="Z379" t="inlineStr">
        <is>
          <t>50 Cents</t>
        </is>
      </c>
      <c r="AA379" s="0" t="inlineStr">
        <is>
          <t>Dólar</t>
        </is>
      </c>
      <c r="AB3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79" s="53">
        <f>IF(OR(TRIM(INDIRECT("B"&amp;ROW())) &lt;&gt; "",TRIM(INDIRECT("A"&amp;ROW())) &lt;&gt; ""),AND(TRIM(INDIRECT("A"&amp;ROW())) &lt;&gt; "",TRIM(INDIRECT("D"&amp;ROW())) = "nuevo"),"")</f>
        <v/>
      </c>
    </row>
    <row r="380" ht="27.5" customHeight="1" s="62">
      <c r="B380" t="inlineStr">
        <is>
          <t>Moneda Sri Lanka 1 Rupia 2017</t>
        </is>
      </c>
      <c r="C380" s="0">
        <f>LEN(INDIRECT(ADDRESS(ROW() + (0),COLUMN() + (-1))))</f>
        <v/>
      </c>
      <c r="D380" s="0" t="inlineStr">
        <is>
          <t>Usado</t>
        </is>
      </c>
      <c r="E380" s="38" t="inlineStr">
        <is>
          <t>https://numismaticapopper.com/images/795A.jpeg,https://numismaticapopper.com/images/795B.jpeg</t>
        </is>
      </c>
      <c r="F380" t="inlineStr">
        <is>
          <t>795</t>
        </is>
      </c>
      <c r="G380" s="40" t="n">
        <v>1</v>
      </c>
      <c r="H380" t="n">
        <v>10000</v>
      </c>
      <c r="I380" t="inlineStr">
        <is>
          <t>Estado de conservacion: Sin Circular
Referencia de catalogo: KM# 168</t>
        </is>
      </c>
      <c r="J380" s="31">
        <f>IF(INDIRECT(ADDRESS(ROW() + (0),COLUMN() + (1)))="Agregar cuotas", IF(("16%")="", "-", "16%"), IF(INDIRECT(ADDRESS(ROW() + (0),COLUMN() + (1)))="No agregar cuotas", IF(("16%")="", "-", "16%"), "-"))</f>
        <v/>
      </c>
      <c r="K380" s="0" t="inlineStr">
        <is>
          <t>No agregar cuotas</t>
        </is>
      </c>
      <c r="L380" s="31">
        <f>IF(INDIRECT(ADDRESS(ROW() + (0),COLUMN() + (-1)))="Agregar cuotas", IF(("13.4%")="", "Sin costo", "13.4%"), IF(INDIRECT(ADDRESS(ROW() + (0),COLUMN() + (-1)))="No agregar cuotas", IF(("")="", "Sin costo", ""), "-"))</f>
        <v/>
      </c>
      <c r="M380" s="0" t="inlineStr">
        <is>
          <t>Mercado Envíos</t>
        </is>
      </c>
      <c r="N380" s="0" t="inlineStr">
        <is>
          <t>A cargo del comprador</t>
        </is>
      </c>
      <c r="O380" s="0" t="inlineStr">
        <is>
          <t>Acepto</t>
        </is>
      </c>
      <c r="P380" s="47" t="inlineStr">
        <is>
          <t>Sin garantía</t>
        </is>
      </c>
      <c r="R380" s="0" t="inlineStr">
        <is>
          <t>Seleccionar</t>
        </is>
      </c>
      <c r="S380" s="0" t="inlineStr">
        <is>
          <t>No ofrezco</t>
        </is>
      </c>
      <c r="T380" t="n">
        <v>2017</v>
      </c>
      <c r="U380" s="0" t="inlineStr">
        <is>
          <t>Inglaterra</t>
        </is>
      </c>
      <c r="X380" s="0" t="inlineStr">
        <is>
          <t>Níquel</t>
        </is>
      </c>
      <c r="Z380" t="inlineStr">
        <is>
          <t>1 Rupia</t>
        </is>
      </c>
      <c r="AA380" s="0" t="inlineStr">
        <is>
          <t>Dólar</t>
        </is>
      </c>
      <c r="AB3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0" s="53">
        <f>IF(OR(TRIM(INDIRECT("B"&amp;ROW())) &lt;&gt; "",TRIM(INDIRECT("A"&amp;ROW())) &lt;&gt; ""),AND(TRIM(INDIRECT("A"&amp;ROW())) &lt;&gt; "",TRIM(INDIRECT("D"&amp;ROW())) = "nuevo"),"")</f>
        <v/>
      </c>
    </row>
    <row r="381" ht="27.5" customHeight="1" s="62">
      <c r="B381" t="inlineStr">
        <is>
          <t>Moneda Uzbekistán 50 Som 2018</t>
        </is>
      </c>
      <c r="C381" s="0">
        <f>LEN(INDIRECT(ADDRESS(ROW() + (0),COLUMN() + (-1))))</f>
        <v/>
      </c>
      <c r="D381" s="0" t="inlineStr">
        <is>
          <t>Usado</t>
        </is>
      </c>
      <c r="E381" s="38" t="inlineStr">
        <is>
          <t>https://numismaticapopper.com/images/800A.jpeg,https://numismaticapopper.com/images/800B.jpeg</t>
        </is>
      </c>
      <c r="F381" t="inlineStr">
        <is>
          <t>800</t>
        </is>
      </c>
      <c r="G381" s="40" t="n">
        <v>1</v>
      </c>
      <c r="H381" t="n">
        <v>8000</v>
      </c>
      <c r="I381" t="inlineStr">
        <is>
          <t>Estado de conservacion: Sin Circular
Referencia de catalogo: KM# 43</t>
        </is>
      </c>
      <c r="J381" s="31">
        <f>IF(INDIRECT(ADDRESS(ROW() + (0),COLUMN() + (1)))="Agregar cuotas", IF(("16%")="", "-", "16%"), IF(INDIRECT(ADDRESS(ROW() + (0),COLUMN() + (1)))="No agregar cuotas", IF(("16%")="", "-", "16%"), "-"))</f>
        <v/>
      </c>
      <c r="K381" s="0" t="inlineStr">
        <is>
          <t>No agregar cuotas</t>
        </is>
      </c>
      <c r="L381" s="31">
        <f>IF(INDIRECT(ADDRESS(ROW() + (0),COLUMN() + (-1)))="Agregar cuotas", IF(("13.4%")="", "Sin costo", "13.4%"), IF(INDIRECT(ADDRESS(ROW() + (0),COLUMN() + (-1)))="No agregar cuotas", IF(("")="", "Sin costo", ""), "-"))</f>
        <v/>
      </c>
      <c r="M381" s="0" t="inlineStr">
        <is>
          <t>Mercado Envíos</t>
        </is>
      </c>
      <c r="N381" s="0" t="inlineStr">
        <is>
          <t>A cargo del comprador</t>
        </is>
      </c>
      <c r="O381" s="0" t="inlineStr">
        <is>
          <t>Acepto</t>
        </is>
      </c>
      <c r="P381" s="47" t="inlineStr">
        <is>
          <t>Sin garantía</t>
        </is>
      </c>
      <c r="R381" s="0" t="inlineStr">
        <is>
          <t>Seleccionar</t>
        </is>
      </c>
      <c r="S381" s="0" t="inlineStr">
        <is>
          <t>No ofrezco</t>
        </is>
      </c>
      <c r="T381" t="n">
        <v>2018</v>
      </c>
      <c r="U381" s="0" t="inlineStr">
        <is>
          <t>Rusia</t>
        </is>
      </c>
      <c r="X381" s="0" t="inlineStr">
        <is>
          <t>Níquel</t>
        </is>
      </c>
      <c r="Z381" t="inlineStr">
        <is>
          <t>50 Som</t>
        </is>
      </c>
      <c r="AA381" s="0" t="inlineStr">
        <is>
          <t>Rublo</t>
        </is>
      </c>
      <c r="AB3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1" s="53">
        <f>IF(OR(TRIM(INDIRECT("B"&amp;ROW())) &lt;&gt; "",TRIM(INDIRECT("A"&amp;ROW())) &lt;&gt; ""),AND(TRIM(INDIRECT("A"&amp;ROW())) &lt;&gt; "",TRIM(INDIRECT("D"&amp;ROW())) = "nuevo"),"")</f>
        <v/>
      </c>
    </row>
    <row r="382" ht="27.5" customHeight="1" s="62">
      <c r="B382" t="inlineStr">
        <is>
          <t>Moneda Malawi 2 Tambala 1995</t>
        </is>
      </c>
      <c r="C382" s="0">
        <f>LEN(INDIRECT(ADDRESS(ROW() + (0),COLUMN() + (-1))))</f>
        <v/>
      </c>
      <c r="D382" s="0" t="inlineStr">
        <is>
          <t>Usado</t>
        </is>
      </c>
      <c r="E382" s="38" t="inlineStr">
        <is>
          <t>https://numismaticapopper.com/images/801A.jpeg,https://numismaticapopper.com/images/801B.jpeg</t>
        </is>
      </c>
      <c r="F382" t="inlineStr">
        <is>
          <t>801</t>
        </is>
      </c>
      <c r="G382" s="40" t="n">
        <v>1</v>
      </c>
      <c r="H382" t="n">
        <v>8000</v>
      </c>
      <c r="I382" t="inlineStr">
        <is>
          <t>Estado de conservacion: Sin Circular
Referencia de catalogo: KM# 24</t>
        </is>
      </c>
      <c r="J382" s="31">
        <f>IF(INDIRECT(ADDRESS(ROW() + (0),COLUMN() + (1)))="Agregar cuotas", IF(("16%")="", "-", "16%"), IF(INDIRECT(ADDRESS(ROW() + (0),COLUMN() + (1)))="No agregar cuotas", IF(("16%")="", "-", "16%"), "-"))</f>
        <v/>
      </c>
      <c r="K382" s="0" t="inlineStr">
        <is>
          <t>No agregar cuotas</t>
        </is>
      </c>
      <c r="L382" s="31">
        <f>IF(INDIRECT(ADDRESS(ROW() + (0),COLUMN() + (-1)))="Agregar cuotas", IF(("13.4%")="", "Sin costo", "13.4%"), IF(INDIRECT(ADDRESS(ROW() + (0),COLUMN() + (-1)))="No agregar cuotas", IF(("")="", "Sin costo", ""), "-"))</f>
        <v/>
      </c>
      <c r="M382" s="0" t="inlineStr">
        <is>
          <t>Mercado Envíos</t>
        </is>
      </c>
      <c r="N382" s="0" t="inlineStr">
        <is>
          <t>A cargo del comprador</t>
        </is>
      </c>
      <c r="O382" s="0" t="inlineStr">
        <is>
          <t>Acepto</t>
        </is>
      </c>
      <c r="P382" s="47" t="inlineStr">
        <is>
          <t>Sin garantía</t>
        </is>
      </c>
      <c r="R382" s="0" t="inlineStr">
        <is>
          <t>Seleccionar</t>
        </is>
      </c>
      <c r="S382" s="0" t="inlineStr">
        <is>
          <t>No ofrezco</t>
        </is>
      </c>
      <c r="T382" t="n">
        <v>1995</v>
      </c>
      <c r="U382" s="0" t="inlineStr">
        <is>
          <t>Inglaterra</t>
        </is>
      </c>
      <c r="X382" s="0" t="inlineStr">
        <is>
          <t>Níquel</t>
        </is>
      </c>
      <c r="Z382" t="inlineStr">
        <is>
          <t>2 Tambala</t>
        </is>
      </c>
      <c r="AA382" s="0" t="inlineStr">
        <is>
          <t>Dólar</t>
        </is>
      </c>
      <c r="AB3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2" s="53">
        <f>IF(OR(TRIM(INDIRECT("B"&amp;ROW())) &lt;&gt; "",TRIM(INDIRECT("A"&amp;ROW())) &lt;&gt; ""),AND(TRIM(INDIRECT("A"&amp;ROW())) &lt;&gt; "",TRIM(INDIRECT("D"&amp;ROW())) = "nuevo"),"")</f>
        <v/>
      </c>
    </row>
    <row r="383" ht="27.5" customHeight="1" s="62">
      <c r="B383" t="inlineStr">
        <is>
          <t>Moneda Uganda 50 Cents 1976</t>
        </is>
      </c>
      <c r="C383" s="0">
        <f>LEN(INDIRECT(ADDRESS(ROW() + (0),COLUMN() + (-1))))</f>
        <v/>
      </c>
      <c r="D383" s="0" t="inlineStr">
        <is>
          <t>Usado</t>
        </is>
      </c>
      <c r="E383" s="38" t="inlineStr">
        <is>
          <t>https://numismaticapopper.com/images/802A.jpeg,https://numismaticapopper.com/images/802B.jpeg</t>
        </is>
      </c>
      <c r="F383" t="inlineStr">
        <is>
          <t>802</t>
        </is>
      </c>
      <c r="G383" s="40" t="n">
        <v>1</v>
      </c>
      <c r="H383" t="n">
        <v>11000</v>
      </c>
      <c r="I383" t="inlineStr">
        <is>
          <t>Estado de conservacion: Sin Circular
Referencia de catalogo: KM# 4a
Material: Acero niquelado
Tirada: 10.000.000
Escudo de armas de Uganda en anverso y grulla coronada con montañas en reverso.</t>
        </is>
      </c>
      <c r="J383" s="31">
        <f>IF(INDIRECT(ADDRESS(ROW() + (0),COLUMN() + (1)))="Agregar cuotas", IF(("16%")="", "-", "16%"), IF(INDIRECT(ADDRESS(ROW() + (0),COLUMN() + (1)))="No agregar cuotas", IF(("16%")="", "-", "16%"), "-"))</f>
        <v/>
      </c>
      <c r="K383" s="0" t="inlineStr">
        <is>
          <t>No agregar cuotas</t>
        </is>
      </c>
      <c r="L383" s="31">
        <f>IF(INDIRECT(ADDRESS(ROW() + (0),COLUMN() + (-1)))="Agregar cuotas", IF(("13.4%")="", "Sin costo", "13.4%"), IF(INDIRECT(ADDRESS(ROW() + (0),COLUMN() + (-1)))="No agregar cuotas", IF(("")="", "Sin costo", ""), "-"))</f>
        <v/>
      </c>
      <c r="M383" s="0" t="inlineStr">
        <is>
          <t>Mercado Envíos</t>
        </is>
      </c>
      <c r="N383" s="0" t="inlineStr">
        <is>
          <t>A cargo del comprador</t>
        </is>
      </c>
      <c r="O383" s="0" t="inlineStr">
        <is>
          <t>Acepto</t>
        </is>
      </c>
      <c r="P383" s="47" t="inlineStr">
        <is>
          <t>Sin garantía</t>
        </is>
      </c>
      <c r="R383" s="0" t="inlineStr">
        <is>
          <t>Seleccionar</t>
        </is>
      </c>
      <c r="S383" s="0" t="inlineStr">
        <is>
          <t>No ofrezco</t>
        </is>
      </c>
      <c r="T383" t="n">
        <v>1976</v>
      </c>
      <c r="U383" s="0" t="inlineStr">
        <is>
          <t>Inglaterra</t>
        </is>
      </c>
      <c r="X383" s="0" t="inlineStr">
        <is>
          <t>Níquel</t>
        </is>
      </c>
      <c r="Z383" t="inlineStr">
        <is>
          <t>50 Cents</t>
        </is>
      </c>
      <c r="AA383" s="0" t="inlineStr">
        <is>
          <t>Dólar</t>
        </is>
      </c>
      <c r="AB3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3" s="53">
        <f>IF(OR(TRIM(INDIRECT("B"&amp;ROW())) &lt;&gt; "",TRIM(INDIRECT("A"&amp;ROW())) &lt;&gt; ""),AND(TRIM(INDIRECT("A"&amp;ROW())) &lt;&gt; "",TRIM(INDIRECT("D"&amp;ROW())) = "nuevo"),"")</f>
        <v/>
      </c>
    </row>
    <row r="384" ht="27.5" customHeight="1" s="62">
      <c r="B384" t="inlineStr">
        <is>
          <t>Moneda Ruanda 1 Franco 2003</t>
        </is>
      </c>
      <c r="C384" s="0">
        <f>LEN(INDIRECT(ADDRESS(ROW() + (0),COLUMN() + (-1))))</f>
        <v/>
      </c>
      <c r="D384" s="0" t="inlineStr">
        <is>
          <t>Usado</t>
        </is>
      </c>
      <c r="E384" s="38" t="inlineStr">
        <is>
          <t>https://numismaticapopper.com/images/803A.jpeg,https://numismaticapopper.com/images/803B.jpeg</t>
        </is>
      </c>
      <c r="F384" t="inlineStr">
        <is>
          <t>803</t>
        </is>
      </c>
      <c r="G384" s="40" t="n">
        <v>1</v>
      </c>
      <c r="H384" t="n">
        <v>8000</v>
      </c>
      <c r="I384" t="inlineStr">
        <is>
          <t>Estado de conservacion: Sin Circular
Referencia de catalogo: KM# 32</t>
        </is>
      </c>
      <c r="J384" s="31">
        <f>IF(INDIRECT(ADDRESS(ROW() + (0),COLUMN() + (1)))="Agregar cuotas", IF(("16%")="", "-", "16%"), IF(INDIRECT(ADDRESS(ROW() + (0),COLUMN() + (1)))="No agregar cuotas", IF(("16%")="", "-", "16%"), "-"))</f>
        <v/>
      </c>
      <c r="K384" s="0" t="inlineStr">
        <is>
          <t>No agregar cuotas</t>
        </is>
      </c>
      <c r="L384" s="31">
        <f>IF(INDIRECT(ADDRESS(ROW() + (0),COLUMN() + (-1)))="Agregar cuotas", IF(("13.4%")="", "Sin costo", "13.4%"), IF(INDIRECT(ADDRESS(ROW() + (0),COLUMN() + (-1)))="No agregar cuotas", IF(("")="", "Sin costo", ""), "-"))</f>
        <v/>
      </c>
      <c r="M384" s="0" t="inlineStr">
        <is>
          <t>Mercado Envíos</t>
        </is>
      </c>
      <c r="N384" s="0" t="inlineStr">
        <is>
          <t>A cargo del comprador</t>
        </is>
      </c>
      <c r="O384" s="0" t="inlineStr">
        <is>
          <t>Acepto</t>
        </is>
      </c>
      <c r="P384" s="47" t="inlineStr">
        <is>
          <t>Sin garantía</t>
        </is>
      </c>
      <c r="R384" s="0" t="inlineStr">
        <is>
          <t>Seleccionar</t>
        </is>
      </c>
      <c r="S384" s="0" t="inlineStr">
        <is>
          <t>No ofrezco</t>
        </is>
      </c>
      <c r="T384" t="n">
        <v>2003</v>
      </c>
      <c r="U384" s="0" t="inlineStr">
        <is>
          <t>Bélgica</t>
        </is>
      </c>
      <c r="X384" s="0" t="inlineStr">
        <is>
          <t>Níquel</t>
        </is>
      </c>
      <c r="Z384" t="inlineStr">
        <is>
          <t>1 Franco</t>
        </is>
      </c>
      <c r="AA384" s="0" t="inlineStr">
        <is>
          <t>Euro</t>
        </is>
      </c>
      <c r="AB3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4" s="53">
        <f>IF(OR(TRIM(INDIRECT("B"&amp;ROW())) &lt;&gt; "",TRIM(INDIRECT("A"&amp;ROW())) &lt;&gt; ""),AND(TRIM(INDIRECT("A"&amp;ROW())) &lt;&gt; "",TRIM(INDIRECT("D"&amp;ROW())) = "nuevo"),"")</f>
        <v/>
      </c>
    </row>
    <row r="385" ht="27.5" customHeight="1" s="62">
      <c r="B385" t="inlineStr">
        <is>
          <t>Moneda Samoa 5 Sene 2006</t>
        </is>
      </c>
      <c r="C385" s="0">
        <f>LEN(INDIRECT(ADDRESS(ROW() + (0),COLUMN() + (-1))))</f>
        <v/>
      </c>
      <c r="D385" s="0" t="inlineStr">
        <is>
          <t>Usado</t>
        </is>
      </c>
      <c r="E385" s="38" t="inlineStr">
        <is>
          <t>https://numismaticapopper.com/images/805A.jpeg,https://numismaticapopper.com/images/805B.jpeg</t>
        </is>
      </c>
      <c r="F385" t="inlineStr">
        <is>
          <t>805</t>
        </is>
      </c>
      <c r="G385" s="40" t="n">
        <v>1</v>
      </c>
      <c r="H385" t="n">
        <v>9000</v>
      </c>
      <c r="I385" t="inlineStr">
        <is>
          <t>Estado de conservacion: Sin Circular
Referencia de catalogo: KM# 137</t>
        </is>
      </c>
      <c r="J385" s="31">
        <f>IF(INDIRECT(ADDRESS(ROW() + (0),COLUMN() + (1)))="Agregar cuotas", IF(("16%")="", "-", "16%"), IF(INDIRECT(ADDRESS(ROW() + (0),COLUMN() + (1)))="No agregar cuotas", IF(("16%")="", "-", "16%"), "-"))</f>
        <v/>
      </c>
      <c r="K385" s="0" t="inlineStr">
        <is>
          <t>No agregar cuotas</t>
        </is>
      </c>
      <c r="L385" s="31">
        <f>IF(INDIRECT(ADDRESS(ROW() + (0),COLUMN() + (-1)))="Agregar cuotas", IF(("13.4%")="", "Sin costo", "13.4%"), IF(INDIRECT(ADDRESS(ROW() + (0),COLUMN() + (-1)))="No agregar cuotas", IF(("")="", "Sin costo", ""), "-"))</f>
        <v/>
      </c>
      <c r="M385" s="0" t="inlineStr">
        <is>
          <t>Mercado Envíos</t>
        </is>
      </c>
      <c r="N385" s="0" t="inlineStr">
        <is>
          <t>A cargo del comprador</t>
        </is>
      </c>
      <c r="O385" s="0" t="inlineStr">
        <is>
          <t>Acepto</t>
        </is>
      </c>
      <c r="P385" s="47" t="inlineStr">
        <is>
          <t>Sin garantía</t>
        </is>
      </c>
      <c r="R385" s="0" t="inlineStr">
        <is>
          <t>Seleccionar</t>
        </is>
      </c>
      <c r="S385" s="0" t="inlineStr">
        <is>
          <t>No ofrezco</t>
        </is>
      </c>
      <c r="T385" t="n">
        <v>2006</v>
      </c>
      <c r="U385" s="0" t="inlineStr">
        <is>
          <t>Inglaterra</t>
        </is>
      </c>
      <c r="X385" s="0" t="inlineStr">
        <is>
          <t>Níquel</t>
        </is>
      </c>
      <c r="Z385" t="inlineStr">
        <is>
          <t>5 Sene</t>
        </is>
      </c>
      <c r="AA385" s="0" t="inlineStr">
        <is>
          <t>Dólar</t>
        </is>
      </c>
      <c r="AB3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5" s="53">
        <f>IF(OR(TRIM(INDIRECT("B"&amp;ROW())) &lt;&gt; "",TRIM(INDIRECT("A"&amp;ROW())) &lt;&gt; ""),AND(TRIM(INDIRECT("A"&amp;ROW())) &lt;&gt; "",TRIM(INDIRECT("D"&amp;ROW())) = "nuevo"),"")</f>
        <v/>
      </c>
    </row>
    <row r="386" ht="27.5" customHeight="1" s="62">
      <c r="B386" t="inlineStr">
        <is>
          <t>Moneda Argentina 20 Centavos 1908</t>
        </is>
      </c>
      <c r="C386" s="0">
        <f>LEN(INDIRECT(ADDRESS(ROW() + (0),COLUMN() + (-1))))</f>
        <v/>
      </c>
      <c r="D386" s="0" t="inlineStr">
        <is>
          <t>Usado</t>
        </is>
      </c>
      <c r="E386" s="38" t="inlineStr">
        <is>
          <t>https://numismaticapopper.com/images/807A.jpeg,https://numismaticapopper.com/images/807B.jpeg</t>
        </is>
      </c>
      <c r="F386" t="inlineStr">
        <is>
          <t>807</t>
        </is>
      </c>
      <c r="G386" s="40" t="n">
        <v>1</v>
      </c>
      <c r="H386" t="n">
        <v>59000</v>
      </c>
      <c r="I386" t="inlineStr">
        <is>
          <t>Estado de conservacion: Buena
Referencia de catalogo: CJ# 59
Material: Cuproníquel
Tirada: 719.000</t>
        </is>
      </c>
      <c r="J386" s="31">
        <f>IF(INDIRECT(ADDRESS(ROW() + (0),COLUMN() + (1)))="Agregar cuotas", IF(("16%")="", "-", "16%"), IF(INDIRECT(ADDRESS(ROW() + (0),COLUMN() + (1)))="No agregar cuotas", IF(("16%")="", "-", "16%"), "-"))</f>
        <v/>
      </c>
      <c r="K386" s="0" t="inlineStr">
        <is>
          <t>No agregar cuotas</t>
        </is>
      </c>
      <c r="L386" s="31">
        <f>IF(INDIRECT(ADDRESS(ROW() + (0),COLUMN() + (-1)))="Agregar cuotas", IF(("13.4%")="", "Sin costo", "13.4%"), IF(INDIRECT(ADDRESS(ROW() + (0),COLUMN() + (-1)))="No agregar cuotas", IF(("")="", "Sin costo", ""), "-"))</f>
        <v/>
      </c>
      <c r="M386" s="0" t="inlineStr">
        <is>
          <t>Mercado Envíos</t>
        </is>
      </c>
      <c r="N386" s="0" t="inlineStr">
        <is>
          <t>A cargo del comprador</t>
        </is>
      </c>
      <c r="O386" s="0" t="inlineStr">
        <is>
          <t>Acepto</t>
        </is>
      </c>
      <c r="P386" s="47" t="inlineStr">
        <is>
          <t>Sin garantía</t>
        </is>
      </c>
      <c r="R386" s="0" t="inlineStr">
        <is>
          <t>Seleccionar</t>
        </is>
      </c>
      <c r="S386" s="0" t="inlineStr">
        <is>
          <t>No ofrezco</t>
        </is>
      </c>
      <c r="T386" t="n">
        <v>1908</v>
      </c>
      <c r="U386" s="0" t="inlineStr">
        <is>
          <t>Argentina</t>
        </is>
      </c>
      <c r="X386" s="0" t="inlineStr">
        <is>
          <t>Níquel</t>
        </is>
      </c>
      <c r="Z386" t="inlineStr">
        <is>
          <t>20 Centavos</t>
        </is>
      </c>
      <c r="AA386" s="0" t="inlineStr">
        <is>
          <t>Peso</t>
        </is>
      </c>
      <c r="AB3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6" s="53">
        <f>IF(OR(TRIM(INDIRECT("B"&amp;ROW())) &lt;&gt; "",TRIM(INDIRECT("A"&amp;ROW())) &lt;&gt; ""),AND(TRIM(INDIRECT("A"&amp;ROW())) &lt;&gt; "",TRIM(INDIRECT("D"&amp;ROW())) = "nuevo"),"")</f>
        <v/>
      </c>
    </row>
    <row r="387" ht="27.5" customHeight="1" s="62">
      <c r="B387" t="inlineStr">
        <is>
          <t>Moneda Países Bajos Duit 1769</t>
        </is>
      </c>
      <c r="C387" s="0">
        <f>LEN(INDIRECT(ADDRESS(ROW() + (0),COLUMN() + (-1))))</f>
        <v/>
      </c>
      <c r="D387" s="0" t="inlineStr">
        <is>
          <t>Usado</t>
        </is>
      </c>
      <c r="E387" s="38" t="inlineStr">
        <is>
          <t>https://numismaticapopper.com/images/809A.jpeg,https://numismaticapopper.com/images/809B.jpeg</t>
        </is>
      </c>
      <c r="F387" t="inlineStr">
        <is>
          <t>809</t>
        </is>
      </c>
      <c r="G387" s="40" t="n">
        <v>1</v>
      </c>
      <c r="H387" t="n">
        <v>40000</v>
      </c>
      <c r="I387" t="inlineStr">
        <is>
          <t>Estado de conservacion: Muy Buena
Referencia de catalogo: KM# 90
Material: Cobre
En 1769, Overijssel era una provincia agrícola de la República de los Países Bajos. Eran tiempos de bastante tensión política en la región entre los partidarios del gobernante Guillermo V de Orange y los 'patriotas' que querían reformas democráticas. En ese contexto, este tipo de piezas de cobre eran las que usaba la gente común para sus compras cotidianas.</t>
        </is>
      </c>
      <c r="J387" s="31">
        <f>IF(INDIRECT(ADDRESS(ROW() + (0),COLUMN() + (1)))="Agregar cuotas", IF(("16%")="", "-", "16%"), IF(INDIRECT(ADDRESS(ROW() + (0),COLUMN() + (1)))="No agregar cuotas", IF(("16%")="", "-", "16%"), "-"))</f>
        <v/>
      </c>
      <c r="K387" s="0" t="inlineStr">
        <is>
          <t>No agregar cuotas</t>
        </is>
      </c>
      <c r="L387" s="31">
        <f>IF(INDIRECT(ADDRESS(ROW() + (0),COLUMN() + (-1)))="Agregar cuotas", IF(("13.4%")="", "Sin costo", "13.4%"), IF(INDIRECT(ADDRESS(ROW() + (0),COLUMN() + (-1)))="No agregar cuotas", IF(("")="", "Sin costo", ""), "-"))</f>
        <v/>
      </c>
      <c r="M387" s="0" t="inlineStr">
        <is>
          <t>Mercado Envíos</t>
        </is>
      </c>
      <c r="N387" s="0" t="inlineStr">
        <is>
          <t>A cargo del comprador</t>
        </is>
      </c>
      <c r="O387" s="0" t="inlineStr">
        <is>
          <t>Acepto</t>
        </is>
      </c>
      <c r="P387" s="47" t="inlineStr">
        <is>
          <t>Sin garantía</t>
        </is>
      </c>
      <c r="R387" s="0" t="inlineStr">
        <is>
          <t>Seleccionar</t>
        </is>
      </c>
      <c r="S387" s="0" t="inlineStr">
        <is>
          <t>No ofrezco</t>
        </is>
      </c>
      <c r="T387" t="n">
        <v>1769</v>
      </c>
      <c r="U387" s="0" t="inlineStr">
        <is>
          <t>Holanda</t>
        </is>
      </c>
      <c r="X387" s="0" t="inlineStr">
        <is>
          <t>Cobre</t>
        </is>
      </c>
      <c r="Z387" t="inlineStr">
        <is>
          <t>Duit</t>
        </is>
      </c>
      <c r="AA387" s="0" t="inlineStr">
        <is>
          <t>Euro</t>
        </is>
      </c>
      <c r="AB3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7" s="53">
        <f>IF(OR(TRIM(INDIRECT("B"&amp;ROW())) &lt;&gt; "",TRIM(INDIRECT("A"&amp;ROW())) &lt;&gt; ""),AND(TRIM(INDIRECT("A"&amp;ROW())) &lt;&gt; "",TRIM(INDIRECT("D"&amp;ROW())) = "nuevo"),"")</f>
        <v/>
      </c>
    </row>
    <row r="388" ht="27.5" customHeight="1" s="62">
      <c r="B388" t="inlineStr">
        <is>
          <t>Moneda Portugal 100 Réis 1900</t>
        </is>
      </c>
      <c r="C388" s="0">
        <f>LEN(INDIRECT(ADDRESS(ROW() + (0),COLUMN() + (-1))))</f>
        <v/>
      </c>
      <c r="D388" s="0" t="inlineStr">
        <is>
          <t>Usado</t>
        </is>
      </c>
      <c r="E388" s="38" t="inlineStr">
        <is>
          <t>https://numismaticapopper.com/images/812A.jpeg,https://numismaticapopper.com/images/812B.jpeg</t>
        </is>
      </c>
      <c r="F388" t="inlineStr">
        <is>
          <t>812</t>
        </is>
      </c>
      <c r="G388" s="40" t="n">
        <v>1</v>
      </c>
      <c r="H388" t="n">
        <v>15000</v>
      </c>
      <c r="I388" t="inlineStr">
        <is>
          <t>Estado de conservacion: Muy Buena +
Referencia de catalogo: KM# 546
Material: Cuproníquel</t>
        </is>
      </c>
      <c r="J388" s="31">
        <f>IF(INDIRECT(ADDRESS(ROW() + (0),COLUMN() + (1)))="Agregar cuotas", IF(("16%")="", "-", "16%"), IF(INDIRECT(ADDRESS(ROW() + (0),COLUMN() + (1)))="No agregar cuotas", IF(("16%")="", "-", "16%"), "-"))</f>
        <v/>
      </c>
      <c r="K388" s="0" t="inlineStr">
        <is>
          <t>No agregar cuotas</t>
        </is>
      </c>
      <c r="L388" s="31">
        <f>IF(INDIRECT(ADDRESS(ROW() + (0),COLUMN() + (-1)))="Agregar cuotas", IF(("13.4%")="", "Sin costo", "13.4%"), IF(INDIRECT(ADDRESS(ROW() + (0),COLUMN() + (-1)))="No agregar cuotas", IF(("")="", "Sin costo", ""), "-"))</f>
        <v/>
      </c>
      <c r="M388" s="0" t="inlineStr">
        <is>
          <t>Mercado Envíos</t>
        </is>
      </c>
      <c r="N388" s="0" t="inlineStr">
        <is>
          <t>A cargo del comprador</t>
        </is>
      </c>
      <c r="O388" s="0" t="inlineStr">
        <is>
          <t>Acepto</t>
        </is>
      </c>
      <c r="P388" s="47" t="inlineStr">
        <is>
          <t>Sin garantía</t>
        </is>
      </c>
      <c r="R388" s="0" t="inlineStr">
        <is>
          <t>Seleccionar</t>
        </is>
      </c>
      <c r="S388" s="0" t="inlineStr">
        <is>
          <t>No ofrezco</t>
        </is>
      </c>
      <c r="T388" t="n">
        <v>1900</v>
      </c>
      <c r="U388" s="0" t="inlineStr">
        <is>
          <t>Portugal</t>
        </is>
      </c>
      <c r="X388" s="0" t="inlineStr">
        <is>
          <t>Níquel</t>
        </is>
      </c>
      <c r="Z388" t="inlineStr">
        <is>
          <t>100 Réis</t>
        </is>
      </c>
      <c r="AA388" s="0" t="inlineStr">
        <is>
          <t>Real</t>
        </is>
      </c>
      <c r="AB3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8" s="53">
        <f>IF(OR(TRIM(INDIRECT("B"&amp;ROW())) &lt;&gt; "",TRIM(INDIRECT("A"&amp;ROW())) &lt;&gt; ""),AND(TRIM(INDIRECT("A"&amp;ROW())) &lt;&gt; "",TRIM(INDIRECT("D"&amp;ROW())) = "nuevo"),"")</f>
        <v/>
      </c>
    </row>
    <row r="389" ht="27.5" customHeight="1" s="62">
      <c r="B389" t="inlineStr">
        <is>
          <t>Moneda Chile 1 Peso 1924</t>
        </is>
      </c>
      <c r="C389" s="0">
        <f>LEN(INDIRECT(ADDRESS(ROW() + (0),COLUMN() + (-1))))</f>
        <v/>
      </c>
      <c r="D389" s="0" t="inlineStr">
        <is>
          <t>Usado</t>
        </is>
      </c>
      <c r="E389" s="38" t="inlineStr">
        <is>
          <t>https://numismaticapopper.com/images/819A.jpeg,https://numismaticapopper.com/images/819B.jpeg</t>
        </is>
      </c>
      <c r="F389" t="inlineStr">
        <is>
          <t>819</t>
        </is>
      </c>
      <c r="G389" s="40" t="n">
        <v>1</v>
      </c>
      <c r="H389" t="n">
        <v>13000</v>
      </c>
      <c r="I389" t="inlineStr">
        <is>
          <t>Estado de conservacion: Muy Buena **
Referencia de catalogo: KM# 152.6
Material: Plata 500
Con detalles</t>
        </is>
      </c>
      <c r="J389" s="31">
        <f>IF(INDIRECT(ADDRESS(ROW() + (0),COLUMN() + (1)))="Agregar cuotas", IF(("16%")="", "-", "16%"), IF(INDIRECT(ADDRESS(ROW() + (0),COLUMN() + (1)))="No agregar cuotas", IF(("16%")="", "-", "16%"), "-"))</f>
        <v/>
      </c>
      <c r="K389" s="0" t="inlineStr">
        <is>
          <t>No agregar cuotas</t>
        </is>
      </c>
      <c r="L389" s="31">
        <f>IF(INDIRECT(ADDRESS(ROW() + (0),COLUMN() + (-1)))="Agregar cuotas", IF(("13.4%")="", "Sin costo", "13.4%"), IF(INDIRECT(ADDRESS(ROW() + (0),COLUMN() + (-1)))="No agregar cuotas", IF(("")="", "Sin costo", ""), "-"))</f>
        <v/>
      </c>
      <c r="M389" s="0" t="inlineStr">
        <is>
          <t>Mercado Envíos</t>
        </is>
      </c>
      <c r="N389" s="0" t="inlineStr">
        <is>
          <t>A cargo del comprador</t>
        </is>
      </c>
      <c r="O389" s="0" t="inlineStr">
        <is>
          <t>Acepto</t>
        </is>
      </c>
      <c r="P389" s="47" t="inlineStr">
        <is>
          <t>Sin garantía</t>
        </is>
      </c>
      <c r="R389" s="0" t="inlineStr">
        <is>
          <t>Seleccionar</t>
        </is>
      </c>
      <c r="S389" s="0" t="inlineStr">
        <is>
          <t>No ofrezco</t>
        </is>
      </c>
      <c r="T389" t="n">
        <v>1924</v>
      </c>
      <c r="U389" s="0" t="inlineStr">
        <is>
          <t>Chile</t>
        </is>
      </c>
      <c r="X389" s="0" t="inlineStr">
        <is>
          <t>Plata</t>
        </is>
      </c>
      <c r="Z389" t="inlineStr">
        <is>
          <t>1 Peso</t>
        </is>
      </c>
      <c r="AA389" s="0" t="inlineStr">
        <is>
          <t>Peso</t>
        </is>
      </c>
      <c r="AB3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89" s="53">
        <f>IF(OR(TRIM(INDIRECT("B"&amp;ROW())) &lt;&gt; "",TRIM(INDIRECT("A"&amp;ROW())) &lt;&gt; ""),AND(TRIM(INDIRECT("A"&amp;ROW())) &lt;&gt; "",TRIM(INDIRECT("D"&amp;ROW())) = "nuevo"),"")</f>
        <v/>
      </c>
    </row>
    <row r="390" ht="27.5" customHeight="1" s="62">
      <c r="B390" t="inlineStr">
        <is>
          <t>Moneda Estados Unidos 1/2 Dollar 1967</t>
        </is>
      </c>
      <c r="C390" s="0">
        <f>LEN(INDIRECT(ADDRESS(ROW() + (0),COLUMN() + (-1))))</f>
        <v/>
      </c>
      <c r="D390" s="0" t="inlineStr">
        <is>
          <t>Usado</t>
        </is>
      </c>
      <c r="E390" s="38" t="inlineStr">
        <is>
          <t>https://numismaticapopper.com/images/820A.jpeg,https://numismaticapopper.com/images/820B.jpeg</t>
        </is>
      </c>
      <c r="F390" t="inlineStr">
        <is>
          <t>820</t>
        </is>
      </c>
      <c r="G390" s="40" t="n">
        <v>1</v>
      </c>
      <c r="H390" t="n">
        <v>28000</v>
      </c>
      <c r="I390" t="inlineStr">
        <is>
          <t>Estado de conservacion: Excelente
Referencia de catalogo: KM# 202a
Material: Plata 40%</t>
        </is>
      </c>
      <c r="J390" s="31">
        <f>IF(INDIRECT(ADDRESS(ROW() + (0),COLUMN() + (1)))="Agregar cuotas", IF(("16%")="", "-", "16%"), IF(INDIRECT(ADDRESS(ROW() + (0),COLUMN() + (1)))="No agregar cuotas", IF(("16%")="", "-", "16%"), "-"))</f>
        <v/>
      </c>
      <c r="K390" s="0" t="inlineStr">
        <is>
          <t>No agregar cuotas</t>
        </is>
      </c>
      <c r="L390" s="31">
        <f>IF(INDIRECT(ADDRESS(ROW() + (0),COLUMN() + (-1)))="Agregar cuotas", IF(("13.4%")="", "Sin costo", "13.4%"), IF(INDIRECT(ADDRESS(ROW() + (0),COLUMN() + (-1)))="No agregar cuotas", IF(("")="", "Sin costo", ""), "-"))</f>
        <v/>
      </c>
      <c r="M390" s="0" t="inlineStr">
        <is>
          <t>Mercado Envíos</t>
        </is>
      </c>
      <c r="N390" s="0" t="inlineStr">
        <is>
          <t>A cargo del comprador</t>
        </is>
      </c>
      <c r="O390" s="0" t="inlineStr">
        <is>
          <t>Acepto</t>
        </is>
      </c>
      <c r="P390" s="47" t="inlineStr">
        <is>
          <t>Sin garantía</t>
        </is>
      </c>
      <c r="R390" s="0" t="inlineStr">
        <is>
          <t>Seleccionar</t>
        </is>
      </c>
      <c r="S390" s="0" t="inlineStr">
        <is>
          <t>No ofrezco</t>
        </is>
      </c>
      <c r="T390" t="n">
        <v>1967</v>
      </c>
      <c r="U390" s="0" t="inlineStr">
        <is>
          <t>Estados Unidos</t>
        </is>
      </c>
      <c r="X390" s="0" t="inlineStr">
        <is>
          <t>Plata</t>
        </is>
      </c>
      <c r="Z390" t="inlineStr">
        <is>
          <t>1/2 Dollar</t>
        </is>
      </c>
      <c r="AA390" s="0" t="inlineStr">
        <is>
          <t>Dólar</t>
        </is>
      </c>
      <c r="AB3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0" s="53">
        <f>IF(OR(TRIM(INDIRECT("B"&amp;ROW())) &lt;&gt; "",TRIM(INDIRECT("A"&amp;ROW())) &lt;&gt; ""),AND(TRIM(INDIRECT("A"&amp;ROW())) &lt;&gt; "",TRIM(INDIRECT("D"&amp;ROW())) = "nuevo"),"")</f>
        <v/>
      </c>
    </row>
    <row r="391" ht="27.5" customHeight="1" s="62">
      <c r="B391" t="inlineStr">
        <is>
          <t>Moneda Suecia 50 Ore 1931</t>
        </is>
      </c>
      <c r="C391" s="0">
        <f>LEN(INDIRECT(ADDRESS(ROW() + (0),COLUMN() + (-1))))</f>
        <v/>
      </c>
      <c r="D391" s="0" t="inlineStr">
        <is>
          <t>Usado</t>
        </is>
      </c>
      <c r="E391" s="38" t="inlineStr">
        <is>
          <t>https://numismaticapopper.com/images/821A.jpeg,https://numismaticapopper.com/images/821B.jpeg</t>
        </is>
      </c>
      <c r="F391" t="inlineStr">
        <is>
          <t>821</t>
        </is>
      </c>
      <c r="G391" s="40" t="n">
        <v>1</v>
      </c>
      <c r="H391" t="n">
        <v>18000</v>
      </c>
      <c r="I391" t="inlineStr">
        <is>
          <t>Estado de conservacion: Muy Buena
Referencia de catalogo: KM# 788
Material: Plata 60%</t>
        </is>
      </c>
      <c r="J391" s="31">
        <f>IF(INDIRECT(ADDRESS(ROW() + (0),COLUMN() + (1)))="Agregar cuotas", IF(("16%")="", "-", "16%"), IF(INDIRECT(ADDRESS(ROW() + (0),COLUMN() + (1)))="No agregar cuotas", IF(("16%")="", "-", "16%"), "-"))</f>
        <v/>
      </c>
      <c r="K391" s="0" t="inlineStr">
        <is>
          <t>No agregar cuotas</t>
        </is>
      </c>
      <c r="L391" s="31">
        <f>IF(INDIRECT(ADDRESS(ROW() + (0),COLUMN() + (-1)))="Agregar cuotas", IF(("13.4%")="", "Sin costo", "13.4%"), IF(INDIRECT(ADDRESS(ROW() + (0),COLUMN() + (-1)))="No agregar cuotas", IF(("")="", "Sin costo", ""), "-"))</f>
        <v/>
      </c>
      <c r="M391" s="0" t="inlineStr">
        <is>
          <t>Mercado Envíos</t>
        </is>
      </c>
      <c r="N391" s="0" t="inlineStr">
        <is>
          <t>A cargo del comprador</t>
        </is>
      </c>
      <c r="O391" s="0" t="inlineStr">
        <is>
          <t>Acepto</t>
        </is>
      </c>
      <c r="P391" s="47" t="inlineStr">
        <is>
          <t>Sin garantía</t>
        </is>
      </c>
      <c r="R391" s="0" t="inlineStr">
        <is>
          <t>Seleccionar</t>
        </is>
      </c>
      <c r="S391" s="0" t="inlineStr">
        <is>
          <t>No ofrezco</t>
        </is>
      </c>
      <c r="T391" t="n">
        <v>1931</v>
      </c>
      <c r="U391" s="0" t="inlineStr">
        <is>
          <t>Dinamarca</t>
        </is>
      </c>
      <c r="X391" s="0" t="inlineStr">
        <is>
          <t>Plata</t>
        </is>
      </c>
      <c r="Z391" t="inlineStr">
        <is>
          <t>50 Ore</t>
        </is>
      </c>
      <c r="AA391" s="0" t="inlineStr">
        <is>
          <t>Euro</t>
        </is>
      </c>
      <c r="AB3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1" s="53">
        <f>IF(OR(TRIM(INDIRECT("B"&amp;ROW())) &lt;&gt; "",TRIM(INDIRECT("A"&amp;ROW())) &lt;&gt; ""),AND(TRIM(INDIRECT("A"&amp;ROW())) &lt;&gt; "",TRIM(INDIRECT("D"&amp;ROW())) = "nuevo"),"")</f>
        <v/>
      </c>
    </row>
    <row r="392" ht="27.5" customHeight="1" s="62">
      <c r="B392" t="inlineStr">
        <is>
          <t>Moneda Marruecos 4 Falus 1871</t>
        </is>
      </c>
      <c r="C392" s="0">
        <f>LEN(INDIRECT(ADDRESS(ROW() + (0),COLUMN() + (-1))))</f>
        <v/>
      </c>
      <c r="D392" s="0" t="inlineStr">
        <is>
          <t>Usado</t>
        </is>
      </c>
      <c r="E392" s="38" t="inlineStr">
        <is>
          <t>https://numismaticapopper.com/images/822A.jpeg,https://numismaticapopper.com/images/822B.jpeg</t>
        </is>
      </c>
      <c r="F392" t="inlineStr">
        <is>
          <t>822</t>
        </is>
      </c>
      <c r="G392" s="40" t="n">
        <v>1</v>
      </c>
      <c r="H392" t="n">
        <v>22000</v>
      </c>
      <c r="I392" t="inlineStr">
        <is>
          <t>Estado de conservacion: Muy Buena
Referencia de catalogo: KM# 166.1
Material: Bronce</t>
        </is>
      </c>
      <c r="J392" s="31">
        <f>IF(INDIRECT(ADDRESS(ROW() + (0),COLUMN() + (1)))="Agregar cuotas", IF(("16%")="", "-", "16%"), IF(INDIRECT(ADDRESS(ROW() + (0),COLUMN() + (1)))="No agregar cuotas", IF(("16%")="", "-", "16%"), "-"))</f>
        <v/>
      </c>
      <c r="K392" s="0" t="inlineStr">
        <is>
          <t>No agregar cuotas</t>
        </is>
      </c>
      <c r="L392" s="31">
        <f>IF(INDIRECT(ADDRESS(ROW() + (0),COLUMN() + (-1)))="Agregar cuotas", IF(("13.4%")="", "Sin costo", "13.4%"), IF(INDIRECT(ADDRESS(ROW() + (0),COLUMN() + (-1)))="No agregar cuotas", IF(("")="", "Sin costo", ""), "-"))</f>
        <v/>
      </c>
      <c r="M392" s="0" t="inlineStr">
        <is>
          <t>Mercado Envíos</t>
        </is>
      </c>
      <c r="N392" s="0" t="inlineStr">
        <is>
          <t>A cargo del comprador</t>
        </is>
      </c>
      <c r="O392" s="0" t="inlineStr">
        <is>
          <t>Acepto</t>
        </is>
      </c>
      <c r="P392" s="47" t="inlineStr">
        <is>
          <t>Sin garantía</t>
        </is>
      </c>
      <c r="R392" s="0" t="inlineStr">
        <is>
          <t>Seleccionar</t>
        </is>
      </c>
      <c r="S392" s="0" t="inlineStr">
        <is>
          <t>No ofrezco</t>
        </is>
      </c>
      <c r="T392" t="n">
        <v>1871</v>
      </c>
      <c r="U392" s="0" t="inlineStr">
        <is>
          <t>Francia</t>
        </is>
      </c>
      <c r="X392" s="0" t="inlineStr">
        <is>
          <t>Bronce</t>
        </is>
      </c>
      <c r="Z392" t="inlineStr">
        <is>
          <t>4 Falus</t>
        </is>
      </c>
      <c r="AA392" s="0" t="inlineStr">
        <is>
          <t>Euro</t>
        </is>
      </c>
      <c r="AB3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2" s="53">
        <f>IF(OR(TRIM(INDIRECT("B"&amp;ROW())) &lt;&gt; "",TRIM(INDIRECT("A"&amp;ROW())) &lt;&gt; ""),AND(TRIM(INDIRECT("A"&amp;ROW())) &lt;&gt; "",TRIM(INDIRECT("D"&amp;ROW())) = "nuevo"),"")</f>
        <v/>
      </c>
    </row>
    <row r="393" ht="27.5" customHeight="1" s="62">
      <c r="B393" t="inlineStr">
        <is>
          <t>Moneda Estados Unidos 1/2 Dollar 1967</t>
        </is>
      </c>
      <c r="C393" s="0">
        <f>LEN(INDIRECT(ADDRESS(ROW() + (0),COLUMN() + (-1))))</f>
        <v/>
      </c>
      <c r="D393" s="0" t="inlineStr">
        <is>
          <t>Usado</t>
        </is>
      </c>
      <c r="E393" s="38" t="inlineStr">
        <is>
          <t>https://numismaticapopper.com/images/823A.jpeg,https://numismaticapopper.com/images/823B.jpeg</t>
        </is>
      </c>
      <c r="F393" t="inlineStr">
        <is>
          <t>823</t>
        </is>
      </c>
      <c r="G393" s="40" t="n">
        <v>1</v>
      </c>
      <c r="H393" t="n">
        <v>26000</v>
      </c>
      <c r="I393" t="inlineStr">
        <is>
          <t>Estado de conservacion: Sin Circular **
Referencia de catalogo: KM# 202a
Material: Plata 40%
Poquito de pegamento</t>
        </is>
      </c>
      <c r="J393" s="31">
        <f>IF(INDIRECT(ADDRESS(ROW() + (0),COLUMN() + (1)))="Agregar cuotas", IF(("16%")="", "-", "16%"), IF(INDIRECT(ADDRESS(ROW() + (0),COLUMN() + (1)))="No agregar cuotas", IF(("16%")="", "-", "16%"), "-"))</f>
        <v/>
      </c>
      <c r="K393" s="0" t="inlineStr">
        <is>
          <t>No agregar cuotas</t>
        </is>
      </c>
      <c r="L393" s="31">
        <f>IF(INDIRECT(ADDRESS(ROW() + (0),COLUMN() + (-1)))="Agregar cuotas", IF(("13.4%")="", "Sin costo", "13.4%"), IF(INDIRECT(ADDRESS(ROW() + (0),COLUMN() + (-1)))="No agregar cuotas", IF(("")="", "Sin costo", ""), "-"))</f>
        <v/>
      </c>
      <c r="M393" s="0" t="inlineStr">
        <is>
          <t>Mercado Envíos</t>
        </is>
      </c>
      <c r="N393" s="0" t="inlineStr">
        <is>
          <t>A cargo del comprador</t>
        </is>
      </c>
      <c r="O393" s="0" t="inlineStr">
        <is>
          <t>Acepto</t>
        </is>
      </c>
      <c r="P393" s="47" t="inlineStr">
        <is>
          <t>Sin garantía</t>
        </is>
      </c>
      <c r="R393" s="0" t="inlineStr">
        <is>
          <t>Seleccionar</t>
        </is>
      </c>
      <c r="S393" s="0" t="inlineStr">
        <is>
          <t>No ofrezco</t>
        </is>
      </c>
      <c r="T393" t="n">
        <v>1967</v>
      </c>
      <c r="U393" s="0" t="inlineStr">
        <is>
          <t>Estados Unidos</t>
        </is>
      </c>
      <c r="X393" s="0" t="inlineStr">
        <is>
          <t>Plata</t>
        </is>
      </c>
      <c r="Z393" t="inlineStr">
        <is>
          <t>1/2 Dollar</t>
        </is>
      </c>
      <c r="AA393" s="0" t="inlineStr">
        <is>
          <t>Dólar</t>
        </is>
      </c>
      <c r="AB3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3" s="53">
        <f>IF(OR(TRIM(INDIRECT("B"&amp;ROW())) &lt;&gt; "",TRIM(INDIRECT("A"&amp;ROW())) &lt;&gt; ""),AND(TRIM(INDIRECT("A"&amp;ROW())) &lt;&gt; "",TRIM(INDIRECT("D"&amp;ROW())) = "nuevo"),"")</f>
        <v/>
      </c>
    </row>
    <row r="394" ht="27.5" customHeight="1" s="62">
      <c r="B394" t="inlineStr">
        <is>
          <t>Moneda Suecia 1 Krona 1954</t>
        </is>
      </c>
      <c r="C394" s="0">
        <f>LEN(INDIRECT(ADDRESS(ROW() + (0),COLUMN() + (-1))))</f>
        <v/>
      </c>
      <c r="D394" s="0" t="inlineStr">
        <is>
          <t>Usado</t>
        </is>
      </c>
      <c r="E394" s="38" t="inlineStr">
        <is>
          <t>https://numismaticapopper.com/images/825A.jpeg,https://numismaticapopper.com/images/825B.jpeg</t>
        </is>
      </c>
      <c r="F394" t="inlineStr">
        <is>
          <t>825</t>
        </is>
      </c>
      <c r="G394" s="40" t="n">
        <v>1</v>
      </c>
      <c r="H394" t="n">
        <v>22000</v>
      </c>
      <c r="I394" t="inlineStr">
        <is>
          <t>Referencia de catalogo: KM# 826
Material: Plata 40%</t>
        </is>
      </c>
      <c r="J394" s="31">
        <f>IF(INDIRECT(ADDRESS(ROW() + (0),COLUMN() + (1)))="Agregar cuotas", IF(("16%")="", "-", "16%"), IF(INDIRECT(ADDRESS(ROW() + (0),COLUMN() + (1)))="No agregar cuotas", IF(("16%")="", "-", "16%"), "-"))</f>
        <v/>
      </c>
      <c r="K394" s="0" t="inlineStr">
        <is>
          <t>No agregar cuotas</t>
        </is>
      </c>
      <c r="L394" s="31">
        <f>IF(INDIRECT(ADDRESS(ROW() + (0),COLUMN() + (-1)))="Agregar cuotas", IF(("13.4%")="", "Sin costo", "13.4%"), IF(INDIRECT(ADDRESS(ROW() + (0),COLUMN() + (-1)))="No agregar cuotas", IF(("")="", "Sin costo", ""), "-"))</f>
        <v/>
      </c>
      <c r="M394" s="0" t="inlineStr">
        <is>
          <t>Mercado Envíos</t>
        </is>
      </c>
      <c r="N394" s="0" t="inlineStr">
        <is>
          <t>A cargo del comprador</t>
        </is>
      </c>
      <c r="O394" s="0" t="inlineStr">
        <is>
          <t>Acepto</t>
        </is>
      </c>
      <c r="P394" s="47" t="inlineStr">
        <is>
          <t>Sin garantía</t>
        </is>
      </c>
      <c r="R394" s="0" t="inlineStr">
        <is>
          <t>Seleccionar</t>
        </is>
      </c>
      <c r="S394" s="0" t="inlineStr">
        <is>
          <t>No ofrezco</t>
        </is>
      </c>
      <c r="T394" t="n">
        <v>1954</v>
      </c>
      <c r="U394" s="0" t="inlineStr">
        <is>
          <t>Dinamarca</t>
        </is>
      </c>
      <c r="X394" s="0" t="inlineStr">
        <is>
          <t>Plata</t>
        </is>
      </c>
      <c r="Z394" t="inlineStr">
        <is>
          <t>1 Krona</t>
        </is>
      </c>
      <c r="AA394" s="0" t="inlineStr">
        <is>
          <t>Euro</t>
        </is>
      </c>
      <c r="AB3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4" s="53">
        <f>IF(OR(TRIM(INDIRECT("B"&amp;ROW())) &lt;&gt; "",TRIM(INDIRECT("A"&amp;ROW())) &lt;&gt; ""),AND(TRIM(INDIRECT("A"&amp;ROW())) &lt;&gt; "",TRIM(INDIRECT("D"&amp;ROW())) = "nuevo"),"")</f>
        <v/>
      </c>
    </row>
    <row r="395" ht="27.5" customHeight="1" s="62">
      <c r="B395" t="inlineStr">
        <is>
          <t>Moneda Argentina 5 Pesos 1994</t>
        </is>
      </c>
      <c r="C395" s="0">
        <f>LEN(INDIRECT(ADDRESS(ROW() + (0),COLUMN() + (-1))))</f>
        <v/>
      </c>
      <c r="D395" s="0" t="inlineStr">
        <is>
          <t>Usado</t>
        </is>
      </c>
      <c r="E395" s="38" t="inlineStr">
        <is>
          <t>https://numismaticapopper.com/images/826A.jpeg,https://numismaticapopper.com/images/826B.jpeg</t>
        </is>
      </c>
      <c r="F395" t="inlineStr">
        <is>
          <t>826</t>
        </is>
      </c>
      <c r="G395" s="40" t="n">
        <v>1</v>
      </c>
      <c r="H395" t="n">
        <v>11000</v>
      </c>
      <c r="I395" t="inlineStr">
        <is>
          <t>Referencia de catalogo: CJ# 8.1.1
Material: Níquel</t>
        </is>
      </c>
      <c r="J395" s="31">
        <f>IF(INDIRECT(ADDRESS(ROW() + (0),COLUMN() + (1)))="Agregar cuotas", IF(("16%")="", "-", "16%"), IF(INDIRECT(ADDRESS(ROW() + (0),COLUMN() + (1)))="No agregar cuotas", IF(("16%")="", "-", "16%"), "-"))</f>
        <v/>
      </c>
      <c r="K395" s="0" t="inlineStr">
        <is>
          <t>No agregar cuotas</t>
        </is>
      </c>
      <c r="L395" s="31">
        <f>IF(INDIRECT(ADDRESS(ROW() + (0),COLUMN() + (-1)))="Agregar cuotas", IF(("13.4%")="", "Sin costo", "13.4%"), IF(INDIRECT(ADDRESS(ROW() + (0),COLUMN() + (-1)))="No agregar cuotas", IF(("")="", "Sin costo", ""), "-"))</f>
        <v/>
      </c>
      <c r="M395" s="0" t="inlineStr">
        <is>
          <t>Mercado Envíos</t>
        </is>
      </c>
      <c r="N395" s="0" t="inlineStr">
        <is>
          <t>A cargo del comprador</t>
        </is>
      </c>
      <c r="O395" s="0" t="inlineStr">
        <is>
          <t>Acepto</t>
        </is>
      </c>
      <c r="P395" s="47" t="inlineStr">
        <is>
          <t>Sin garantía</t>
        </is>
      </c>
      <c r="R395" s="0" t="inlineStr">
        <is>
          <t>Seleccionar</t>
        </is>
      </c>
      <c r="S395" s="0" t="inlineStr">
        <is>
          <t>No ofrezco</t>
        </is>
      </c>
      <c r="T395" t="n">
        <v>1994</v>
      </c>
      <c r="U395" s="0" t="inlineStr">
        <is>
          <t>Argentina</t>
        </is>
      </c>
      <c r="X395" s="0" t="inlineStr">
        <is>
          <t>Níquel</t>
        </is>
      </c>
      <c r="Z395" t="inlineStr">
        <is>
          <t>5 Pesos</t>
        </is>
      </c>
      <c r="AA395" s="0" t="inlineStr">
        <is>
          <t>Peso</t>
        </is>
      </c>
      <c r="AB3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5" s="53">
        <f>IF(OR(TRIM(INDIRECT("B"&amp;ROW())) &lt;&gt; "",TRIM(INDIRECT("A"&amp;ROW())) &lt;&gt; ""),AND(TRIM(INDIRECT("A"&amp;ROW())) &lt;&gt; "",TRIM(INDIRECT("D"&amp;ROW())) = "nuevo"),"")</f>
        <v/>
      </c>
    </row>
    <row r="396" ht="27.5" customHeight="1" s="62">
      <c r="B396" t="inlineStr">
        <is>
          <t>Moneda Medalla Medalla Centenario Argentino 1810 1910</t>
        </is>
      </c>
      <c r="C396" s="0">
        <f>LEN(INDIRECT(ADDRESS(ROW() + (0),COLUMN() + (-1))))</f>
        <v/>
      </c>
      <c r="D396" s="0" t="inlineStr">
        <is>
          <t>Usado</t>
        </is>
      </c>
      <c r="E396" s="38" t="inlineStr">
        <is>
          <t>https://numismaticapopper.com/images/827A.jpeg,https://numismaticapopper.com/images/827B.jpeg</t>
        </is>
      </c>
      <c r="F396" t="inlineStr">
        <is>
          <t>827</t>
        </is>
      </c>
      <c r="G396" s="40" t="n">
        <v>1</v>
      </c>
      <c r="H396" t="n">
        <v>11000</v>
      </c>
      <c r="I396" t="inlineStr">
        <is>
          <t>Estado de conservacion: Excelente
Referencia de catalogo: CEMI# AGL01
Material: Bronce de aluminio
Argentina</t>
        </is>
      </c>
      <c r="J396" s="31">
        <f>IF(INDIRECT(ADDRESS(ROW() + (0),COLUMN() + (1)))="Agregar cuotas", IF(("16%")="", "-", "16%"), IF(INDIRECT(ADDRESS(ROW() + (0),COLUMN() + (1)))="No agregar cuotas", IF(("16%")="", "-", "16%"), "-"))</f>
        <v/>
      </c>
      <c r="K396" s="0" t="inlineStr">
        <is>
          <t>No agregar cuotas</t>
        </is>
      </c>
      <c r="L396" s="31">
        <f>IF(INDIRECT(ADDRESS(ROW() + (0),COLUMN() + (-1)))="Agregar cuotas", IF(("13.4%")="", "Sin costo", "13.4%"), IF(INDIRECT(ADDRESS(ROW() + (0),COLUMN() + (-1)))="No agregar cuotas", IF(("")="", "Sin costo", ""), "-"))</f>
        <v/>
      </c>
      <c r="M396" s="0" t="inlineStr">
        <is>
          <t>Mercado Envíos</t>
        </is>
      </c>
      <c r="N396" s="0" t="inlineStr">
        <is>
          <t>A cargo del comprador</t>
        </is>
      </c>
      <c r="O396" s="0" t="inlineStr">
        <is>
          <t>Acepto</t>
        </is>
      </c>
      <c r="P396" s="47" t="inlineStr">
        <is>
          <t>Sin garantía</t>
        </is>
      </c>
      <c r="R396" s="0" t="inlineStr">
        <is>
          <t>Seleccionar</t>
        </is>
      </c>
      <c r="S396" s="0" t="inlineStr">
        <is>
          <t>No ofrezco</t>
        </is>
      </c>
      <c r="T396" t="n">
        <v>1910</v>
      </c>
      <c r="U396" s="0" t="inlineStr">
        <is>
          <t>Argentina</t>
        </is>
      </c>
      <c r="X396" s="0" t="inlineStr">
        <is>
          <t>Bronce</t>
        </is>
      </c>
      <c r="Z396" t="inlineStr">
        <is>
          <t>Medalla Centenario Argentino 1810</t>
        </is>
      </c>
      <c r="AA396" s="0" t="inlineStr">
        <is>
          <t>Peso</t>
        </is>
      </c>
      <c r="AB3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6" s="53">
        <f>IF(OR(TRIM(INDIRECT("B"&amp;ROW())) &lt;&gt; "",TRIM(INDIRECT("A"&amp;ROW())) &lt;&gt; ""),AND(TRIM(INDIRECT("A"&amp;ROW())) &lt;&gt; "",TRIM(INDIRECT("D"&amp;ROW())) = "nuevo"),"")</f>
        <v/>
      </c>
    </row>
    <row r="397" ht="27.5" customHeight="1" s="62">
      <c r="B397" t="inlineStr">
        <is>
          <t>Moneda Uruguay 1 Nuevo Peso 1989</t>
        </is>
      </c>
      <c r="C397" s="0">
        <f>LEN(INDIRECT(ADDRESS(ROW() + (0),COLUMN() + (-1))))</f>
        <v/>
      </c>
      <c r="D397" s="0" t="inlineStr">
        <is>
          <t>Usado</t>
        </is>
      </c>
      <c r="E397" s="38" t="inlineStr">
        <is>
          <t>https://numismaticapopper.com/images/829A.jpeg,https://numismaticapopper.com/images/829B.jpeg</t>
        </is>
      </c>
      <c r="F397" t="inlineStr">
        <is>
          <t>829</t>
        </is>
      </c>
      <c r="G397" s="40" t="n">
        <v>1</v>
      </c>
      <c r="H397" t="n">
        <v>11000</v>
      </c>
      <c r="I397" t="inlineStr">
        <is>
          <t>Estado de conservacion: Sin Circular
Referencia de catalogo: KM# 95
Material: Acero inoxidable
Se cree que una gran parte de estas monedas fueron retiradas y luego fundidas tras su desmonetización en 1995, debido a su escasa circulación y bajo valor. Esto ayuda a explicar por qué hoy es relativamente difícil encontrarlas.</t>
        </is>
      </c>
      <c r="J397" s="31">
        <f>IF(INDIRECT(ADDRESS(ROW() + (0),COLUMN() + (1)))="Agregar cuotas", IF(("16%")="", "-", "16%"), IF(INDIRECT(ADDRESS(ROW() + (0),COLUMN() + (1)))="No agregar cuotas", IF(("16%")="", "-", "16%"), "-"))</f>
        <v/>
      </c>
      <c r="K397" s="0" t="inlineStr">
        <is>
          <t>No agregar cuotas</t>
        </is>
      </c>
      <c r="L397" s="31">
        <f>IF(INDIRECT(ADDRESS(ROW() + (0),COLUMN() + (-1)))="Agregar cuotas", IF(("13.4%")="", "Sin costo", "13.4%"), IF(INDIRECT(ADDRESS(ROW() + (0),COLUMN() + (-1)))="No agregar cuotas", IF(("")="", "Sin costo", ""), "-"))</f>
        <v/>
      </c>
      <c r="M397" s="0" t="inlineStr">
        <is>
          <t>Mercado Envíos</t>
        </is>
      </c>
      <c r="N397" s="0" t="inlineStr">
        <is>
          <t>A cargo del comprador</t>
        </is>
      </c>
      <c r="O397" s="0" t="inlineStr">
        <is>
          <t>Acepto</t>
        </is>
      </c>
      <c r="P397" s="47" t="inlineStr">
        <is>
          <t>Sin garantía</t>
        </is>
      </c>
      <c r="R397" s="0" t="inlineStr">
        <is>
          <t>Seleccionar</t>
        </is>
      </c>
      <c r="S397" s="0" t="inlineStr">
        <is>
          <t>No ofrezco</t>
        </is>
      </c>
      <c r="T397" t="n">
        <v>1989</v>
      </c>
      <c r="U397" s="0" t="inlineStr">
        <is>
          <t>Uruguay</t>
        </is>
      </c>
      <c r="X397" s="0" t="inlineStr">
        <is>
          <t>Níquel</t>
        </is>
      </c>
      <c r="Z397" t="inlineStr">
        <is>
          <t>1 Nuevo Peso</t>
        </is>
      </c>
      <c r="AA397" s="0" t="inlineStr">
        <is>
          <t>Peso</t>
        </is>
      </c>
      <c r="AB3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7" s="53">
        <f>IF(OR(TRIM(INDIRECT("B"&amp;ROW())) &lt;&gt; "",TRIM(INDIRECT("A"&amp;ROW())) &lt;&gt; ""),AND(TRIM(INDIRECT("A"&amp;ROW())) &lt;&gt; "",TRIM(INDIRECT("D"&amp;ROW())) = "nuevo"),"")</f>
        <v/>
      </c>
    </row>
    <row r="398" ht="27.5" customHeight="1" s="62">
      <c r="B398" t="inlineStr">
        <is>
          <t>Moneda Argentina 5 Centavos 1936</t>
        </is>
      </c>
      <c r="C398" s="0">
        <f>LEN(INDIRECT(ADDRESS(ROW() + (0),COLUMN() + (-1))))</f>
        <v/>
      </c>
      <c r="D398" s="0" t="inlineStr">
        <is>
          <t>Usado</t>
        </is>
      </c>
      <c r="E398" s="38" t="inlineStr">
        <is>
          <t>https://numismaticapopper.com/images/832A.jpeg,https://numismaticapopper.com/images/832B.jpeg</t>
        </is>
      </c>
      <c r="F398" t="inlineStr">
        <is>
          <t>832</t>
        </is>
      </c>
      <c r="G398" s="40" t="n">
        <v>1</v>
      </c>
      <c r="H398" t="n">
        <v>9000</v>
      </c>
      <c r="I398" t="inlineStr">
        <is>
          <t>Estado de conservacion: Sin Circular
Referencia de catalogo: CJ# 166
Material: Cuproníquel</t>
        </is>
      </c>
      <c r="J398" s="31">
        <f>IF(INDIRECT(ADDRESS(ROW() + (0),COLUMN() + (1)))="Agregar cuotas", IF(("16%")="", "-", "16%"), IF(INDIRECT(ADDRESS(ROW() + (0),COLUMN() + (1)))="No agregar cuotas", IF(("16%")="", "-", "16%"), "-"))</f>
        <v/>
      </c>
      <c r="K398" s="0" t="inlineStr">
        <is>
          <t>No agregar cuotas</t>
        </is>
      </c>
      <c r="L398" s="31">
        <f>IF(INDIRECT(ADDRESS(ROW() + (0),COLUMN() + (-1)))="Agregar cuotas", IF(("13.4%")="", "Sin costo", "13.4%"), IF(INDIRECT(ADDRESS(ROW() + (0),COLUMN() + (-1)))="No agregar cuotas", IF(("")="", "Sin costo", ""), "-"))</f>
        <v/>
      </c>
      <c r="M398" s="0" t="inlineStr">
        <is>
          <t>Mercado Envíos</t>
        </is>
      </c>
      <c r="N398" s="0" t="inlineStr">
        <is>
          <t>A cargo del comprador</t>
        </is>
      </c>
      <c r="O398" s="0" t="inlineStr">
        <is>
          <t>Acepto</t>
        </is>
      </c>
      <c r="P398" s="47" t="inlineStr">
        <is>
          <t>Sin garantía</t>
        </is>
      </c>
      <c r="R398" s="0" t="inlineStr">
        <is>
          <t>Seleccionar</t>
        </is>
      </c>
      <c r="S398" s="0" t="inlineStr">
        <is>
          <t>No ofrezco</t>
        </is>
      </c>
      <c r="T398" t="n">
        <v>1936</v>
      </c>
      <c r="U398" s="0" t="inlineStr">
        <is>
          <t>Argentina</t>
        </is>
      </c>
      <c r="X398" s="0" t="inlineStr">
        <is>
          <t>Níquel</t>
        </is>
      </c>
      <c r="Z398" t="inlineStr">
        <is>
          <t>5 Centavos</t>
        </is>
      </c>
      <c r="AA398" s="0" t="inlineStr">
        <is>
          <t>Peso</t>
        </is>
      </c>
      <c r="AB3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8" s="53">
        <f>IF(OR(TRIM(INDIRECT("B"&amp;ROW())) &lt;&gt; "",TRIM(INDIRECT("A"&amp;ROW())) &lt;&gt; ""),AND(TRIM(INDIRECT("A"&amp;ROW())) &lt;&gt; "",TRIM(INDIRECT("D"&amp;ROW())) = "nuevo"),"")</f>
        <v/>
      </c>
    </row>
    <row r="399" ht="27.5" customHeight="1" s="62">
      <c r="B399" t="inlineStr">
        <is>
          <t>Moneda Argentina 5 Centavos 1939</t>
        </is>
      </c>
      <c r="C399" s="0">
        <f>LEN(INDIRECT(ADDRESS(ROW() + (0),COLUMN() + (-1))))</f>
        <v/>
      </c>
      <c r="D399" s="0" t="inlineStr">
        <is>
          <t>Usado</t>
        </is>
      </c>
      <c r="E399" s="38" t="inlineStr">
        <is>
          <t>https://numismaticapopper.com/images/833A.jpeg,https://numismaticapopper.com/images/833B.jpeg</t>
        </is>
      </c>
      <c r="F399" t="inlineStr">
        <is>
          <t>833</t>
        </is>
      </c>
      <c r="G399" s="40" t="n">
        <v>1</v>
      </c>
      <c r="H399" t="n">
        <v>7000</v>
      </c>
      <c r="I399" t="inlineStr">
        <is>
          <t>Estado de conservacion: Excelente +
Referencia de catalogo: CJ# 169
Material: Cuproníquel</t>
        </is>
      </c>
      <c r="J399" s="31">
        <f>IF(INDIRECT(ADDRESS(ROW() + (0),COLUMN() + (1)))="Agregar cuotas", IF(("16%")="", "-", "16%"), IF(INDIRECT(ADDRESS(ROW() + (0),COLUMN() + (1)))="No agregar cuotas", IF(("16%")="", "-", "16%"), "-"))</f>
        <v/>
      </c>
      <c r="K399" s="0" t="inlineStr">
        <is>
          <t>No agregar cuotas</t>
        </is>
      </c>
      <c r="L399" s="31">
        <f>IF(INDIRECT(ADDRESS(ROW() + (0),COLUMN() + (-1)))="Agregar cuotas", IF(("13.4%")="", "Sin costo", "13.4%"), IF(INDIRECT(ADDRESS(ROW() + (0),COLUMN() + (-1)))="No agregar cuotas", IF(("")="", "Sin costo", ""), "-"))</f>
        <v/>
      </c>
      <c r="M399" s="0" t="inlineStr">
        <is>
          <t>Mercado Envíos</t>
        </is>
      </c>
      <c r="N399" s="0" t="inlineStr">
        <is>
          <t>A cargo del comprador</t>
        </is>
      </c>
      <c r="O399" s="0" t="inlineStr">
        <is>
          <t>Acepto</t>
        </is>
      </c>
      <c r="P399" s="47" t="inlineStr">
        <is>
          <t>Sin garantía</t>
        </is>
      </c>
      <c r="R399" s="0" t="inlineStr">
        <is>
          <t>Seleccionar</t>
        </is>
      </c>
      <c r="S399" s="0" t="inlineStr">
        <is>
          <t>No ofrezco</t>
        </is>
      </c>
      <c r="T399" t="n">
        <v>1939</v>
      </c>
      <c r="U399" s="0" t="inlineStr">
        <is>
          <t>Argentina</t>
        </is>
      </c>
      <c r="X399" s="0" t="inlineStr">
        <is>
          <t>Níquel</t>
        </is>
      </c>
      <c r="Z399" t="inlineStr">
        <is>
          <t>5 Centavos</t>
        </is>
      </c>
      <c r="AA399" s="0" t="inlineStr">
        <is>
          <t>Peso</t>
        </is>
      </c>
      <c r="AB3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399" s="53">
        <f>IF(OR(TRIM(INDIRECT("B"&amp;ROW())) &lt;&gt; "",TRIM(INDIRECT("A"&amp;ROW())) &lt;&gt; ""),AND(TRIM(INDIRECT("A"&amp;ROW())) &lt;&gt; "",TRIM(INDIRECT("D"&amp;ROW())) = "nuevo"),"")</f>
        <v/>
      </c>
    </row>
    <row r="400" ht="27.5" customHeight="1" s="62">
      <c r="B400" t="inlineStr">
        <is>
          <t>Moneda Argentina 5 Centavos 1931</t>
        </is>
      </c>
      <c r="C400" s="0">
        <f>LEN(INDIRECT(ADDRESS(ROW() + (0),COLUMN() + (-1))))</f>
        <v/>
      </c>
      <c r="D400" s="0" t="inlineStr">
        <is>
          <t>Usado</t>
        </is>
      </c>
      <c r="E400" s="38" t="inlineStr">
        <is>
          <t>https://numismaticapopper.com/images/834A.jpeg,https://numismaticapopper.com/images/834B.jpeg</t>
        </is>
      </c>
      <c r="F400" t="inlineStr">
        <is>
          <t>834</t>
        </is>
      </c>
      <c r="G400" s="40" t="n">
        <v>1</v>
      </c>
      <c r="H400" t="n">
        <v>15000</v>
      </c>
      <c r="I400" t="inlineStr">
        <is>
          <t>Estado de conservacion: Excelente
Referencia de catalogo: CJ# 162
Material: Cuproníquel
Tirada: 506.361</t>
        </is>
      </c>
      <c r="J400" s="31">
        <f>IF(INDIRECT(ADDRESS(ROW() + (0),COLUMN() + (1)))="Agregar cuotas", IF(("16%")="", "-", "16%"), IF(INDIRECT(ADDRESS(ROW() + (0),COLUMN() + (1)))="No agregar cuotas", IF(("16%")="", "-", "16%"), "-"))</f>
        <v/>
      </c>
      <c r="K400" s="0" t="inlineStr">
        <is>
          <t>No agregar cuotas</t>
        </is>
      </c>
      <c r="L400" s="31">
        <f>IF(INDIRECT(ADDRESS(ROW() + (0),COLUMN() + (-1)))="Agregar cuotas", IF(("13.4%")="", "Sin costo", "13.4%"), IF(INDIRECT(ADDRESS(ROW() + (0),COLUMN() + (-1)))="No agregar cuotas", IF(("")="", "Sin costo", ""), "-"))</f>
        <v/>
      </c>
      <c r="M400" s="0" t="inlineStr">
        <is>
          <t>Mercado Envíos</t>
        </is>
      </c>
      <c r="N400" s="0" t="inlineStr">
        <is>
          <t>A cargo del comprador</t>
        </is>
      </c>
      <c r="O400" s="0" t="inlineStr">
        <is>
          <t>Acepto</t>
        </is>
      </c>
      <c r="P400" s="47" t="inlineStr">
        <is>
          <t>Sin garantía</t>
        </is>
      </c>
      <c r="R400" s="0" t="inlineStr">
        <is>
          <t>Seleccionar</t>
        </is>
      </c>
      <c r="S400" s="0" t="inlineStr">
        <is>
          <t>No ofrezco</t>
        </is>
      </c>
      <c r="T400" t="n">
        <v>1931</v>
      </c>
      <c r="U400" s="0" t="inlineStr">
        <is>
          <t>Argentina</t>
        </is>
      </c>
      <c r="X400" s="0" t="inlineStr">
        <is>
          <t>Níquel</t>
        </is>
      </c>
      <c r="Z400" t="inlineStr">
        <is>
          <t>5 Centavos</t>
        </is>
      </c>
      <c r="AA400" s="0" t="inlineStr">
        <is>
          <t>Peso</t>
        </is>
      </c>
      <c r="AB4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0" s="53">
        <f>IF(OR(TRIM(INDIRECT("B"&amp;ROW())) &lt;&gt; "",TRIM(INDIRECT("A"&amp;ROW())) &lt;&gt; ""),AND(TRIM(INDIRECT("A"&amp;ROW())) &lt;&gt; "",TRIM(INDIRECT("D"&amp;ROW())) = "nuevo"),"")</f>
        <v/>
      </c>
    </row>
    <row r="401" ht="27.5" customHeight="1" s="62">
      <c r="B401" t="inlineStr">
        <is>
          <t>Moneda Indias Orientales Neerlandesas Cent 1901</t>
        </is>
      </c>
      <c r="C401" s="0">
        <f>LEN(INDIRECT(ADDRESS(ROW() + (0),COLUMN() + (-1))))</f>
        <v/>
      </c>
      <c r="D401" s="0" t="inlineStr">
        <is>
          <t>Usado</t>
        </is>
      </c>
      <c r="E401" s="38" t="inlineStr">
        <is>
          <t>https://numismaticapopper.com/images/836A.jpeg,https://numismaticapopper.com/images/836B.jpeg</t>
        </is>
      </c>
      <c r="F401" t="inlineStr">
        <is>
          <t>836</t>
        </is>
      </c>
      <c r="G401" s="40" t="n">
        <v>1</v>
      </c>
      <c r="H401" t="n">
        <v>9000</v>
      </c>
      <c r="I401" t="inlineStr">
        <is>
          <t>Estado de conservacion: Regular +
Referencia de catalogo: KM# 307.1
Las Indias Orientales Neerlandesas fueron la colonia que los Países Bajos administraron en el sudeste asiático entre los siglos XVII y XX. Abarcaban la mayor parte del actual territorio de Indonesia y eran una de las principales fuentes de especias, caucho, petróleo y otros recursos. Tras la Segunda Guerra Mundial, lograron su independencia y dieron origen a la República de Indonesia.</t>
        </is>
      </c>
      <c r="J401" s="31">
        <f>IF(INDIRECT(ADDRESS(ROW() + (0),COLUMN() + (1)))="Agregar cuotas", IF(("16%")="", "-", "16%"), IF(INDIRECT(ADDRESS(ROW() + (0),COLUMN() + (1)))="No agregar cuotas", IF(("16%")="", "-", "16%"), "-"))</f>
        <v/>
      </c>
      <c r="K401" s="0" t="inlineStr">
        <is>
          <t>No agregar cuotas</t>
        </is>
      </c>
      <c r="L401" s="31">
        <f>IF(INDIRECT(ADDRESS(ROW() + (0),COLUMN() + (-1)))="Agregar cuotas", IF(("13.4%")="", "Sin costo", "13.4%"), IF(INDIRECT(ADDRESS(ROW() + (0),COLUMN() + (-1)))="No agregar cuotas", IF(("")="", "Sin costo", ""), "-"))</f>
        <v/>
      </c>
      <c r="M401" s="0" t="inlineStr">
        <is>
          <t>Mercado Envíos</t>
        </is>
      </c>
      <c r="N401" s="0" t="inlineStr">
        <is>
          <t>A cargo del comprador</t>
        </is>
      </c>
      <c r="O401" s="0" t="inlineStr">
        <is>
          <t>Acepto</t>
        </is>
      </c>
      <c r="P401" s="47" t="inlineStr">
        <is>
          <t>Sin garantía</t>
        </is>
      </c>
      <c r="R401" s="0" t="inlineStr">
        <is>
          <t>Seleccionar</t>
        </is>
      </c>
      <c r="S401" s="0" t="inlineStr">
        <is>
          <t>No ofrezco</t>
        </is>
      </c>
      <c r="T401" t="n">
        <v>1901</v>
      </c>
      <c r="U401" s="0" t="inlineStr">
        <is>
          <t>Holanda</t>
        </is>
      </c>
      <c r="X401" s="0" t="inlineStr">
        <is>
          <t>Níquel</t>
        </is>
      </c>
      <c r="Z401" t="inlineStr">
        <is>
          <t>Cent</t>
        </is>
      </c>
      <c r="AA401" s="0" t="inlineStr">
        <is>
          <t>Dólar</t>
        </is>
      </c>
      <c r="AB4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1" s="53">
        <f>IF(OR(TRIM(INDIRECT("B"&amp;ROW())) &lt;&gt; "",TRIM(INDIRECT("A"&amp;ROW())) &lt;&gt; ""),AND(TRIM(INDIRECT("A"&amp;ROW())) &lt;&gt; "",TRIM(INDIRECT("D"&amp;ROW())) = "nuevo"),"")</f>
        <v/>
      </c>
    </row>
    <row r="402" ht="27.5" customHeight="1" s="62">
      <c r="B402" t="inlineStr">
        <is>
          <t>Moneda Indias Orientales Neerlandesas Cent 1856</t>
        </is>
      </c>
      <c r="C402" s="0">
        <f>LEN(INDIRECT(ADDRESS(ROW() + (0),COLUMN() + (-1))))</f>
        <v/>
      </c>
      <c r="D402" s="0" t="inlineStr">
        <is>
          <t>Usado</t>
        </is>
      </c>
      <c r="E402" s="38" t="inlineStr">
        <is>
          <t>https://numismaticapopper.com/images/837A.jpeg,https://numismaticapopper.com/images/837B.jpeg</t>
        </is>
      </c>
      <c r="F402" t="inlineStr">
        <is>
          <t>837</t>
        </is>
      </c>
      <c r="G402" s="40" t="n">
        <v>1</v>
      </c>
      <c r="H402" t="n">
        <v>10000</v>
      </c>
      <c r="I402" t="inlineStr">
        <is>
          <t>Estado de conservacion: Regular +
Referencia de catalogo: KM# 307.1
Las Indias Orientales Neerlandesas fueron la colonia que los Países Bajos administraron en el sudeste asiático entre los siglos XVII y XX. Abarcaban la mayor parte del actual territorio de Indonesia y eran una de las principales fuentes de especias, caucho, petróleo y otros recursos. Tras la Segunda Guerra Mundial, lograron su independencia y dieron origen a la República de Indonesia.</t>
        </is>
      </c>
      <c r="J402" s="31">
        <f>IF(INDIRECT(ADDRESS(ROW() + (0),COLUMN() + (1)))="Agregar cuotas", IF(("16%")="", "-", "16%"), IF(INDIRECT(ADDRESS(ROW() + (0),COLUMN() + (1)))="No agregar cuotas", IF(("16%")="", "-", "16%"), "-"))</f>
        <v/>
      </c>
      <c r="K402" s="0" t="inlineStr">
        <is>
          <t>No agregar cuotas</t>
        </is>
      </c>
      <c r="L402" s="31">
        <f>IF(INDIRECT(ADDRESS(ROW() + (0),COLUMN() + (-1)))="Agregar cuotas", IF(("13.4%")="", "Sin costo", "13.4%"), IF(INDIRECT(ADDRESS(ROW() + (0),COLUMN() + (-1)))="No agregar cuotas", IF(("")="", "Sin costo", ""), "-"))</f>
        <v/>
      </c>
      <c r="M402" s="0" t="inlineStr">
        <is>
          <t>Mercado Envíos</t>
        </is>
      </c>
      <c r="N402" s="0" t="inlineStr">
        <is>
          <t>A cargo del comprador</t>
        </is>
      </c>
      <c r="O402" s="0" t="inlineStr">
        <is>
          <t>Acepto</t>
        </is>
      </c>
      <c r="P402" s="47" t="inlineStr">
        <is>
          <t>Sin garantía</t>
        </is>
      </c>
      <c r="R402" s="0" t="inlineStr">
        <is>
          <t>Seleccionar</t>
        </is>
      </c>
      <c r="S402" s="0" t="inlineStr">
        <is>
          <t>No ofrezco</t>
        </is>
      </c>
      <c r="T402" t="n">
        <v>1856</v>
      </c>
      <c r="U402" s="0" t="inlineStr">
        <is>
          <t>Holanda</t>
        </is>
      </c>
      <c r="X402" s="0" t="inlineStr">
        <is>
          <t>Níquel</t>
        </is>
      </c>
      <c r="Z402" t="inlineStr">
        <is>
          <t>Cent</t>
        </is>
      </c>
      <c r="AA402" s="0" t="inlineStr">
        <is>
          <t>Dólar</t>
        </is>
      </c>
      <c r="AB4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2" s="53">
        <f>IF(OR(TRIM(INDIRECT("B"&amp;ROW())) &lt;&gt; "",TRIM(INDIRECT("A"&amp;ROW())) &lt;&gt; ""),AND(TRIM(INDIRECT("A"&amp;ROW())) &lt;&gt; "",TRIM(INDIRECT("D"&amp;ROW())) = "nuevo"),"")</f>
        <v/>
      </c>
    </row>
    <row r="403" ht="27.5" customHeight="1" s="62">
      <c r="B403" t="inlineStr">
        <is>
          <t>Moneda Indias Orientales Neerlandesas 1/2 Cent 1859</t>
        </is>
      </c>
      <c r="C403" s="0">
        <f>LEN(INDIRECT(ADDRESS(ROW() + (0),COLUMN() + (-1))))</f>
        <v/>
      </c>
      <c r="D403" s="0" t="inlineStr">
        <is>
          <t>Usado</t>
        </is>
      </c>
      <c r="E403" s="38" t="inlineStr">
        <is>
          <t>https://numismaticapopper.com/images/838A.jpeg,https://numismaticapopper.com/images/838B.jpeg</t>
        </is>
      </c>
      <c r="F403" t="inlineStr">
        <is>
          <t>838</t>
        </is>
      </c>
      <c r="G403" s="40" t="n">
        <v>1</v>
      </c>
      <c r="H403" t="n">
        <v>9000</v>
      </c>
      <c r="I403" t="inlineStr">
        <is>
          <t>Estado de conservacion: Regular +
Referencia de catalogo: KM# 306
Las Indias Orientales Neerlandesas fueron la colonia que los Países Bajos administraron en el sudeste asiático entre los siglos XVII y XX. Abarcaban la mayor parte del actual territorio de Indonesia y eran una de las principales fuentes de especias, caucho, petróleo y otros recursos. Tras la Segunda Guerra Mundial, lograron su independencia y dieron origen a la República de Indonesia.</t>
        </is>
      </c>
      <c r="J403" s="31">
        <f>IF(INDIRECT(ADDRESS(ROW() + (0),COLUMN() + (1)))="Agregar cuotas", IF(("16%")="", "-", "16%"), IF(INDIRECT(ADDRESS(ROW() + (0),COLUMN() + (1)))="No agregar cuotas", IF(("16%")="", "-", "16%"), "-"))</f>
        <v/>
      </c>
      <c r="K403" s="0" t="inlineStr">
        <is>
          <t>No agregar cuotas</t>
        </is>
      </c>
      <c r="L403" s="31">
        <f>IF(INDIRECT(ADDRESS(ROW() + (0),COLUMN() + (-1)))="Agregar cuotas", IF(("13.4%")="", "Sin costo", "13.4%"), IF(INDIRECT(ADDRESS(ROW() + (0),COLUMN() + (-1)))="No agregar cuotas", IF(("")="", "Sin costo", ""), "-"))</f>
        <v/>
      </c>
      <c r="M403" s="0" t="inlineStr">
        <is>
          <t>Mercado Envíos</t>
        </is>
      </c>
      <c r="N403" s="0" t="inlineStr">
        <is>
          <t>A cargo del comprador</t>
        </is>
      </c>
      <c r="O403" s="0" t="inlineStr">
        <is>
          <t>Acepto</t>
        </is>
      </c>
      <c r="P403" s="47" t="inlineStr">
        <is>
          <t>Sin garantía</t>
        </is>
      </c>
      <c r="R403" s="0" t="inlineStr">
        <is>
          <t>Seleccionar</t>
        </is>
      </c>
      <c r="S403" s="0" t="inlineStr">
        <is>
          <t>No ofrezco</t>
        </is>
      </c>
      <c r="T403" t="n">
        <v>1859</v>
      </c>
      <c r="U403" s="0" t="inlineStr">
        <is>
          <t>Holanda</t>
        </is>
      </c>
      <c r="X403" s="0" t="inlineStr">
        <is>
          <t>Níquel</t>
        </is>
      </c>
      <c r="Z403" t="inlineStr">
        <is>
          <t>1/2 Cent</t>
        </is>
      </c>
      <c r="AA403" s="0" t="inlineStr">
        <is>
          <t>Dólar</t>
        </is>
      </c>
      <c r="AB4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3" s="53">
        <f>IF(OR(TRIM(INDIRECT("B"&amp;ROW())) &lt;&gt; "",TRIM(INDIRECT("A"&amp;ROW())) &lt;&gt; ""),AND(TRIM(INDIRECT("A"&amp;ROW())) &lt;&gt; "",TRIM(INDIRECT("D"&amp;ROW())) = "nuevo"),"")</f>
        <v/>
      </c>
    </row>
    <row r="404" ht="27.5" customHeight="1" s="62">
      <c r="B404" t="inlineStr">
        <is>
          <t>Moneda Indias Orientales Neerlandesas 1/2 Cent 1857</t>
        </is>
      </c>
      <c r="C404" s="0">
        <f>LEN(INDIRECT(ADDRESS(ROW() + (0),COLUMN() + (-1))))</f>
        <v/>
      </c>
      <c r="D404" s="0" t="inlineStr">
        <is>
          <t>Usado</t>
        </is>
      </c>
      <c r="E404" s="38" t="inlineStr">
        <is>
          <t>https://numismaticapopper.com/images/839A.jpeg,https://numismaticapopper.com/images/839B.jpeg</t>
        </is>
      </c>
      <c r="F404" t="inlineStr">
        <is>
          <t>839</t>
        </is>
      </c>
      <c r="G404" s="40" t="n">
        <v>1</v>
      </c>
      <c r="H404" t="n">
        <v>11000</v>
      </c>
      <c r="I404" t="inlineStr">
        <is>
          <t>Estado de conservacion: Regular +
Referencia de catalogo: KM# 306
Las Indias Orientales Neerlandesas fueron la colonia que los Países Bajos administraron en el sudeste asiático entre los siglos XVII y XX. Abarcaban la mayor parte del actual territorio de Indonesia y eran una de las principales fuentes de especias, caucho, petróleo y otros recursos. Tras la Segunda Guerra Mundial, lograron su independencia y dieron origen a la República de Indonesia.</t>
        </is>
      </c>
      <c r="J404" s="31">
        <f>IF(INDIRECT(ADDRESS(ROW() + (0),COLUMN() + (1)))="Agregar cuotas", IF(("16%")="", "-", "16%"), IF(INDIRECT(ADDRESS(ROW() + (0),COLUMN() + (1)))="No agregar cuotas", IF(("16%")="", "-", "16%"), "-"))</f>
        <v/>
      </c>
      <c r="K404" s="0" t="inlineStr">
        <is>
          <t>No agregar cuotas</t>
        </is>
      </c>
      <c r="L404" s="31">
        <f>IF(INDIRECT(ADDRESS(ROW() + (0),COLUMN() + (-1)))="Agregar cuotas", IF(("13.4%")="", "Sin costo", "13.4%"), IF(INDIRECT(ADDRESS(ROW() + (0),COLUMN() + (-1)))="No agregar cuotas", IF(("")="", "Sin costo", ""), "-"))</f>
        <v/>
      </c>
      <c r="M404" s="0" t="inlineStr">
        <is>
          <t>Mercado Envíos</t>
        </is>
      </c>
      <c r="N404" s="0" t="inlineStr">
        <is>
          <t>A cargo del comprador</t>
        </is>
      </c>
      <c r="O404" s="0" t="inlineStr">
        <is>
          <t>Acepto</t>
        </is>
      </c>
      <c r="P404" s="47" t="inlineStr">
        <is>
          <t>Sin garantía</t>
        </is>
      </c>
      <c r="R404" s="0" t="inlineStr">
        <is>
          <t>Seleccionar</t>
        </is>
      </c>
      <c r="S404" s="0" t="inlineStr">
        <is>
          <t>No ofrezco</t>
        </is>
      </c>
      <c r="T404" t="n">
        <v>1857</v>
      </c>
      <c r="U404" s="0" t="inlineStr">
        <is>
          <t>Holanda</t>
        </is>
      </c>
      <c r="X404" s="0" t="inlineStr">
        <is>
          <t>Níquel</t>
        </is>
      </c>
      <c r="Z404" t="inlineStr">
        <is>
          <t>1/2 Cent</t>
        </is>
      </c>
      <c r="AA404" s="0" t="inlineStr">
        <is>
          <t>Dólar</t>
        </is>
      </c>
      <c r="AB4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4" s="53">
        <f>IF(OR(TRIM(INDIRECT("B"&amp;ROW())) &lt;&gt; "",TRIM(INDIRECT("A"&amp;ROW())) &lt;&gt; ""),AND(TRIM(INDIRECT("A"&amp;ROW())) &lt;&gt; "",TRIM(INDIRECT("D"&amp;ROW())) = "nuevo"),"")</f>
        <v/>
      </c>
    </row>
    <row r="405" ht="27.5" customHeight="1" s="62">
      <c r="B405" t="inlineStr">
        <is>
          <t>Moneda España Peseta 1980</t>
        </is>
      </c>
      <c r="C405" s="0">
        <f>LEN(INDIRECT(ADDRESS(ROW() + (0),COLUMN() + (-1))))</f>
        <v/>
      </c>
      <c r="D405" s="0" t="inlineStr">
        <is>
          <t>Usado</t>
        </is>
      </c>
      <c r="E405" s="38" t="inlineStr">
        <is>
          <t>https://numismaticapopper.com/images/844A.jpeg,https://numismaticapopper.com/images/844B.jpeg</t>
        </is>
      </c>
      <c r="F405" t="inlineStr">
        <is>
          <t>844</t>
        </is>
      </c>
      <c r="G405" s="40" t="n">
        <v>1</v>
      </c>
      <c r="H405" t="n">
        <v>9000</v>
      </c>
      <c r="I405" t="inlineStr">
        <is>
          <t>Estado de conservacion: Excelente
Referencia de catalogo: KM# 806
Material: Bronce de aluminio
Adorno</t>
        </is>
      </c>
      <c r="J405" s="31">
        <f>IF(INDIRECT(ADDRESS(ROW() + (0),COLUMN() + (1)))="Agregar cuotas", IF(("16%")="", "-", "16%"), IF(INDIRECT(ADDRESS(ROW() + (0),COLUMN() + (1)))="No agregar cuotas", IF(("16%")="", "-", "16%"), "-"))</f>
        <v/>
      </c>
      <c r="K405" s="0" t="inlineStr">
        <is>
          <t>No agregar cuotas</t>
        </is>
      </c>
      <c r="L405" s="31">
        <f>IF(INDIRECT(ADDRESS(ROW() + (0),COLUMN() + (-1)))="Agregar cuotas", IF(("13.4%")="", "Sin costo", "13.4%"), IF(INDIRECT(ADDRESS(ROW() + (0),COLUMN() + (-1)))="No agregar cuotas", IF(("")="", "Sin costo", ""), "-"))</f>
        <v/>
      </c>
      <c r="M405" s="0" t="inlineStr">
        <is>
          <t>Mercado Envíos</t>
        </is>
      </c>
      <c r="N405" s="0" t="inlineStr">
        <is>
          <t>A cargo del comprador</t>
        </is>
      </c>
      <c r="O405" s="0" t="inlineStr">
        <is>
          <t>Acepto</t>
        </is>
      </c>
      <c r="P405" s="47" t="inlineStr">
        <is>
          <t>Sin garantía</t>
        </is>
      </c>
      <c r="R405" s="0" t="inlineStr">
        <is>
          <t>Seleccionar</t>
        </is>
      </c>
      <c r="S405" s="0" t="inlineStr">
        <is>
          <t>No ofrezco</t>
        </is>
      </c>
      <c r="T405" t="n">
        <v>1980</v>
      </c>
      <c r="U405" s="0" t="inlineStr">
        <is>
          <t>España</t>
        </is>
      </c>
      <c r="X405" s="0" t="inlineStr">
        <is>
          <t>Bronce</t>
        </is>
      </c>
      <c r="Z405" t="inlineStr">
        <is>
          <t>Peseta</t>
        </is>
      </c>
      <c r="AA405" s="0" t="inlineStr">
        <is>
          <t>Euro</t>
        </is>
      </c>
      <c r="AB4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5" s="53">
        <f>IF(OR(TRIM(INDIRECT("B"&amp;ROW())) &lt;&gt; "",TRIM(INDIRECT("A"&amp;ROW())) &lt;&gt; ""),AND(TRIM(INDIRECT("A"&amp;ROW())) &lt;&gt; "",TRIM(INDIRECT("D"&amp;ROW())) = "nuevo"),"")</f>
        <v/>
      </c>
    </row>
    <row r="406" ht="27.5" customHeight="1" s="62">
      <c r="B406" t="inlineStr">
        <is>
          <t>Moneda Marruecos 1 Dirham 1987</t>
        </is>
      </c>
      <c r="C406" s="0">
        <f>LEN(INDIRECT(ADDRESS(ROW() + (0),COLUMN() + (-1))))</f>
        <v/>
      </c>
      <c r="D406" s="0" t="inlineStr">
        <is>
          <t>Usado</t>
        </is>
      </c>
      <c r="E406" s="38" t="inlineStr">
        <is>
          <t>https://numismaticapopper.com/images/848A.jpeg,https://numismaticapopper.com/images/848B.jpeg</t>
        </is>
      </c>
      <c r="F406" t="inlineStr">
        <is>
          <t>848</t>
        </is>
      </c>
      <c r="G406" s="40" t="n">
        <v>1</v>
      </c>
      <c r="H406" t="n">
        <v>7000</v>
      </c>
      <c r="I406" t="inlineStr">
        <is>
          <t>Estado de conservacion: Excelente
Referencia de catalogo: Y# 88
Material: Cuproníquel</t>
        </is>
      </c>
      <c r="J406" s="31">
        <f>IF(INDIRECT(ADDRESS(ROW() + (0),COLUMN() + (1)))="Agregar cuotas", IF(("16%")="", "-", "16%"), IF(INDIRECT(ADDRESS(ROW() + (0),COLUMN() + (1)))="No agregar cuotas", IF(("16%")="", "-", "16%"), "-"))</f>
        <v/>
      </c>
      <c r="K406" s="0" t="inlineStr">
        <is>
          <t>No agregar cuotas</t>
        </is>
      </c>
      <c r="L406" s="31">
        <f>IF(INDIRECT(ADDRESS(ROW() + (0),COLUMN() + (-1)))="Agregar cuotas", IF(("13.4%")="", "Sin costo", "13.4%"), IF(INDIRECT(ADDRESS(ROW() + (0),COLUMN() + (-1)))="No agregar cuotas", IF(("")="", "Sin costo", ""), "-"))</f>
        <v/>
      </c>
      <c r="M406" s="0" t="inlineStr">
        <is>
          <t>Mercado Envíos</t>
        </is>
      </c>
      <c r="N406" s="0" t="inlineStr">
        <is>
          <t>A cargo del comprador</t>
        </is>
      </c>
      <c r="O406" s="0" t="inlineStr">
        <is>
          <t>Acepto</t>
        </is>
      </c>
      <c r="P406" s="47" t="inlineStr">
        <is>
          <t>Sin garantía</t>
        </is>
      </c>
      <c r="R406" s="0" t="inlineStr">
        <is>
          <t>Seleccionar</t>
        </is>
      </c>
      <c r="S406" s="0" t="inlineStr">
        <is>
          <t>No ofrezco</t>
        </is>
      </c>
      <c r="T406" t="n">
        <v>1987</v>
      </c>
      <c r="U406" s="0" t="inlineStr">
        <is>
          <t>Francia</t>
        </is>
      </c>
      <c r="X406" s="0" t="inlineStr">
        <is>
          <t>Níquel</t>
        </is>
      </c>
      <c r="Z406" t="inlineStr">
        <is>
          <t>1 Dirham</t>
        </is>
      </c>
      <c r="AA406" s="0" t="inlineStr">
        <is>
          <t>Sheqel</t>
        </is>
      </c>
      <c r="AB4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6" s="53">
        <f>IF(OR(TRIM(INDIRECT("B"&amp;ROW())) &lt;&gt; "",TRIM(INDIRECT("A"&amp;ROW())) &lt;&gt; ""),AND(TRIM(INDIRECT("A"&amp;ROW())) &lt;&gt; "",TRIM(INDIRECT("D"&amp;ROW())) = "nuevo"),"")</f>
        <v/>
      </c>
    </row>
    <row r="407" ht="27.5" customHeight="1" s="62">
      <c r="B407" t="inlineStr">
        <is>
          <t>Moneda Bolivia 20 Centavos 1965</t>
        </is>
      </c>
      <c r="C407" s="0">
        <f>LEN(INDIRECT(ADDRESS(ROW() + (0),COLUMN() + (-1))))</f>
        <v/>
      </c>
      <c r="D407" s="0" t="inlineStr">
        <is>
          <t>Usado</t>
        </is>
      </c>
      <c r="E407" s="38" t="inlineStr">
        <is>
          <t>https://numismaticapopper.com/images/849A.jpeg,https://numismaticapopper.com/images/849B.jpeg</t>
        </is>
      </c>
      <c r="F407" t="inlineStr">
        <is>
          <t>849</t>
        </is>
      </c>
      <c r="G407" s="40" t="n">
        <v>1</v>
      </c>
      <c r="H407" t="n">
        <v>7000</v>
      </c>
      <c r="I407" t="inlineStr">
        <is>
          <t>Estado de conservacion: Sin Circular
Referencia de catalogo: KM# 189
Material: Acero recubierto de níquel</t>
        </is>
      </c>
      <c r="J407" s="31">
        <f>IF(INDIRECT(ADDRESS(ROW() + (0),COLUMN() + (1)))="Agregar cuotas", IF(("16%")="", "-", "16%"), IF(INDIRECT(ADDRESS(ROW() + (0),COLUMN() + (1)))="No agregar cuotas", IF(("16%")="", "-", "16%"), "-"))</f>
        <v/>
      </c>
      <c r="K407" s="0" t="inlineStr">
        <is>
          <t>No agregar cuotas</t>
        </is>
      </c>
      <c r="L407" s="31">
        <f>IF(INDIRECT(ADDRESS(ROW() + (0),COLUMN() + (-1)))="Agregar cuotas", IF(("13.4%")="", "Sin costo", "13.4%"), IF(INDIRECT(ADDRESS(ROW() + (0),COLUMN() + (-1)))="No agregar cuotas", IF(("")="", "Sin costo", ""), "-"))</f>
        <v/>
      </c>
      <c r="M407" s="0" t="inlineStr">
        <is>
          <t>Mercado Envíos</t>
        </is>
      </c>
      <c r="N407" s="0" t="inlineStr">
        <is>
          <t>A cargo del comprador</t>
        </is>
      </c>
      <c r="O407" s="0" t="inlineStr">
        <is>
          <t>Acepto</t>
        </is>
      </c>
      <c r="P407" s="47" t="inlineStr">
        <is>
          <t>Sin garantía</t>
        </is>
      </c>
      <c r="R407" s="0" t="inlineStr">
        <is>
          <t>Seleccionar</t>
        </is>
      </c>
      <c r="S407" s="0" t="inlineStr">
        <is>
          <t>No ofrezco</t>
        </is>
      </c>
      <c r="T407" t="n">
        <v>1965</v>
      </c>
      <c r="U407" s="0" t="inlineStr">
        <is>
          <t>Bolivia</t>
        </is>
      </c>
      <c r="X407" s="0" t="inlineStr">
        <is>
          <t>Níquel</t>
        </is>
      </c>
      <c r="Z407" t="inlineStr">
        <is>
          <t>20 Centavos</t>
        </is>
      </c>
      <c r="AA407" s="0" t="inlineStr">
        <is>
          <t>Peso</t>
        </is>
      </c>
      <c r="AB4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7" s="53">
        <f>IF(OR(TRIM(INDIRECT("B"&amp;ROW())) &lt;&gt; "",TRIM(INDIRECT("A"&amp;ROW())) &lt;&gt; ""),AND(TRIM(INDIRECT("A"&amp;ROW())) &lt;&gt; "",TRIM(INDIRECT("D"&amp;ROW())) = "nuevo"),"")</f>
        <v/>
      </c>
    </row>
    <row r="408" ht="27.5" customHeight="1" s="62">
      <c r="B408" t="inlineStr">
        <is>
          <t>Moneda Turquía Kurus 2022</t>
        </is>
      </c>
      <c r="C408" s="0">
        <f>LEN(INDIRECT(ADDRESS(ROW() + (0),COLUMN() + (-1))))</f>
        <v/>
      </c>
      <c r="D408" s="0" t="inlineStr">
        <is>
          <t>Usado</t>
        </is>
      </c>
      <c r="E408" s="38" t="inlineStr">
        <is>
          <t>https://numismaticapopper.com/images/850A.jpeg,https://numismaticapopper.com/images/850B.jpeg</t>
        </is>
      </c>
      <c r="F408" t="inlineStr">
        <is>
          <t>850</t>
        </is>
      </c>
      <c r="G408" s="40" t="n">
        <v>1</v>
      </c>
      <c r="H408" t="n">
        <v>10000</v>
      </c>
      <c r="I408" t="inlineStr">
        <is>
          <t>Estado de conservacion: Sin Circular
Referencia de catalogo: KM# 1537
Material: Aluminio
Marte</t>
        </is>
      </c>
      <c r="J408" s="31">
        <f>IF(INDIRECT(ADDRESS(ROW() + (0),COLUMN() + (1)))="Agregar cuotas", IF(("16%")="", "-", "16%"), IF(INDIRECT(ADDRESS(ROW() + (0),COLUMN() + (1)))="No agregar cuotas", IF(("16%")="", "-", "16%"), "-"))</f>
        <v/>
      </c>
      <c r="K408" s="0" t="inlineStr">
        <is>
          <t>No agregar cuotas</t>
        </is>
      </c>
      <c r="L408" s="31">
        <f>IF(INDIRECT(ADDRESS(ROW() + (0),COLUMN() + (-1)))="Agregar cuotas", IF(("13.4%")="", "Sin costo", "13.4%"), IF(INDIRECT(ADDRESS(ROW() + (0),COLUMN() + (-1)))="No agregar cuotas", IF(("")="", "Sin costo", ""), "-"))</f>
        <v/>
      </c>
      <c r="M408" s="0" t="inlineStr">
        <is>
          <t>Mercado Envíos</t>
        </is>
      </c>
      <c r="N408" s="0" t="inlineStr">
        <is>
          <t>A cargo del comprador</t>
        </is>
      </c>
      <c r="O408" s="0" t="inlineStr">
        <is>
          <t>Acepto</t>
        </is>
      </c>
      <c r="P408" s="47" t="inlineStr">
        <is>
          <t>Sin garantía</t>
        </is>
      </c>
      <c r="R408" s="0" t="inlineStr">
        <is>
          <t>Seleccionar</t>
        </is>
      </c>
      <c r="S408" s="0" t="inlineStr">
        <is>
          <t>No ofrezco</t>
        </is>
      </c>
      <c r="T408" t="n">
        <v>2022</v>
      </c>
      <c r="U408" s="0" t="inlineStr">
        <is>
          <t>Grecia</t>
        </is>
      </c>
      <c r="X408" s="0" t="inlineStr">
        <is>
          <t>Níquel</t>
        </is>
      </c>
      <c r="Z408" t="inlineStr">
        <is>
          <t>Kurus</t>
        </is>
      </c>
      <c r="AA408" s="0" t="inlineStr">
        <is>
          <t>Euro</t>
        </is>
      </c>
      <c r="AB4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8" s="53">
        <f>IF(OR(TRIM(INDIRECT("B"&amp;ROW())) &lt;&gt; "",TRIM(INDIRECT("A"&amp;ROW())) &lt;&gt; ""),AND(TRIM(INDIRECT("A"&amp;ROW())) &lt;&gt; "",TRIM(INDIRECT("D"&amp;ROW())) = "nuevo"),"")</f>
        <v/>
      </c>
    </row>
    <row r="409" ht="27.5" customHeight="1" s="62">
      <c r="B409" t="inlineStr">
        <is>
          <t>Moneda Turquía Kurus 2022</t>
        </is>
      </c>
      <c r="C409" s="0">
        <f>LEN(INDIRECT(ADDRESS(ROW() + (0),COLUMN() + (-1))))</f>
        <v/>
      </c>
      <c r="D409" s="0" t="inlineStr">
        <is>
          <t>Usado</t>
        </is>
      </c>
      <c r="E409" s="38" t="inlineStr">
        <is>
          <t>https://numismaticapopper.com/images/853A.jpeg,https://numismaticapopper.com/images/853B.jpeg</t>
        </is>
      </c>
      <c r="F409" t="inlineStr">
        <is>
          <t>853</t>
        </is>
      </c>
      <c r="G409" s="40" t="n">
        <v>1</v>
      </c>
      <c r="H409" t="n">
        <v>10000</v>
      </c>
      <c r="I409" t="inlineStr">
        <is>
          <t>Estado de conservacion: Sin Circular
Referencia de catalogo: KM# 1539
Material: Aluminio
Neptuno</t>
        </is>
      </c>
      <c r="J409" s="31">
        <f>IF(INDIRECT(ADDRESS(ROW() + (0),COLUMN() + (1)))="Agregar cuotas", IF(("16%")="", "-", "16%"), IF(INDIRECT(ADDRESS(ROW() + (0),COLUMN() + (1)))="No agregar cuotas", IF(("16%")="", "-", "16%"), "-"))</f>
        <v/>
      </c>
      <c r="K409" s="0" t="inlineStr">
        <is>
          <t>No agregar cuotas</t>
        </is>
      </c>
      <c r="L409" s="31">
        <f>IF(INDIRECT(ADDRESS(ROW() + (0),COLUMN() + (-1)))="Agregar cuotas", IF(("13.4%")="", "Sin costo", "13.4%"), IF(INDIRECT(ADDRESS(ROW() + (0),COLUMN() + (-1)))="No agregar cuotas", IF(("")="", "Sin costo", ""), "-"))</f>
        <v/>
      </c>
      <c r="M409" s="0" t="inlineStr">
        <is>
          <t>Mercado Envíos</t>
        </is>
      </c>
      <c r="N409" s="0" t="inlineStr">
        <is>
          <t>A cargo del comprador</t>
        </is>
      </c>
      <c r="O409" s="0" t="inlineStr">
        <is>
          <t>Acepto</t>
        </is>
      </c>
      <c r="P409" s="47" t="inlineStr">
        <is>
          <t>Sin garantía</t>
        </is>
      </c>
      <c r="R409" s="0" t="inlineStr">
        <is>
          <t>Seleccionar</t>
        </is>
      </c>
      <c r="S409" s="0" t="inlineStr">
        <is>
          <t>No ofrezco</t>
        </is>
      </c>
      <c r="T409" t="n">
        <v>2022</v>
      </c>
      <c r="U409" s="0" t="inlineStr">
        <is>
          <t>Grecia</t>
        </is>
      </c>
      <c r="X409" s="0" t="inlineStr">
        <is>
          <t>Níquel</t>
        </is>
      </c>
      <c r="Z409" t="inlineStr">
        <is>
          <t>Kurus</t>
        </is>
      </c>
      <c r="AA409" s="0" t="inlineStr">
        <is>
          <t>Euro</t>
        </is>
      </c>
      <c r="AB4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09" s="53">
        <f>IF(OR(TRIM(INDIRECT("B"&amp;ROW())) &lt;&gt; "",TRIM(INDIRECT("A"&amp;ROW())) &lt;&gt; ""),AND(TRIM(INDIRECT("A"&amp;ROW())) &lt;&gt; "",TRIM(INDIRECT("D"&amp;ROW())) = "nuevo"),"")</f>
        <v/>
      </c>
    </row>
    <row r="410" ht="27.5" customHeight="1" s="62">
      <c r="B410" t="inlineStr">
        <is>
          <t>Moneda Turquía Kurus 2022</t>
        </is>
      </c>
      <c r="C410" s="0">
        <f>LEN(INDIRECT(ADDRESS(ROW() + (0),COLUMN() + (-1))))</f>
        <v/>
      </c>
      <c r="D410" s="0" t="inlineStr">
        <is>
          <t>Usado</t>
        </is>
      </c>
      <c r="E410" s="38" t="inlineStr">
        <is>
          <t>https://numismaticapopper.com/images/854A.jpeg,https://numismaticapopper.com/images/854B.jpeg</t>
        </is>
      </c>
      <c r="F410" t="inlineStr">
        <is>
          <t>854</t>
        </is>
      </c>
      <c r="G410" s="40" t="n">
        <v>1</v>
      </c>
      <c r="H410" t="n">
        <v>10000</v>
      </c>
      <c r="I410" t="inlineStr">
        <is>
          <t>Estado de conservacion: Sin Circular
Referencia de catalogo: KM# 1540
Material: Aluminio
Plutón</t>
        </is>
      </c>
      <c r="J410" s="31">
        <f>IF(INDIRECT(ADDRESS(ROW() + (0),COLUMN() + (1)))="Agregar cuotas", IF(("16%")="", "-", "16%"), IF(INDIRECT(ADDRESS(ROW() + (0),COLUMN() + (1)))="No agregar cuotas", IF(("16%")="", "-", "16%"), "-"))</f>
        <v/>
      </c>
      <c r="K410" s="0" t="inlineStr">
        <is>
          <t>No agregar cuotas</t>
        </is>
      </c>
      <c r="L410" s="31">
        <f>IF(INDIRECT(ADDRESS(ROW() + (0),COLUMN() + (-1)))="Agregar cuotas", IF(("13.4%")="", "Sin costo", "13.4%"), IF(INDIRECT(ADDRESS(ROW() + (0),COLUMN() + (-1)))="No agregar cuotas", IF(("")="", "Sin costo", ""), "-"))</f>
        <v/>
      </c>
      <c r="M410" s="0" t="inlineStr">
        <is>
          <t>Mercado Envíos</t>
        </is>
      </c>
      <c r="N410" s="0" t="inlineStr">
        <is>
          <t>A cargo del comprador</t>
        </is>
      </c>
      <c r="O410" s="0" t="inlineStr">
        <is>
          <t>Acepto</t>
        </is>
      </c>
      <c r="P410" s="47" t="inlineStr">
        <is>
          <t>Sin garantía</t>
        </is>
      </c>
      <c r="R410" s="0" t="inlineStr">
        <is>
          <t>Seleccionar</t>
        </is>
      </c>
      <c r="S410" s="0" t="inlineStr">
        <is>
          <t>No ofrezco</t>
        </is>
      </c>
      <c r="T410" t="n">
        <v>2022</v>
      </c>
      <c r="U410" s="0" t="inlineStr">
        <is>
          <t>Grecia</t>
        </is>
      </c>
      <c r="X410" s="0" t="inlineStr">
        <is>
          <t>Níquel</t>
        </is>
      </c>
      <c r="Z410" t="inlineStr">
        <is>
          <t>Kurus</t>
        </is>
      </c>
      <c r="AA410" s="0" t="inlineStr">
        <is>
          <t>Euro</t>
        </is>
      </c>
      <c r="AB4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0" s="53">
        <f>IF(OR(TRIM(INDIRECT("B"&amp;ROW())) &lt;&gt; "",TRIM(INDIRECT("A"&amp;ROW())) &lt;&gt; ""),AND(TRIM(INDIRECT("A"&amp;ROW())) &lt;&gt; "",TRIM(INDIRECT("D"&amp;ROW())) = "nuevo"),"")</f>
        <v/>
      </c>
    </row>
    <row r="411" ht="27.5" customHeight="1" s="62">
      <c r="B411" t="inlineStr">
        <is>
          <t>Moneda Turquía Kurus 2022</t>
        </is>
      </c>
      <c r="C411" s="0">
        <f>LEN(INDIRECT(ADDRESS(ROW() + (0),COLUMN() + (-1))))</f>
        <v/>
      </c>
      <c r="D411" s="0" t="inlineStr">
        <is>
          <t>Usado</t>
        </is>
      </c>
      <c r="E411" s="38" t="inlineStr">
        <is>
          <t>https://numismaticapopper.com/images/855A.jpeg,https://numismaticapopper.com/images/855B.jpeg</t>
        </is>
      </c>
      <c r="F411" t="inlineStr">
        <is>
          <t>855</t>
        </is>
      </c>
      <c r="G411" s="40" t="n">
        <v>1</v>
      </c>
      <c r="H411" t="n">
        <v>10000</v>
      </c>
      <c r="I411" t="inlineStr">
        <is>
          <t>Estado de conservacion: Sin Circular
Referencia de catalogo: KM# 1536
Material: Aluminio
Júpiter</t>
        </is>
      </c>
      <c r="J411" s="31">
        <f>IF(INDIRECT(ADDRESS(ROW() + (0),COLUMN() + (1)))="Agregar cuotas", IF(("16%")="", "-", "16%"), IF(INDIRECT(ADDRESS(ROW() + (0),COLUMN() + (1)))="No agregar cuotas", IF(("16%")="", "-", "16%"), "-"))</f>
        <v/>
      </c>
      <c r="K411" s="0" t="inlineStr">
        <is>
          <t>No agregar cuotas</t>
        </is>
      </c>
      <c r="L411" s="31">
        <f>IF(INDIRECT(ADDRESS(ROW() + (0),COLUMN() + (-1)))="Agregar cuotas", IF(("13.4%")="", "Sin costo", "13.4%"), IF(INDIRECT(ADDRESS(ROW() + (0),COLUMN() + (-1)))="No agregar cuotas", IF(("")="", "Sin costo", ""), "-"))</f>
        <v/>
      </c>
      <c r="M411" s="0" t="inlineStr">
        <is>
          <t>Mercado Envíos</t>
        </is>
      </c>
      <c r="N411" s="0" t="inlineStr">
        <is>
          <t>A cargo del comprador</t>
        </is>
      </c>
      <c r="O411" s="0" t="inlineStr">
        <is>
          <t>Acepto</t>
        </is>
      </c>
      <c r="P411" s="47" t="inlineStr">
        <is>
          <t>Sin garantía</t>
        </is>
      </c>
      <c r="R411" s="0" t="inlineStr">
        <is>
          <t>Seleccionar</t>
        </is>
      </c>
      <c r="S411" s="0" t="inlineStr">
        <is>
          <t>No ofrezco</t>
        </is>
      </c>
      <c r="T411" t="n">
        <v>2022</v>
      </c>
      <c r="U411" s="0" t="inlineStr">
        <is>
          <t>Grecia</t>
        </is>
      </c>
      <c r="X411" s="0" t="inlineStr">
        <is>
          <t>Níquel</t>
        </is>
      </c>
      <c r="Z411" t="inlineStr">
        <is>
          <t>Kurus</t>
        </is>
      </c>
      <c r="AA411" s="0" t="inlineStr">
        <is>
          <t>Euro</t>
        </is>
      </c>
      <c r="AB4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1" s="53">
        <f>IF(OR(TRIM(INDIRECT("B"&amp;ROW())) &lt;&gt; "",TRIM(INDIRECT("A"&amp;ROW())) &lt;&gt; ""),AND(TRIM(INDIRECT("A"&amp;ROW())) &lt;&gt; "",TRIM(INDIRECT("D"&amp;ROW())) = "nuevo"),"")</f>
        <v/>
      </c>
    </row>
    <row r="412" ht="27.5" customHeight="1" s="62">
      <c r="B412" t="inlineStr">
        <is>
          <t>Moneda Dinamarca 10 Kroner 1979</t>
        </is>
      </c>
      <c r="C412" s="0">
        <f>LEN(INDIRECT(ADDRESS(ROW() + (0),COLUMN() + (-1))))</f>
        <v/>
      </c>
      <c r="D412" s="0" t="inlineStr">
        <is>
          <t>Usado</t>
        </is>
      </c>
      <c r="E412" s="38" t="inlineStr">
        <is>
          <t>https://numismaticapopper.com/images/858A.jpeg,https://numismaticapopper.com/images/858B.jpeg</t>
        </is>
      </c>
      <c r="F412" t="inlineStr">
        <is>
          <t>858</t>
        </is>
      </c>
      <c r="G412" s="40" t="n">
        <v>1</v>
      </c>
      <c r="H412" t="n">
        <v>10000</v>
      </c>
      <c r="I412" t="inlineStr">
        <is>
          <t>Estado de conservacion: Excelente +
Referencia de catalogo: KM# 864
Material: Cuproníquel</t>
        </is>
      </c>
      <c r="J412" s="31">
        <f>IF(INDIRECT(ADDRESS(ROW() + (0),COLUMN() + (1)))="Agregar cuotas", IF(("16%")="", "-", "16%"), IF(INDIRECT(ADDRESS(ROW() + (0),COLUMN() + (1)))="No agregar cuotas", IF(("16%")="", "-", "16%"), "-"))</f>
        <v/>
      </c>
      <c r="K412" s="0" t="inlineStr">
        <is>
          <t>No agregar cuotas</t>
        </is>
      </c>
      <c r="L412" s="31">
        <f>IF(INDIRECT(ADDRESS(ROW() + (0),COLUMN() + (-1)))="Agregar cuotas", IF(("13.4%")="", "Sin costo", "13.4%"), IF(INDIRECT(ADDRESS(ROW() + (0),COLUMN() + (-1)))="No agregar cuotas", IF(("")="", "Sin costo", ""), "-"))</f>
        <v/>
      </c>
      <c r="M412" s="0" t="inlineStr">
        <is>
          <t>Mercado Envíos</t>
        </is>
      </c>
      <c r="N412" s="0" t="inlineStr">
        <is>
          <t>A cargo del comprador</t>
        </is>
      </c>
      <c r="O412" s="0" t="inlineStr">
        <is>
          <t>Acepto</t>
        </is>
      </c>
      <c r="P412" s="47" t="inlineStr">
        <is>
          <t>Sin garantía</t>
        </is>
      </c>
      <c r="R412" s="0" t="inlineStr">
        <is>
          <t>Seleccionar</t>
        </is>
      </c>
      <c r="S412" s="0" t="inlineStr">
        <is>
          <t>No ofrezco</t>
        </is>
      </c>
      <c r="T412" t="n">
        <v>1979</v>
      </c>
      <c r="U412" s="0" t="inlineStr">
        <is>
          <t>Dinamarca</t>
        </is>
      </c>
      <c r="X412" s="0" t="inlineStr">
        <is>
          <t>Níquel</t>
        </is>
      </c>
      <c r="Z412" t="inlineStr">
        <is>
          <t>10 Kroner</t>
        </is>
      </c>
      <c r="AA412" s="0" t="inlineStr">
        <is>
          <t>Euro</t>
        </is>
      </c>
      <c r="AB4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2" s="53">
        <f>IF(OR(TRIM(INDIRECT("B"&amp;ROW())) &lt;&gt; "",TRIM(INDIRECT("A"&amp;ROW())) &lt;&gt; ""),AND(TRIM(INDIRECT("A"&amp;ROW())) &lt;&gt; "",TRIM(INDIRECT("D"&amp;ROW())) = "nuevo"),"")</f>
        <v/>
      </c>
    </row>
    <row r="413" ht="27.5" customHeight="1" s="62">
      <c r="B413" t="inlineStr">
        <is>
          <t>Moneda Dinamarca 2 Kroner 1994</t>
        </is>
      </c>
      <c r="C413" s="0">
        <f>LEN(INDIRECT(ADDRESS(ROW() + (0),COLUMN() + (-1))))</f>
        <v/>
      </c>
      <c r="D413" s="0" t="inlineStr">
        <is>
          <t>Usado</t>
        </is>
      </c>
      <c r="E413" s="38" t="inlineStr">
        <is>
          <t>https://numismaticapopper.com/images/859A.jpeg,https://numismaticapopper.com/images/859B.jpeg</t>
        </is>
      </c>
      <c r="F413" t="inlineStr">
        <is>
          <t>859</t>
        </is>
      </c>
      <c r="G413" s="40" t="n">
        <v>1</v>
      </c>
      <c r="H413" t="n">
        <v>8000</v>
      </c>
      <c r="I413" t="inlineStr">
        <is>
          <t>Estado de conservacion: Excelente
Referencia de catalogo: KM# 874
Material: Cuproníquel</t>
        </is>
      </c>
      <c r="J413" s="31">
        <f>IF(INDIRECT(ADDRESS(ROW() + (0),COLUMN() + (1)))="Agregar cuotas", IF(("16%")="", "-", "16%"), IF(INDIRECT(ADDRESS(ROW() + (0),COLUMN() + (1)))="No agregar cuotas", IF(("16%")="", "-", "16%"), "-"))</f>
        <v/>
      </c>
      <c r="K413" s="0" t="inlineStr">
        <is>
          <t>No agregar cuotas</t>
        </is>
      </c>
      <c r="L413" s="31">
        <f>IF(INDIRECT(ADDRESS(ROW() + (0),COLUMN() + (-1)))="Agregar cuotas", IF(("13.4%")="", "Sin costo", "13.4%"), IF(INDIRECT(ADDRESS(ROW() + (0),COLUMN() + (-1)))="No agregar cuotas", IF(("")="", "Sin costo", ""), "-"))</f>
        <v/>
      </c>
      <c r="M413" s="0" t="inlineStr">
        <is>
          <t>Mercado Envíos</t>
        </is>
      </c>
      <c r="N413" s="0" t="inlineStr">
        <is>
          <t>A cargo del comprador</t>
        </is>
      </c>
      <c r="O413" s="0" t="inlineStr">
        <is>
          <t>Acepto</t>
        </is>
      </c>
      <c r="P413" s="47" t="inlineStr">
        <is>
          <t>Sin garantía</t>
        </is>
      </c>
      <c r="R413" s="0" t="inlineStr">
        <is>
          <t>Seleccionar</t>
        </is>
      </c>
      <c r="S413" s="0" t="inlineStr">
        <is>
          <t>No ofrezco</t>
        </is>
      </c>
      <c r="T413" t="n">
        <v>1994</v>
      </c>
      <c r="U413" s="0" t="inlineStr">
        <is>
          <t>Dinamarca</t>
        </is>
      </c>
      <c r="X413" s="0" t="inlineStr">
        <is>
          <t>Níquel</t>
        </is>
      </c>
      <c r="Z413" t="inlineStr">
        <is>
          <t>2 Kroner</t>
        </is>
      </c>
      <c r="AA413" s="0" t="inlineStr">
        <is>
          <t>Euro</t>
        </is>
      </c>
      <c r="AB4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3" s="53">
        <f>IF(OR(TRIM(INDIRECT("B"&amp;ROW())) &lt;&gt; "",TRIM(INDIRECT("A"&amp;ROW())) &lt;&gt; ""),AND(TRIM(INDIRECT("A"&amp;ROW())) &lt;&gt; "",TRIM(INDIRECT("D"&amp;ROW())) = "nuevo"),"")</f>
        <v/>
      </c>
    </row>
    <row r="414" ht="27.5" customHeight="1" s="62">
      <c r="B414" t="inlineStr">
        <is>
          <t>Moneda Dinamarca 5 Kroner 1990</t>
        </is>
      </c>
      <c r="C414" s="0">
        <f>LEN(INDIRECT(ADDRESS(ROW() + (0),COLUMN() + (-1))))</f>
        <v/>
      </c>
      <c r="D414" s="0" t="inlineStr">
        <is>
          <t>Usado</t>
        </is>
      </c>
      <c r="E414" s="38" t="inlineStr">
        <is>
          <t>https://numismaticapopper.com/images/860A.jpeg,https://numismaticapopper.com/images/860B.jpeg</t>
        </is>
      </c>
      <c r="F414" t="inlineStr">
        <is>
          <t>860</t>
        </is>
      </c>
      <c r="G414" s="40" t="n">
        <v>1</v>
      </c>
      <c r="H414" t="n">
        <v>9000</v>
      </c>
      <c r="I414" t="inlineStr">
        <is>
          <t>Estado de conservacion: Excelente
Referencia de catalogo: KM# 869
Material: Cuproníquel</t>
        </is>
      </c>
      <c r="J414" s="31">
        <f>IF(INDIRECT(ADDRESS(ROW() + (0),COLUMN() + (1)))="Agregar cuotas", IF(("16%")="", "-", "16%"), IF(INDIRECT(ADDRESS(ROW() + (0),COLUMN() + (1)))="No agregar cuotas", IF(("16%")="", "-", "16%"), "-"))</f>
        <v/>
      </c>
      <c r="K414" s="0" t="inlineStr">
        <is>
          <t>No agregar cuotas</t>
        </is>
      </c>
      <c r="L414" s="31">
        <f>IF(INDIRECT(ADDRESS(ROW() + (0),COLUMN() + (-1)))="Agregar cuotas", IF(("13.4%")="", "Sin costo", "13.4%"), IF(INDIRECT(ADDRESS(ROW() + (0),COLUMN() + (-1)))="No agregar cuotas", IF(("")="", "Sin costo", ""), "-"))</f>
        <v/>
      </c>
      <c r="M414" s="0" t="inlineStr">
        <is>
          <t>Mercado Envíos</t>
        </is>
      </c>
      <c r="N414" s="0" t="inlineStr">
        <is>
          <t>A cargo del comprador</t>
        </is>
      </c>
      <c r="O414" s="0" t="inlineStr">
        <is>
          <t>Acepto</t>
        </is>
      </c>
      <c r="P414" s="47" t="inlineStr">
        <is>
          <t>Sin garantía</t>
        </is>
      </c>
      <c r="R414" s="0" t="inlineStr">
        <is>
          <t>Seleccionar</t>
        </is>
      </c>
      <c r="S414" s="0" t="inlineStr">
        <is>
          <t>No ofrezco</t>
        </is>
      </c>
      <c r="T414" t="n">
        <v>1990</v>
      </c>
      <c r="U414" s="0" t="inlineStr">
        <is>
          <t>Dinamarca</t>
        </is>
      </c>
      <c r="X414" s="0" t="inlineStr">
        <is>
          <t>Níquel</t>
        </is>
      </c>
      <c r="Z414" t="inlineStr">
        <is>
          <t>5 Kroner</t>
        </is>
      </c>
      <c r="AA414" s="0" t="inlineStr">
        <is>
          <t>Euro</t>
        </is>
      </c>
      <c r="AB4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4" s="53">
        <f>IF(OR(TRIM(INDIRECT("B"&amp;ROW())) &lt;&gt; "",TRIM(INDIRECT("A"&amp;ROW())) &lt;&gt; ""),AND(TRIM(INDIRECT("A"&amp;ROW())) &lt;&gt; "",TRIM(INDIRECT("D"&amp;ROW())) = "nuevo"),"")</f>
        <v/>
      </c>
    </row>
    <row r="415" ht="27.5" customHeight="1" s="62">
      <c r="B415" t="inlineStr">
        <is>
          <t>Moneda Dinamarca 1 Krone 1980</t>
        </is>
      </c>
      <c r="C415" s="0">
        <f>LEN(INDIRECT(ADDRESS(ROW() + (0),COLUMN() + (-1))))</f>
        <v/>
      </c>
      <c r="D415" s="0" t="inlineStr">
        <is>
          <t>Usado</t>
        </is>
      </c>
      <c r="E415" s="38" t="inlineStr">
        <is>
          <t>https://numismaticapopper.com/images/861A.jpeg,https://numismaticapopper.com/images/861B.jpeg</t>
        </is>
      </c>
      <c r="F415" t="inlineStr">
        <is>
          <t>861</t>
        </is>
      </c>
      <c r="G415" s="40" t="n">
        <v>1</v>
      </c>
      <c r="H415" t="n">
        <v>7000</v>
      </c>
      <c r="I415" t="inlineStr">
        <is>
          <t>Estado de conservacion: Excelente
Referencia de catalogo: KM# 862
Material: Cuproníquel</t>
        </is>
      </c>
      <c r="J415" s="31">
        <f>IF(INDIRECT(ADDRESS(ROW() + (0),COLUMN() + (1)))="Agregar cuotas", IF(("16%")="", "-", "16%"), IF(INDIRECT(ADDRESS(ROW() + (0),COLUMN() + (1)))="No agregar cuotas", IF(("16%")="", "-", "16%"), "-"))</f>
        <v/>
      </c>
      <c r="K415" s="0" t="inlineStr">
        <is>
          <t>No agregar cuotas</t>
        </is>
      </c>
      <c r="L415" s="31">
        <f>IF(INDIRECT(ADDRESS(ROW() + (0),COLUMN() + (-1)))="Agregar cuotas", IF(("13.4%")="", "Sin costo", "13.4%"), IF(INDIRECT(ADDRESS(ROW() + (0),COLUMN() + (-1)))="No agregar cuotas", IF(("")="", "Sin costo", ""), "-"))</f>
        <v/>
      </c>
      <c r="M415" s="0" t="inlineStr">
        <is>
          <t>Mercado Envíos</t>
        </is>
      </c>
      <c r="N415" s="0" t="inlineStr">
        <is>
          <t>A cargo del comprador</t>
        </is>
      </c>
      <c r="O415" s="0" t="inlineStr">
        <is>
          <t>Acepto</t>
        </is>
      </c>
      <c r="P415" s="47" t="inlineStr">
        <is>
          <t>Sin garantía</t>
        </is>
      </c>
      <c r="R415" s="0" t="inlineStr">
        <is>
          <t>Seleccionar</t>
        </is>
      </c>
      <c r="S415" s="0" t="inlineStr">
        <is>
          <t>No ofrezco</t>
        </is>
      </c>
      <c r="T415" t="n">
        <v>1980</v>
      </c>
      <c r="U415" s="0" t="inlineStr">
        <is>
          <t>Dinamarca</t>
        </is>
      </c>
      <c r="X415" s="0" t="inlineStr">
        <is>
          <t>Níquel</t>
        </is>
      </c>
      <c r="Z415" t="inlineStr">
        <is>
          <t>1 Krone</t>
        </is>
      </c>
      <c r="AA415" s="0" t="inlineStr">
        <is>
          <t>Euro</t>
        </is>
      </c>
      <c r="AB4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5" s="53">
        <f>IF(OR(TRIM(INDIRECT("B"&amp;ROW())) &lt;&gt; "",TRIM(INDIRECT("A"&amp;ROW())) &lt;&gt; ""),AND(TRIM(INDIRECT("A"&amp;ROW())) &lt;&gt; "",TRIM(INDIRECT("D"&amp;ROW())) = "nuevo"),"")</f>
        <v/>
      </c>
    </row>
    <row r="416" ht="27.5" customHeight="1" s="62">
      <c r="B416" t="inlineStr">
        <is>
          <t>Moneda Dinamarca 1 Krone 1969</t>
        </is>
      </c>
      <c r="C416" s="0">
        <f>LEN(INDIRECT(ADDRESS(ROW() + (0),COLUMN() + (-1))))</f>
        <v/>
      </c>
      <c r="D416" s="0" t="inlineStr">
        <is>
          <t>Usado</t>
        </is>
      </c>
      <c r="E416" s="38" t="inlineStr">
        <is>
          <t>https://numismaticapopper.com/images/862A.jpeg,https://numismaticapopper.com/images/862B.jpeg</t>
        </is>
      </c>
      <c r="F416" t="inlineStr">
        <is>
          <t>862</t>
        </is>
      </c>
      <c r="G416" s="40" t="n">
        <v>1</v>
      </c>
      <c r="H416" t="n">
        <v>7000</v>
      </c>
      <c r="I416" t="inlineStr">
        <is>
          <t>Estado de conservacion: Excelente
Referencia de catalogo: KM# 851
Material: Cuproníquel</t>
        </is>
      </c>
      <c r="J416" s="31">
        <f>IF(INDIRECT(ADDRESS(ROW() + (0),COLUMN() + (1)))="Agregar cuotas", IF(("16%")="", "-", "16%"), IF(INDIRECT(ADDRESS(ROW() + (0),COLUMN() + (1)))="No agregar cuotas", IF(("16%")="", "-", "16%"), "-"))</f>
        <v/>
      </c>
      <c r="K416" s="0" t="inlineStr">
        <is>
          <t>No agregar cuotas</t>
        </is>
      </c>
      <c r="L416" s="31">
        <f>IF(INDIRECT(ADDRESS(ROW() + (0),COLUMN() + (-1)))="Agregar cuotas", IF(("13.4%")="", "Sin costo", "13.4%"), IF(INDIRECT(ADDRESS(ROW() + (0),COLUMN() + (-1)))="No agregar cuotas", IF(("")="", "Sin costo", ""), "-"))</f>
        <v/>
      </c>
      <c r="M416" s="0" t="inlineStr">
        <is>
          <t>Mercado Envíos</t>
        </is>
      </c>
      <c r="N416" s="0" t="inlineStr">
        <is>
          <t>A cargo del comprador</t>
        </is>
      </c>
      <c r="O416" s="0" t="inlineStr">
        <is>
          <t>Acepto</t>
        </is>
      </c>
      <c r="P416" s="47" t="inlineStr">
        <is>
          <t>Sin garantía</t>
        </is>
      </c>
      <c r="R416" s="0" t="inlineStr">
        <is>
          <t>Seleccionar</t>
        </is>
      </c>
      <c r="S416" s="0" t="inlineStr">
        <is>
          <t>No ofrezco</t>
        </is>
      </c>
      <c r="T416" t="n">
        <v>1969</v>
      </c>
      <c r="U416" s="0" t="inlineStr">
        <is>
          <t>Dinamarca</t>
        </is>
      </c>
      <c r="X416" s="0" t="inlineStr">
        <is>
          <t>Níquel</t>
        </is>
      </c>
      <c r="Z416" t="inlineStr">
        <is>
          <t>1 Krone</t>
        </is>
      </c>
      <c r="AA416" s="0" t="inlineStr">
        <is>
          <t>Euro</t>
        </is>
      </c>
      <c r="AB4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6" s="53">
        <f>IF(OR(TRIM(INDIRECT("B"&amp;ROW())) &lt;&gt; "",TRIM(INDIRECT("A"&amp;ROW())) &lt;&gt; ""),AND(TRIM(INDIRECT("A"&amp;ROW())) &lt;&gt; "",TRIM(INDIRECT("D"&amp;ROW())) = "nuevo"),"")</f>
        <v/>
      </c>
    </row>
    <row r="417" ht="27.5" customHeight="1" s="62">
      <c r="B417" t="inlineStr">
        <is>
          <t>Moneda Dinamarca 5 Ore 1970</t>
        </is>
      </c>
      <c r="C417" s="0">
        <f>LEN(INDIRECT(ADDRESS(ROW() + (0),COLUMN() + (-1))))</f>
        <v/>
      </c>
      <c r="D417" s="0" t="inlineStr">
        <is>
          <t>Usado</t>
        </is>
      </c>
      <c r="E417" s="38" t="inlineStr">
        <is>
          <t>https://numismaticapopper.com/images/863A.jpeg,https://numismaticapopper.com/images/863B.jpeg</t>
        </is>
      </c>
      <c r="F417" t="inlineStr">
        <is>
          <t>863</t>
        </is>
      </c>
      <c r="G417" s="40" t="n">
        <v>1</v>
      </c>
      <c r="H417" t="n">
        <v>8000</v>
      </c>
      <c r="I417" t="inlineStr">
        <is>
          <t>Estado de conservacion: Excelente +
Referencia de catalogo: KM# 848
Material: Bronce</t>
        </is>
      </c>
      <c r="J417" s="31">
        <f>IF(INDIRECT(ADDRESS(ROW() + (0),COLUMN() + (1)))="Agregar cuotas", IF(("16%")="", "-", "16%"), IF(INDIRECT(ADDRESS(ROW() + (0),COLUMN() + (1)))="No agregar cuotas", IF(("16%")="", "-", "16%"), "-"))</f>
        <v/>
      </c>
      <c r="K417" s="0" t="inlineStr">
        <is>
          <t>No agregar cuotas</t>
        </is>
      </c>
      <c r="L417" s="31">
        <f>IF(INDIRECT(ADDRESS(ROW() + (0),COLUMN() + (-1)))="Agregar cuotas", IF(("13.4%")="", "Sin costo", "13.4%"), IF(INDIRECT(ADDRESS(ROW() + (0),COLUMN() + (-1)))="No agregar cuotas", IF(("")="", "Sin costo", ""), "-"))</f>
        <v/>
      </c>
      <c r="M417" s="0" t="inlineStr">
        <is>
          <t>Mercado Envíos</t>
        </is>
      </c>
      <c r="N417" s="0" t="inlineStr">
        <is>
          <t>A cargo del comprador</t>
        </is>
      </c>
      <c r="O417" s="0" t="inlineStr">
        <is>
          <t>Acepto</t>
        </is>
      </c>
      <c r="P417" s="47" t="inlineStr">
        <is>
          <t>Sin garantía</t>
        </is>
      </c>
      <c r="R417" s="0" t="inlineStr">
        <is>
          <t>Seleccionar</t>
        </is>
      </c>
      <c r="S417" s="0" t="inlineStr">
        <is>
          <t>No ofrezco</t>
        </is>
      </c>
      <c r="T417" t="n">
        <v>1970</v>
      </c>
      <c r="U417" s="0" t="inlineStr">
        <is>
          <t>Dinamarca</t>
        </is>
      </c>
      <c r="X417" s="0" t="inlineStr">
        <is>
          <t>Bronce</t>
        </is>
      </c>
      <c r="Z417" t="inlineStr">
        <is>
          <t>5 Ore</t>
        </is>
      </c>
      <c r="AA417" s="0" t="inlineStr">
        <is>
          <t>Euro</t>
        </is>
      </c>
      <c r="AB4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7" s="53">
        <f>IF(OR(TRIM(INDIRECT("B"&amp;ROW())) &lt;&gt; "",TRIM(INDIRECT("A"&amp;ROW())) &lt;&gt; ""),AND(TRIM(INDIRECT("A"&amp;ROW())) &lt;&gt; "",TRIM(INDIRECT("D"&amp;ROW())) = "nuevo"),"")</f>
        <v/>
      </c>
    </row>
    <row r="418" ht="27.5" customHeight="1" s="62">
      <c r="B418" t="inlineStr">
        <is>
          <t>Moneda Dinamarca 2 Ore 1961</t>
        </is>
      </c>
      <c r="C418" s="0">
        <f>LEN(INDIRECT(ADDRESS(ROW() + (0),COLUMN() + (-1))))</f>
        <v/>
      </c>
      <c r="D418" s="0" t="inlineStr">
        <is>
          <t>Usado</t>
        </is>
      </c>
      <c r="E418" s="38" t="inlineStr">
        <is>
          <t>https://numismaticapopper.com/images/864A.jpeg,https://numismaticapopper.com/images/864B.jpeg</t>
        </is>
      </c>
      <c r="F418" t="inlineStr">
        <is>
          <t>864</t>
        </is>
      </c>
      <c r="G418" s="40" t="n">
        <v>1</v>
      </c>
      <c r="H418" t="n">
        <v>8000</v>
      </c>
      <c r="I418" t="inlineStr">
        <is>
          <t>Estado de conservacion: Muy Buena +
Referencia de catalogo: KM# 840
Material: Zinc</t>
        </is>
      </c>
      <c r="J418" s="31">
        <f>IF(INDIRECT(ADDRESS(ROW() + (0),COLUMN() + (1)))="Agregar cuotas", IF(("16%")="", "-", "16%"), IF(INDIRECT(ADDRESS(ROW() + (0),COLUMN() + (1)))="No agregar cuotas", IF(("16%")="", "-", "16%"), "-"))</f>
        <v/>
      </c>
      <c r="K418" s="0" t="inlineStr">
        <is>
          <t>No agregar cuotas</t>
        </is>
      </c>
      <c r="L418" s="31">
        <f>IF(INDIRECT(ADDRESS(ROW() + (0),COLUMN() + (-1)))="Agregar cuotas", IF(("13.4%")="", "Sin costo", "13.4%"), IF(INDIRECT(ADDRESS(ROW() + (0),COLUMN() + (-1)))="No agregar cuotas", IF(("")="", "Sin costo", ""), "-"))</f>
        <v/>
      </c>
      <c r="M418" s="0" t="inlineStr">
        <is>
          <t>Mercado Envíos</t>
        </is>
      </c>
      <c r="N418" s="0" t="inlineStr">
        <is>
          <t>A cargo del comprador</t>
        </is>
      </c>
      <c r="O418" s="0" t="inlineStr">
        <is>
          <t>Acepto</t>
        </is>
      </c>
      <c r="P418" s="47" t="inlineStr">
        <is>
          <t>Sin garantía</t>
        </is>
      </c>
      <c r="R418" s="0" t="inlineStr">
        <is>
          <t>Seleccionar</t>
        </is>
      </c>
      <c r="S418" s="0" t="inlineStr">
        <is>
          <t>No ofrezco</t>
        </is>
      </c>
      <c r="T418" t="n">
        <v>1961</v>
      </c>
      <c r="U418" s="0" t="inlineStr">
        <is>
          <t>Dinamarca</t>
        </is>
      </c>
      <c r="X418" s="0" t="inlineStr">
        <is>
          <t>Níquel</t>
        </is>
      </c>
      <c r="Z418" t="inlineStr">
        <is>
          <t>2 Ore</t>
        </is>
      </c>
      <c r="AA418" s="0" t="inlineStr">
        <is>
          <t>Euro</t>
        </is>
      </c>
      <c r="AB4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8" s="53">
        <f>IF(OR(TRIM(INDIRECT("B"&amp;ROW())) &lt;&gt; "",TRIM(INDIRECT("A"&amp;ROW())) &lt;&gt; ""),AND(TRIM(INDIRECT("A"&amp;ROW())) &lt;&gt; "",TRIM(INDIRECT("D"&amp;ROW())) = "nuevo"),"")</f>
        <v/>
      </c>
    </row>
    <row r="419" ht="27.5" customHeight="1" s="62">
      <c r="B419" t="inlineStr">
        <is>
          <t>Moneda Suecia 5 Ore 1900</t>
        </is>
      </c>
      <c r="C419" s="0">
        <f>LEN(INDIRECT(ADDRESS(ROW() + (0),COLUMN() + (-1))))</f>
        <v/>
      </c>
      <c r="D419" s="0" t="inlineStr">
        <is>
          <t>Usado</t>
        </is>
      </c>
      <c r="E419" s="38" t="inlineStr">
        <is>
          <t>https://numismaticapopper.com/images/866A.jpeg,https://numismaticapopper.com/images/866B.jpeg</t>
        </is>
      </c>
      <c r="F419" t="inlineStr">
        <is>
          <t>866</t>
        </is>
      </c>
      <c r="G419" s="40" t="n">
        <v>1</v>
      </c>
      <c r="H419" t="n">
        <v>26000</v>
      </c>
      <c r="I419" t="inlineStr">
        <is>
          <t>Estado de conservacion: Muy Buena +
Referencia de catalogo: KM# 794
Material: Bronce
ESCASA</t>
        </is>
      </c>
      <c r="J419" s="31">
        <f>IF(INDIRECT(ADDRESS(ROW() + (0),COLUMN() + (1)))="Agregar cuotas", IF(("16%")="", "-", "16%"), IF(INDIRECT(ADDRESS(ROW() + (0),COLUMN() + (1)))="No agregar cuotas", IF(("16%")="", "-", "16%"), "-"))</f>
        <v/>
      </c>
      <c r="K419" s="0" t="inlineStr">
        <is>
          <t>No agregar cuotas</t>
        </is>
      </c>
      <c r="L419" s="31">
        <f>IF(INDIRECT(ADDRESS(ROW() + (0),COLUMN() + (-1)))="Agregar cuotas", IF(("13.4%")="", "Sin costo", "13.4%"), IF(INDIRECT(ADDRESS(ROW() + (0),COLUMN() + (-1)))="No agregar cuotas", IF(("")="", "Sin costo", ""), "-"))</f>
        <v/>
      </c>
      <c r="M419" s="0" t="inlineStr">
        <is>
          <t>Mercado Envíos</t>
        </is>
      </c>
      <c r="N419" s="0" t="inlineStr">
        <is>
          <t>A cargo del comprador</t>
        </is>
      </c>
      <c r="O419" s="0" t="inlineStr">
        <is>
          <t>Acepto</t>
        </is>
      </c>
      <c r="P419" s="47" t="inlineStr">
        <is>
          <t>Sin garantía</t>
        </is>
      </c>
      <c r="R419" s="0" t="inlineStr">
        <is>
          <t>Seleccionar</t>
        </is>
      </c>
      <c r="S419" s="0" t="inlineStr">
        <is>
          <t>No ofrezco</t>
        </is>
      </c>
      <c r="T419" t="n">
        <v>1900</v>
      </c>
      <c r="U419" s="0" t="inlineStr">
        <is>
          <t>Dinamarca</t>
        </is>
      </c>
      <c r="X419" s="0" t="inlineStr">
        <is>
          <t>Bronce</t>
        </is>
      </c>
      <c r="Z419" t="inlineStr">
        <is>
          <t>5 Ore</t>
        </is>
      </c>
      <c r="AA419" s="0" t="inlineStr">
        <is>
          <t>Euro</t>
        </is>
      </c>
      <c r="AB4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19" s="53">
        <f>IF(OR(TRIM(INDIRECT("B"&amp;ROW())) &lt;&gt; "",TRIM(INDIRECT("A"&amp;ROW())) &lt;&gt; ""),AND(TRIM(INDIRECT("A"&amp;ROW())) &lt;&gt; "",TRIM(INDIRECT("D"&amp;ROW())) = "nuevo"),"")</f>
        <v/>
      </c>
    </row>
    <row r="420" ht="27.5" customHeight="1" s="62">
      <c r="B420" t="inlineStr">
        <is>
          <t>Moneda España 100 Pesetas 1980</t>
        </is>
      </c>
      <c r="C420" s="0">
        <f>LEN(INDIRECT(ADDRESS(ROW() + (0),COLUMN() + (-1))))</f>
        <v/>
      </c>
      <c r="D420" s="0" t="inlineStr">
        <is>
          <t>Usado</t>
        </is>
      </c>
      <c r="E420" s="38" t="inlineStr">
        <is>
          <t>https://numismaticapopper.com/images/867A.jpeg,https://numismaticapopper.com/images/867B.jpeg</t>
        </is>
      </c>
      <c r="F420" t="inlineStr">
        <is>
          <t>867</t>
        </is>
      </c>
      <c r="G420" s="40" t="n">
        <v>1</v>
      </c>
      <c r="H420" t="n">
        <v>10000</v>
      </c>
      <c r="I420" t="inlineStr">
        <is>
          <t>Estado de conservacion: Sin Circular
Referencia de catalogo: KM# 820
Material: Cuproníquel
Copa Mundial España 1982</t>
        </is>
      </c>
      <c r="J420" s="31">
        <f>IF(INDIRECT(ADDRESS(ROW() + (0),COLUMN() + (1)))="Agregar cuotas", IF(("16%")="", "-", "16%"), IF(INDIRECT(ADDRESS(ROW() + (0),COLUMN() + (1)))="No agregar cuotas", IF(("16%")="", "-", "16%"), "-"))</f>
        <v/>
      </c>
      <c r="K420" s="0" t="inlineStr">
        <is>
          <t>No agregar cuotas</t>
        </is>
      </c>
      <c r="L420" s="31">
        <f>IF(INDIRECT(ADDRESS(ROW() + (0),COLUMN() + (-1)))="Agregar cuotas", IF(("13.4%")="", "Sin costo", "13.4%"), IF(INDIRECT(ADDRESS(ROW() + (0),COLUMN() + (-1)))="No agregar cuotas", IF(("")="", "Sin costo", ""), "-"))</f>
        <v/>
      </c>
      <c r="M420" s="0" t="inlineStr">
        <is>
          <t>Mercado Envíos</t>
        </is>
      </c>
      <c r="N420" s="0" t="inlineStr">
        <is>
          <t>A cargo del comprador</t>
        </is>
      </c>
      <c r="O420" s="0" t="inlineStr">
        <is>
          <t>Acepto</t>
        </is>
      </c>
      <c r="P420" s="47" t="inlineStr">
        <is>
          <t>Sin garantía</t>
        </is>
      </c>
      <c r="R420" s="0" t="inlineStr">
        <is>
          <t>Seleccionar</t>
        </is>
      </c>
      <c r="S420" s="0" t="inlineStr">
        <is>
          <t>No ofrezco</t>
        </is>
      </c>
      <c r="T420" t="n">
        <v>1980</v>
      </c>
      <c r="U420" s="0" t="inlineStr">
        <is>
          <t>España</t>
        </is>
      </c>
      <c r="X420" s="0" t="inlineStr">
        <is>
          <t>Níquel</t>
        </is>
      </c>
      <c r="Z420" t="inlineStr">
        <is>
          <t>100 Pesetas</t>
        </is>
      </c>
      <c r="AA420" s="0" t="inlineStr">
        <is>
          <t>Euro</t>
        </is>
      </c>
      <c r="AB4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0" s="53">
        <f>IF(OR(TRIM(INDIRECT("B"&amp;ROW())) &lt;&gt; "",TRIM(INDIRECT("A"&amp;ROW())) &lt;&gt; ""),AND(TRIM(INDIRECT("A"&amp;ROW())) &lt;&gt; "",TRIM(INDIRECT("D"&amp;ROW())) = "nuevo"),"")</f>
        <v/>
      </c>
    </row>
    <row r="421" ht="27.5" customHeight="1" s="62">
      <c r="B421" t="inlineStr">
        <is>
          <t>Moneda Islandia 10 Krónur 1980</t>
        </is>
      </c>
      <c r="C421" s="0">
        <f>LEN(INDIRECT(ADDRESS(ROW() + (0),COLUMN() + (-1))))</f>
        <v/>
      </c>
      <c r="D421" s="0" t="inlineStr">
        <is>
          <t>Usado</t>
        </is>
      </c>
      <c r="E421" s="38" t="inlineStr">
        <is>
          <t>https://numismaticapopper.com/images/869A.jpeg,https://numismaticapopper.com/images/869B.jpeg</t>
        </is>
      </c>
      <c r="F421" t="inlineStr">
        <is>
          <t>869</t>
        </is>
      </c>
      <c r="G421" s="40" t="n">
        <v>1</v>
      </c>
      <c r="H421" t="n">
        <v>8000</v>
      </c>
      <c r="I421" t="inlineStr">
        <is>
          <t>Estado de conservacion: Sin Circular
Referencia de catalogo: KM# 15
Material: Cuproníquel
Tirada: 4600000</t>
        </is>
      </c>
      <c r="J421" s="31">
        <f>IF(INDIRECT(ADDRESS(ROW() + (0),COLUMN() + (1)))="Agregar cuotas", IF(("16%")="", "-", "16%"), IF(INDIRECT(ADDRESS(ROW() + (0),COLUMN() + (1)))="No agregar cuotas", IF(("16%")="", "-", "16%"), "-"))</f>
        <v/>
      </c>
      <c r="K421" s="0" t="inlineStr">
        <is>
          <t>No agregar cuotas</t>
        </is>
      </c>
      <c r="L421" s="31">
        <f>IF(INDIRECT(ADDRESS(ROW() + (0),COLUMN() + (-1)))="Agregar cuotas", IF(("13.4%")="", "Sin costo", "13.4%"), IF(INDIRECT(ADDRESS(ROW() + (0),COLUMN() + (-1)))="No agregar cuotas", IF(("")="", "Sin costo", ""), "-"))</f>
        <v/>
      </c>
      <c r="M421" s="0" t="inlineStr">
        <is>
          <t>Mercado Envíos</t>
        </is>
      </c>
      <c r="N421" s="0" t="inlineStr">
        <is>
          <t>A cargo del comprador</t>
        </is>
      </c>
      <c r="O421" s="0" t="inlineStr">
        <is>
          <t>Acepto</t>
        </is>
      </c>
      <c r="P421" s="47" t="inlineStr">
        <is>
          <t>Sin garantía</t>
        </is>
      </c>
      <c r="R421" s="0" t="inlineStr">
        <is>
          <t>Seleccionar</t>
        </is>
      </c>
      <c r="S421" s="0" t="inlineStr">
        <is>
          <t>No ofrezco</t>
        </is>
      </c>
      <c r="T421" t="n">
        <v>1980</v>
      </c>
      <c r="U421" s="0" t="inlineStr">
        <is>
          <t>Dinamarca</t>
        </is>
      </c>
      <c r="X421" s="0" t="inlineStr">
        <is>
          <t>Níquel</t>
        </is>
      </c>
      <c r="Z421" t="inlineStr">
        <is>
          <t>10 Krónur</t>
        </is>
      </c>
      <c r="AA421" s="0" t="inlineStr">
        <is>
          <t>Euro</t>
        </is>
      </c>
      <c r="AB4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1" s="53">
        <f>IF(OR(TRIM(INDIRECT("B"&amp;ROW())) &lt;&gt; "",TRIM(INDIRECT("A"&amp;ROW())) &lt;&gt; ""),AND(TRIM(INDIRECT("A"&amp;ROW())) &lt;&gt; "",TRIM(INDIRECT("D"&amp;ROW())) = "nuevo"),"")</f>
        <v/>
      </c>
    </row>
    <row r="422" ht="27.5" customHeight="1" s="62">
      <c r="B422" t="inlineStr">
        <is>
          <t>Moneda Liberia 5 Cents 2000</t>
        </is>
      </c>
      <c r="C422" s="0">
        <f>LEN(INDIRECT(ADDRESS(ROW() + (0),COLUMN() + (-1))))</f>
        <v/>
      </c>
      <c r="D422" s="0" t="inlineStr">
        <is>
          <t>Usado</t>
        </is>
      </c>
      <c r="E422" s="38" t="inlineStr">
        <is>
          <t>https://numismaticapopper.com/images/870A.jpeg,https://numismaticapopper.com/images/870B.jpeg</t>
        </is>
      </c>
      <c r="F422" t="inlineStr">
        <is>
          <t>870</t>
        </is>
      </c>
      <c r="G422" s="40" t="n">
        <v>1</v>
      </c>
      <c r="H422" t="n">
        <v>9000</v>
      </c>
      <c r="I422" t="inlineStr">
        <is>
          <t>Estado de conservacion: Sin Circular
Referencia de catalogo: KM# 474
Material: Aluminio
Peso: 2.25 g
Diametro: 27.0 mm
Year of the Dragon</t>
        </is>
      </c>
      <c r="J422" s="31">
        <f>IF(INDIRECT(ADDRESS(ROW() + (0),COLUMN() + (1)))="Agregar cuotas", IF(("16%")="", "-", "16%"), IF(INDIRECT(ADDRESS(ROW() + (0),COLUMN() + (1)))="No agregar cuotas", IF(("16%")="", "-", "16%"), "-"))</f>
        <v/>
      </c>
      <c r="K422" s="0" t="inlineStr">
        <is>
          <t>No agregar cuotas</t>
        </is>
      </c>
      <c r="L422" s="31">
        <f>IF(INDIRECT(ADDRESS(ROW() + (0),COLUMN() + (-1)))="Agregar cuotas", IF(("13.4%")="", "Sin costo", "13.4%"), IF(INDIRECT(ADDRESS(ROW() + (0),COLUMN() + (-1)))="No agregar cuotas", IF(("")="", "Sin costo", ""), "-"))</f>
        <v/>
      </c>
      <c r="M422" s="0" t="inlineStr">
        <is>
          <t>Mercado Envíos</t>
        </is>
      </c>
      <c r="N422" s="0" t="inlineStr">
        <is>
          <t>A cargo del comprador</t>
        </is>
      </c>
      <c r="O422" s="0" t="inlineStr">
        <is>
          <t>Acepto</t>
        </is>
      </c>
      <c r="P422" s="47" t="inlineStr">
        <is>
          <t>Sin garantía</t>
        </is>
      </c>
      <c r="R422" s="0" t="inlineStr">
        <is>
          <t>Seleccionar</t>
        </is>
      </c>
      <c r="S422" s="0" t="inlineStr">
        <is>
          <t>No ofrezco</t>
        </is>
      </c>
      <c r="T422" t="n">
        <v>2000</v>
      </c>
      <c r="U422" s="0" t="inlineStr">
        <is>
          <t>Estados Unidos</t>
        </is>
      </c>
      <c r="X422" s="0" t="inlineStr">
        <is>
          <t>Níquel</t>
        </is>
      </c>
      <c r="Z422" t="inlineStr">
        <is>
          <t>5 Cents</t>
        </is>
      </c>
      <c r="AA422" s="0" t="inlineStr">
        <is>
          <t>Dólar</t>
        </is>
      </c>
      <c r="AB4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2" s="53">
        <f>IF(OR(TRIM(INDIRECT("B"&amp;ROW())) &lt;&gt; "",TRIM(INDIRECT("A"&amp;ROW())) &lt;&gt; ""),AND(TRIM(INDIRECT("A"&amp;ROW())) &lt;&gt; "",TRIM(INDIRECT("D"&amp;ROW())) = "nuevo"),"")</f>
        <v/>
      </c>
    </row>
    <row r="423" ht="27.5" customHeight="1" s="62">
      <c r="B423" t="inlineStr">
        <is>
          <t>Moneda Israel 10 Pruta 1952</t>
        </is>
      </c>
      <c r="C423" s="0">
        <f>LEN(INDIRECT(ADDRESS(ROW() + (0),COLUMN() + (-1))))</f>
        <v/>
      </c>
      <c r="D423" s="0" t="inlineStr">
        <is>
          <t>Usado</t>
        </is>
      </c>
      <c r="E423" s="38" t="inlineStr">
        <is>
          <t>https://numismaticapopper.com/images/872A.jpeg,https://numismaticapopper.com/images/872B.jpeg</t>
        </is>
      </c>
      <c r="F423" t="inlineStr">
        <is>
          <t>872</t>
        </is>
      </c>
      <c r="G423" s="40" t="n">
        <v>1</v>
      </c>
      <c r="H423" t="n">
        <v>8000</v>
      </c>
      <c r="I423" t="inlineStr">
        <is>
          <t>Estado de conservacion: Buena +
Referencia de catalogo: KM# 17
Material: Aluminio</t>
        </is>
      </c>
      <c r="J423" s="31">
        <f>IF(INDIRECT(ADDRESS(ROW() + (0),COLUMN() + (1)))="Agregar cuotas", IF(("16%")="", "-", "16%"), IF(INDIRECT(ADDRESS(ROW() + (0),COLUMN() + (1)))="No agregar cuotas", IF(("16%")="", "-", "16%"), "-"))</f>
        <v/>
      </c>
      <c r="K423" s="0" t="inlineStr">
        <is>
          <t>No agregar cuotas</t>
        </is>
      </c>
      <c r="L423" s="31">
        <f>IF(INDIRECT(ADDRESS(ROW() + (0),COLUMN() + (-1)))="Agregar cuotas", IF(("13.4%")="", "Sin costo", "13.4%"), IF(INDIRECT(ADDRESS(ROW() + (0),COLUMN() + (-1)))="No agregar cuotas", IF(("")="", "Sin costo", ""), "-"))</f>
        <v/>
      </c>
      <c r="M423" s="0" t="inlineStr">
        <is>
          <t>Mercado Envíos</t>
        </is>
      </c>
      <c r="N423" s="0" t="inlineStr">
        <is>
          <t>A cargo del comprador</t>
        </is>
      </c>
      <c r="O423" s="0" t="inlineStr">
        <is>
          <t>Acepto</t>
        </is>
      </c>
      <c r="P423" s="47" t="inlineStr">
        <is>
          <t>Sin garantía</t>
        </is>
      </c>
      <c r="R423" s="0" t="inlineStr">
        <is>
          <t>Seleccionar</t>
        </is>
      </c>
      <c r="S423" s="0" t="inlineStr">
        <is>
          <t>No ofrezco</t>
        </is>
      </c>
      <c r="T423" t="n">
        <v>1952</v>
      </c>
      <c r="U423" s="0" t="inlineStr">
        <is>
          <t>Israel</t>
        </is>
      </c>
      <c r="X423" s="0" t="inlineStr">
        <is>
          <t>Níquel</t>
        </is>
      </c>
      <c r="Z423" t="inlineStr">
        <is>
          <t>10 Pruta</t>
        </is>
      </c>
      <c r="AA423" s="0" t="inlineStr">
        <is>
          <t>Sheqel</t>
        </is>
      </c>
      <c r="AB4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3" s="53">
        <f>IF(OR(TRIM(INDIRECT("B"&amp;ROW())) &lt;&gt; "",TRIM(INDIRECT("A"&amp;ROW())) &lt;&gt; ""),AND(TRIM(INDIRECT("A"&amp;ROW())) &lt;&gt; "",TRIM(INDIRECT("D"&amp;ROW())) = "nuevo"),"")</f>
        <v/>
      </c>
    </row>
    <row r="424" ht="27.5" customHeight="1" s="62">
      <c r="B424" t="inlineStr">
        <is>
          <t>Moneda Egipto 1 Millieme 1972</t>
        </is>
      </c>
      <c r="C424" s="0">
        <f>LEN(INDIRECT(ADDRESS(ROW() + (0),COLUMN() + (-1))))</f>
        <v/>
      </c>
      <c r="D424" s="0" t="inlineStr">
        <is>
          <t>Usado</t>
        </is>
      </c>
      <c r="E424" s="38" t="inlineStr">
        <is>
          <t>https://numismaticapopper.com/images/873A.jpeg,https://numismaticapopper.com/images/873B.jpeg</t>
        </is>
      </c>
      <c r="F424" t="inlineStr">
        <is>
          <t>873</t>
        </is>
      </c>
      <c r="G424" s="40" t="n">
        <v>1</v>
      </c>
      <c r="H424" t="n">
        <v>8000</v>
      </c>
      <c r="I424" t="inlineStr">
        <is>
          <t>Estado de conservacion: Sin Circular
Referencia de catalogo: KM# A423
Material: Aluminio</t>
        </is>
      </c>
      <c r="J424" s="31">
        <f>IF(INDIRECT(ADDRESS(ROW() + (0),COLUMN() + (1)))="Agregar cuotas", IF(("16%")="", "-", "16%"), IF(INDIRECT(ADDRESS(ROW() + (0),COLUMN() + (1)))="No agregar cuotas", IF(("16%")="", "-", "16%"), "-"))</f>
        <v/>
      </c>
      <c r="K424" s="0" t="inlineStr">
        <is>
          <t>No agregar cuotas</t>
        </is>
      </c>
      <c r="L424" s="31">
        <f>IF(INDIRECT(ADDRESS(ROW() + (0),COLUMN() + (-1)))="Agregar cuotas", IF(("13.4%")="", "Sin costo", "13.4%"), IF(INDIRECT(ADDRESS(ROW() + (0),COLUMN() + (-1)))="No agregar cuotas", IF(("")="", "Sin costo", ""), "-"))</f>
        <v/>
      </c>
      <c r="M424" s="0" t="inlineStr">
        <is>
          <t>Mercado Envíos</t>
        </is>
      </c>
      <c r="N424" s="0" t="inlineStr">
        <is>
          <t>A cargo del comprador</t>
        </is>
      </c>
      <c r="O424" s="0" t="inlineStr">
        <is>
          <t>Acepto</t>
        </is>
      </c>
      <c r="P424" s="47" t="inlineStr">
        <is>
          <t>Sin garantía</t>
        </is>
      </c>
      <c r="R424" s="0" t="inlineStr">
        <is>
          <t>Seleccionar</t>
        </is>
      </c>
      <c r="S424" s="0" t="inlineStr">
        <is>
          <t>No ofrezco</t>
        </is>
      </c>
      <c r="T424" t="n">
        <v>1972</v>
      </c>
      <c r="U424" s="0" t="inlineStr">
        <is>
          <t>Israel</t>
        </is>
      </c>
      <c r="X424" s="0" t="inlineStr">
        <is>
          <t>Níquel</t>
        </is>
      </c>
      <c r="Z424" t="inlineStr">
        <is>
          <t>1 Millieme</t>
        </is>
      </c>
      <c r="AA424" s="0" t="inlineStr">
        <is>
          <t>Sheqel</t>
        </is>
      </c>
      <c r="AB4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4" s="53">
        <f>IF(OR(TRIM(INDIRECT("B"&amp;ROW())) &lt;&gt; "",TRIM(INDIRECT("A"&amp;ROW())) &lt;&gt; ""),AND(TRIM(INDIRECT("A"&amp;ROW())) &lt;&gt; "",TRIM(INDIRECT("D"&amp;ROW())) = "nuevo"),"")</f>
        <v/>
      </c>
    </row>
    <row r="425" ht="27.5" customHeight="1" s="62">
      <c r="B425" t="inlineStr">
        <is>
          <t>Moneda Dinamarca 20 Kroner 1991</t>
        </is>
      </c>
      <c r="C425" s="0">
        <f>LEN(INDIRECT(ADDRESS(ROW() + (0),COLUMN() + (-1))))</f>
        <v/>
      </c>
      <c r="D425" s="0" t="inlineStr">
        <is>
          <t>Usado</t>
        </is>
      </c>
      <c r="E425" s="38" t="inlineStr">
        <is>
          <t>https://numismaticapopper.com/images/876A.jpeg,https://numismaticapopper.com/images/876B.jpeg</t>
        </is>
      </c>
      <c r="F425" t="inlineStr">
        <is>
          <t>876</t>
        </is>
      </c>
      <c r="G425" s="40" t="n">
        <v>1</v>
      </c>
      <c r="H425" t="n">
        <v>12000</v>
      </c>
      <c r="I425" t="inlineStr">
        <is>
          <t>Estado de conservacion: Muy Buena +
Referencia de catalogo: KM# 871
Material: Bronce de aluminio
Alto valor nominal (3 usd)</t>
        </is>
      </c>
      <c r="J425" s="31">
        <f>IF(INDIRECT(ADDRESS(ROW() + (0),COLUMN() + (1)))="Agregar cuotas", IF(("16%")="", "-", "16%"), IF(INDIRECT(ADDRESS(ROW() + (0),COLUMN() + (1)))="No agregar cuotas", IF(("16%")="", "-", "16%"), "-"))</f>
        <v/>
      </c>
      <c r="K425" s="0" t="inlineStr">
        <is>
          <t>No agregar cuotas</t>
        </is>
      </c>
      <c r="L425" s="31">
        <f>IF(INDIRECT(ADDRESS(ROW() + (0),COLUMN() + (-1)))="Agregar cuotas", IF(("13.4%")="", "Sin costo", "13.4%"), IF(INDIRECT(ADDRESS(ROW() + (0),COLUMN() + (-1)))="No agregar cuotas", IF(("")="", "Sin costo", ""), "-"))</f>
        <v/>
      </c>
      <c r="M425" s="0" t="inlineStr">
        <is>
          <t>Mercado Envíos</t>
        </is>
      </c>
      <c r="N425" s="0" t="inlineStr">
        <is>
          <t>A cargo del comprador</t>
        </is>
      </c>
      <c r="O425" s="0" t="inlineStr">
        <is>
          <t>Acepto</t>
        </is>
      </c>
      <c r="P425" s="47" t="inlineStr">
        <is>
          <t>Sin garantía</t>
        </is>
      </c>
      <c r="R425" s="0" t="inlineStr">
        <is>
          <t>Seleccionar</t>
        </is>
      </c>
      <c r="S425" s="0" t="inlineStr">
        <is>
          <t>No ofrezco</t>
        </is>
      </c>
      <c r="T425" t="n">
        <v>1991</v>
      </c>
      <c r="U425" s="0" t="inlineStr">
        <is>
          <t>Dinamarca</t>
        </is>
      </c>
      <c r="X425" s="0" t="inlineStr">
        <is>
          <t>Bronce</t>
        </is>
      </c>
      <c r="Z425" t="inlineStr">
        <is>
          <t>20 Kroner</t>
        </is>
      </c>
      <c r="AA425" s="0" t="inlineStr">
        <is>
          <t>Euro</t>
        </is>
      </c>
      <c r="AB4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5" s="53">
        <f>IF(OR(TRIM(INDIRECT("B"&amp;ROW())) &lt;&gt; "",TRIM(INDIRECT("A"&amp;ROW())) &lt;&gt; ""),AND(TRIM(INDIRECT("A"&amp;ROW())) &lt;&gt; "",TRIM(INDIRECT("D"&amp;ROW())) = "nuevo"),"")</f>
        <v/>
      </c>
    </row>
    <row r="426" ht="27.5" customHeight="1" s="62">
      <c r="B426" t="inlineStr">
        <is>
          <t>Moneda Dinamarca 10 Ore 1937</t>
        </is>
      </c>
      <c r="C426" s="0">
        <f>LEN(INDIRECT(ADDRESS(ROW() + (0),COLUMN() + (-1))))</f>
        <v/>
      </c>
      <c r="D426" s="0" t="inlineStr">
        <is>
          <t>Usado</t>
        </is>
      </c>
      <c r="E426" s="38" t="inlineStr">
        <is>
          <t>https://numismaticapopper.com/images/878A.jpeg,https://numismaticapopper.com/images/878B.jpeg</t>
        </is>
      </c>
      <c r="F426" t="inlineStr">
        <is>
          <t>878</t>
        </is>
      </c>
      <c r="G426" s="40" t="n">
        <v>1</v>
      </c>
      <c r="H426" t="n">
        <v>8000</v>
      </c>
      <c r="I426" t="inlineStr">
        <is>
          <t>Estado de conservacion: Muy Buena +
Referencia de catalogo: KM# 822
Material: Cuproníquel
Peso: 3.0 g
Diametro: 18.0 mm
Tirada: 2234000</t>
        </is>
      </c>
      <c r="J426" s="31">
        <f>IF(INDIRECT(ADDRESS(ROW() + (0),COLUMN() + (1)))="Agregar cuotas", IF(("16%")="", "-", "16%"), IF(INDIRECT(ADDRESS(ROW() + (0),COLUMN() + (1)))="No agregar cuotas", IF(("16%")="", "-", "16%"), "-"))</f>
        <v/>
      </c>
      <c r="K426" s="0" t="inlineStr">
        <is>
          <t>No agregar cuotas</t>
        </is>
      </c>
      <c r="L426" s="31">
        <f>IF(INDIRECT(ADDRESS(ROW() + (0),COLUMN() + (-1)))="Agregar cuotas", IF(("13.4%")="", "Sin costo", "13.4%"), IF(INDIRECT(ADDRESS(ROW() + (0),COLUMN() + (-1)))="No agregar cuotas", IF(("")="", "Sin costo", ""), "-"))</f>
        <v/>
      </c>
      <c r="M426" s="0" t="inlineStr">
        <is>
          <t>Mercado Envíos</t>
        </is>
      </c>
      <c r="N426" s="0" t="inlineStr">
        <is>
          <t>A cargo del comprador</t>
        </is>
      </c>
      <c r="O426" s="0" t="inlineStr">
        <is>
          <t>Acepto</t>
        </is>
      </c>
      <c r="P426" s="47" t="inlineStr">
        <is>
          <t>Sin garantía</t>
        </is>
      </c>
      <c r="R426" s="0" t="inlineStr">
        <is>
          <t>Seleccionar</t>
        </is>
      </c>
      <c r="S426" s="0" t="inlineStr">
        <is>
          <t>No ofrezco</t>
        </is>
      </c>
      <c r="T426" t="n">
        <v>1937</v>
      </c>
      <c r="U426" s="0" t="inlineStr">
        <is>
          <t>Dinamarca</t>
        </is>
      </c>
      <c r="X426" s="0" t="inlineStr">
        <is>
          <t>Níquel</t>
        </is>
      </c>
      <c r="Z426" t="inlineStr">
        <is>
          <t>10 Ore</t>
        </is>
      </c>
      <c r="AA426" s="0" t="inlineStr">
        <is>
          <t>Euro</t>
        </is>
      </c>
      <c r="AB4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6" s="53">
        <f>IF(OR(TRIM(INDIRECT("B"&amp;ROW())) &lt;&gt; "",TRIM(INDIRECT("A"&amp;ROW())) &lt;&gt; ""),AND(TRIM(INDIRECT("A"&amp;ROW())) &lt;&gt; "",TRIM(INDIRECT("D"&amp;ROW())) = "nuevo"),"")</f>
        <v/>
      </c>
    </row>
    <row r="427" ht="27.5" customHeight="1" s="62">
      <c r="B427" t="inlineStr">
        <is>
          <t>Moneda Suecia 10 Kronor 1991</t>
        </is>
      </c>
      <c r="C427" s="0">
        <f>LEN(INDIRECT(ADDRESS(ROW() + (0),COLUMN() + (-1))))</f>
        <v/>
      </c>
      <c r="D427" s="0" t="inlineStr">
        <is>
          <t>Usado</t>
        </is>
      </c>
      <c r="E427" s="38" t="inlineStr">
        <is>
          <t>https://numismaticapopper.com/images/880A.jpeg,https://numismaticapopper.com/images/880B.jpeg</t>
        </is>
      </c>
      <c r="F427" t="inlineStr">
        <is>
          <t>880</t>
        </is>
      </c>
      <c r="G427" s="40" t="n">
        <v>1</v>
      </c>
      <c r="H427" t="n">
        <v>9000</v>
      </c>
      <c r="I427" t="inlineStr">
        <is>
          <t>Estado de conservacion: Excelente
Referencia de catalogo: KM# 877
Material: Oro nórdico</t>
        </is>
      </c>
      <c r="J427" s="31">
        <f>IF(INDIRECT(ADDRESS(ROW() + (0),COLUMN() + (1)))="Agregar cuotas", IF(("16%")="", "-", "16%"), IF(INDIRECT(ADDRESS(ROW() + (0),COLUMN() + (1)))="No agregar cuotas", IF(("16%")="", "-", "16%"), "-"))</f>
        <v/>
      </c>
      <c r="K427" s="0" t="inlineStr">
        <is>
          <t>No agregar cuotas</t>
        </is>
      </c>
      <c r="L427" s="31">
        <f>IF(INDIRECT(ADDRESS(ROW() + (0),COLUMN() + (-1)))="Agregar cuotas", IF(("13.4%")="", "Sin costo", "13.4%"), IF(INDIRECT(ADDRESS(ROW() + (0),COLUMN() + (-1)))="No agregar cuotas", IF(("")="", "Sin costo", ""), "-"))</f>
        <v/>
      </c>
      <c r="M427" s="0" t="inlineStr">
        <is>
          <t>Mercado Envíos</t>
        </is>
      </c>
      <c r="N427" s="0" t="inlineStr">
        <is>
          <t>A cargo del comprador</t>
        </is>
      </c>
      <c r="O427" s="0" t="inlineStr">
        <is>
          <t>Acepto</t>
        </is>
      </c>
      <c r="P427" s="47" t="inlineStr">
        <is>
          <t>Sin garantía</t>
        </is>
      </c>
      <c r="R427" s="0" t="inlineStr">
        <is>
          <t>Seleccionar</t>
        </is>
      </c>
      <c r="S427" s="0" t="inlineStr">
        <is>
          <t>No ofrezco</t>
        </is>
      </c>
      <c r="T427" t="n">
        <v>1991</v>
      </c>
      <c r="U427" s="0" t="inlineStr">
        <is>
          <t>Dinamarca</t>
        </is>
      </c>
      <c r="X427" s="0" t="inlineStr">
        <is>
          <t>Bronce</t>
        </is>
      </c>
      <c r="Z427" t="inlineStr">
        <is>
          <t>10 Kronor</t>
        </is>
      </c>
      <c r="AA427" s="0" t="inlineStr">
        <is>
          <t>Euro</t>
        </is>
      </c>
      <c r="AB4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7" s="53">
        <f>IF(OR(TRIM(INDIRECT("B"&amp;ROW())) &lt;&gt; "",TRIM(INDIRECT("A"&amp;ROW())) &lt;&gt; ""),AND(TRIM(INDIRECT("A"&amp;ROW())) &lt;&gt; "",TRIM(INDIRECT("D"&amp;ROW())) = "nuevo"),"")</f>
        <v/>
      </c>
    </row>
    <row r="428" ht="27.5" customHeight="1" s="62">
      <c r="B428" t="inlineStr">
        <is>
          <t>Moneda Suecia 10 Ore 1970</t>
        </is>
      </c>
      <c r="C428" s="0">
        <f>LEN(INDIRECT(ADDRESS(ROW() + (0),COLUMN() + (-1))))</f>
        <v/>
      </c>
      <c r="D428" s="0" t="inlineStr">
        <is>
          <t>Usado</t>
        </is>
      </c>
      <c r="E428" s="38" t="inlineStr">
        <is>
          <t>https://numismaticapopper.com/images/881A.jpeg,https://numismaticapopper.com/images/881B.jpeg</t>
        </is>
      </c>
      <c r="F428" t="inlineStr">
        <is>
          <t>881</t>
        </is>
      </c>
      <c r="G428" s="40" t="n">
        <v>1</v>
      </c>
      <c r="H428" t="n">
        <v>7000</v>
      </c>
      <c r="I428" t="inlineStr">
        <is>
          <t>Estado de conservacion: Muy Buena
Referencia de catalogo: KM# 835
Material: Cuproníquel</t>
        </is>
      </c>
      <c r="J428" s="31">
        <f>IF(INDIRECT(ADDRESS(ROW() + (0),COLUMN() + (1)))="Agregar cuotas", IF(("16%")="", "-", "16%"), IF(INDIRECT(ADDRESS(ROW() + (0),COLUMN() + (1)))="No agregar cuotas", IF(("16%")="", "-", "16%"), "-"))</f>
        <v/>
      </c>
      <c r="K428" s="0" t="inlineStr">
        <is>
          <t>No agregar cuotas</t>
        </is>
      </c>
      <c r="L428" s="31">
        <f>IF(INDIRECT(ADDRESS(ROW() + (0),COLUMN() + (-1)))="Agregar cuotas", IF(("13.4%")="", "Sin costo", "13.4%"), IF(INDIRECT(ADDRESS(ROW() + (0),COLUMN() + (-1)))="No agregar cuotas", IF(("")="", "Sin costo", ""), "-"))</f>
        <v/>
      </c>
      <c r="M428" s="0" t="inlineStr">
        <is>
          <t>Mercado Envíos</t>
        </is>
      </c>
      <c r="N428" s="0" t="inlineStr">
        <is>
          <t>A cargo del comprador</t>
        </is>
      </c>
      <c r="O428" s="0" t="inlineStr">
        <is>
          <t>Acepto</t>
        </is>
      </c>
      <c r="P428" s="47" t="inlineStr">
        <is>
          <t>Sin garantía</t>
        </is>
      </c>
      <c r="R428" s="0" t="inlineStr">
        <is>
          <t>Seleccionar</t>
        </is>
      </c>
      <c r="S428" s="0" t="inlineStr">
        <is>
          <t>No ofrezco</t>
        </is>
      </c>
      <c r="T428" t="n">
        <v>1970</v>
      </c>
      <c r="U428" s="0" t="inlineStr">
        <is>
          <t>Dinamarca</t>
        </is>
      </c>
      <c r="X428" s="0" t="inlineStr">
        <is>
          <t>Níquel</t>
        </is>
      </c>
      <c r="Z428" t="inlineStr">
        <is>
          <t>10 Ore</t>
        </is>
      </c>
      <c r="AA428" s="0" t="inlineStr">
        <is>
          <t>Euro</t>
        </is>
      </c>
      <c r="AB4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8" s="53">
        <f>IF(OR(TRIM(INDIRECT("B"&amp;ROW())) &lt;&gt; "",TRIM(INDIRECT("A"&amp;ROW())) &lt;&gt; ""),AND(TRIM(INDIRECT("A"&amp;ROW())) &lt;&gt; "",TRIM(INDIRECT("D"&amp;ROW())) = "nuevo"),"")</f>
        <v/>
      </c>
    </row>
    <row r="429" ht="27.5" customHeight="1" s="62">
      <c r="B429" t="inlineStr">
        <is>
          <t>Moneda Suecia 5 Kronor 1983</t>
        </is>
      </c>
      <c r="C429" s="0">
        <f>LEN(INDIRECT(ADDRESS(ROW() + (0),COLUMN() + (-1))))</f>
        <v/>
      </c>
      <c r="D429" s="0" t="inlineStr">
        <is>
          <t>Usado</t>
        </is>
      </c>
      <c r="E429" s="38" t="inlineStr">
        <is>
          <t>https://numismaticapopper.com/images/882A.jpeg,https://numismaticapopper.com/images/882B.jpeg</t>
        </is>
      </c>
      <c r="F429" t="inlineStr">
        <is>
          <t>882</t>
        </is>
      </c>
      <c r="G429" s="40" t="n">
        <v>1</v>
      </c>
      <c r="H429" t="n">
        <v>8000</v>
      </c>
      <c r="I429" t="inlineStr">
        <is>
          <t>Estado de conservacion: Excelente
Referencia de catalogo: Schön# 75
Material: Cuproníquel</t>
        </is>
      </c>
      <c r="J429" s="31">
        <f>IF(INDIRECT(ADDRESS(ROW() + (0),COLUMN() + (1)))="Agregar cuotas", IF(("16%")="", "-", "16%"), IF(INDIRECT(ADDRESS(ROW() + (0),COLUMN() + (1)))="No agregar cuotas", IF(("16%")="", "-", "16%"), "-"))</f>
        <v/>
      </c>
      <c r="K429" s="0" t="inlineStr">
        <is>
          <t>No agregar cuotas</t>
        </is>
      </c>
      <c r="L429" s="31">
        <f>IF(INDIRECT(ADDRESS(ROW() + (0),COLUMN() + (-1)))="Agregar cuotas", IF(("13.4%")="", "Sin costo", "13.4%"), IF(INDIRECT(ADDRESS(ROW() + (0),COLUMN() + (-1)))="No agregar cuotas", IF(("")="", "Sin costo", ""), "-"))</f>
        <v/>
      </c>
      <c r="M429" s="0" t="inlineStr">
        <is>
          <t>Mercado Envíos</t>
        </is>
      </c>
      <c r="N429" s="0" t="inlineStr">
        <is>
          <t>A cargo del comprador</t>
        </is>
      </c>
      <c r="O429" s="0" t="inlineStr">
        <is>
          <t>Acepto</t>
        </is>
      </c>
      <c r="P429" s="47" t="inlineStr">
        <is>
          <t>Sin garantía</t>
        </is>
      </c>
      <c r="R429" s="0" t="inlineStr">
        <is>
          <t>Seleccionar</t>
        </is>
      </c>
      <c r="S429" s="0" t="inlineStr">
        <is>
          <t>No ofrezco</t>
        </is>
      </c>
      <c r="T429" t="n">
        <v>1983</v>
      </c>
      <c r="U429" s="0" t="inlineStr">
        <is>
          <t>Dinamarca</t>
        </is>
      </c>
      <c r="X429" s="0" t="inlineStr">
        <is>
          <t>Níquel</t>
        </is>
      </c>
      <c r="Z429" t="inlineStr">
        <is>
          <t>5 Kronor</t>
        </is>
      </c>
      <c r="AA429" s="0" t="inlineStr">
        <is>
          <t>Euro</t>
        </is>
      </c>
      <c r="AB4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29" s="53">
        <f>IF(OR(TRIM(INDIRECT("B"&amp;ROW())) &lt;&gt; "",TRIM(INDIRECT("A"&amp;ROW())) &lt;&gt; ""),AND(TRIM(INDIRECT("A"&amp;ROW())) &lt;&gt; "",TRIM(INDIRECT("D"&amp;ROW())) = "nuevo"),"")</f>
        <v/>
      </c>
    </row>
    <row r="430" ht="27.5" customHeight="1" s="62">
      <c r="B430" t="inlineStr">
        <is>
          <t>Moneda Suecia 2 Ore 1950</t>
        </is>
      </c>
      <c r="C430" s="0">
        <f>LEN(INDIRECT(ADDRESS(ROW() + (0),COLUMN() + (-1))))</f>
        <v/>
      </c>
      <c r="D430" s="0" t="inlineStr">
        <is>
          <t>Usado</t>
        </is>
      </c>
      <c r="E430" s="38" t="inlineStr">
        <is>
          <t>https://numismaticapopper.com/images/884A.jpeg,https://numismaticapopper.com/images/884B.jpeg</t>
        </is>
      </c>
      <c r="F430" t="inlineStr">
        <is>
          <t>884</t>
        </is>
      </c>
      <c r="G430" s="40" t="n">
        <v>1</v>
      </c>
      <c r="H430" t="n">
        <v>13000</v>
      </c>
      <c r="I430" t="inlineStr">
        <is>
          <t>Estado de conservacion: Excelente
Referencia de catalogo: KM# 778
Material: Bronce</t>
        </is>
      </c>
      <c r="J430" s="31">
        <f>IF(INDIRECT(ADDRESS(ROW() + (0),COLUMN() + (1)))="Agregar cuotas", IF(("16%")="", "-", "16%"), IF(INDIRECT(ADDRESS(ROW() + (0),COLUMN() + (1)))="No agregar cuotas", IF(("16%")="", "-", "16%"), "-"))</f>
        <v/>
      </c>
      <c r="K430" s="0" t="inlineStr">
        <is>
          <t>No agregar cuotas</t>
        </is>
      </c>
      <c r="L430" s="31">
        <f>IF(INDIRECT(ADDRESS(ROW() + (0),COLUMN() + (-1)))="Agregar cuotas", IF(("13.4%")="", "Sin costo", "13.4%"), IF(INDIRECT(ADDRESS(ROW() + (0),COLUMN() + (-1)))="No agregar cuotas", IF(("")="", "Sin costo", ""), "-"))</f>
        <v/>
      </c>
      <c r="M430" s="0" t="inlineStr">
        <is>
          <t>Mercado Envíos</t>
        </is>
      </c>
      <c r="N430" s="0" t="inlineStr">
        <is>
          <t>A cargo del comprador</t>
        </is>
      </c>
      <c r="O430" s="0" t="inlineStr">
        <is>
          <t>Acepto</t>
        </is>
      </c>
      <c r="P430" s="47" t="inlineStr">
        <is>
          <t>Sin garantía</t>
        </is>
      </c>
      <c r="R430" s="0" t="inlineStr">
        <is>
          <t>Seleccionar</t>
        </is>
      </c>
      <c r="S430" s="0" t="inlineStr">
        <is>
          <t>No ofrezco</t>
        </is>
      </c>
      <c r="T430" t="n">
        <v>1950</v>
      </c>
      <c r="U430" s="0" t="inlineStr">
        <is>
          <t>Dinamarca</t>
        </is>
      </c>
      <c r="X430" s="0" t="inlineStr">
        <is>
          <t>Bronce</t>
        </is>
      </c>
      <c r="Z430" t="inlineStr">
        <is>
          <t>2 Ore</t>
        </is>
      </c>
      <c r="AA430" s="0" t="inlineStr">
        <is>
          <t>Euro</t>
        </is>
      </c>
      <c r="AB4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0" s="53">
        <f>IF(OR(TRIM(INDIRECT("B"&amp;ROW())) &lt;&gt; "",TRIM(INDIRECT("A"&amp;ROW())) &lt;&gt; ""),AND(TRIM(INDIRECT("A"&amp;ROW())) &lt;&gt; "",TRIM(INDIRECT("D"&amp;ROW())) = "nuevo"),"")</f>
        <v/>
      </c>
    </row>
    <row r="431" ht="27.5" customHeight="1" s="62">
      <c r="B431" t="inlineStr">
        <is>
          <t>Moneda Suecia 1 Krona 1981</t>
        </is>
      </c>
      <c r="C431" s="0">
        <f>LEN(INDIRECT(ADDRESS(ROW() + (0),COLUMN() + (-1))))</f>
        <v/>
      </c>
      <c r="D431" s="0" t="inlineStr">
        <is>
          <t>Usado</t>
        </is>
      </c>
      <c r="E431" s="38" t="inlineStr">
        <is>
          <t>https://numismaticapopper.com/images/885A.jpeg,https://numismaticapopper.com/images/885B.jpeg</t>
        </is>
      </c>
      <c r="F431" t="inlineStr">
        <is>
          <t>885</t>
        </is>
      </c>
      <c r="G431" s="40" t="n">
        <v>1</v>
      </c>
      <c r="H431" t="n">
        <v>7000</v>
      </c>
      <c r="I431" t="inlineStr">
        <is>
          <t>Estado de conservacion: Excelente
Referencia de catalogo: KM# 852
Material: Cuproníquel
Peso: 7.0 g
Diametro: 25.0 mm</t>
        </is>
      </c>
      <c r="J431" s="31">
        <f>IF(INDIRECT(ADDRESS(ROW() + (0),COLUMN() + (1)))="Agregar cuotas", IF(("16%")="", "-", "16%"), IF(INDIRECT(ADDRESS(ROW() + (0),COLUMN() + (1)))="No agregar cuotas", IF(("16%")="", "-", "16%"), "-"))</f>
        <v/>
      </c>
      <c r="K431" s="0" t="inlineStr">
        <is>
          <t>No agregar cuotas</t>
        </is>
      </c>
      <c r="L431" s="31">
        <f>IF(INDIRECT(ADDRESS(ROW() + (0),COLUMN() + (-1)))="Agregar cuotas", IF(("13.4%")="", "Sin costo", "13.4%"), IF(INDIRECT(ADDRESS(ROW() + (0),COLUMN() + (-1)))="No agregar cuotas", IF(("")="", "Sin costo", ""), "-"))</f>
        <v/>
      </c>
      <c r="M431" s="0" t="inlineStr">
        <is>
          <t>Mercado Envíos</t>
        </is>
      </c>
      <c r="N431" s="0" t="inlineStr">
        <is>
          <t>A cargo del comprador</t>
        </is>
      </c>
      <c r="O431" s="0" t="inlineStr">
        <is>
          <t>Acepto</t>
        </is>
      </c>
      <c r="P431" s="47" t="inlineStr">
        <is>
          <t>Sin garantía</t>
        </is>
      </c>
      <c r="R431" s="0" t="inlineStr">
        <is>
          <t>Seleccionar</t>
        </is>
      </c>
      <c r="S431" s="0" t="inlineStr">
        <is>
          <t>No ofrezco</t>
        </is>
      </c>
      <c r="T431" t="n">
        <v>1981</v>
      </c>
      <c r="U431" s="0" t="inlineStr">
        <is>
          <t>Dinamarca</t>
        </is>
      </c>
      <c r="X431" s="0" t="inlineStr">
        <is>
          <t>Níquel</t>
        </is>
      </c>
      <c r="Z431" t="inlineStr">
        <is>
          <t>1 Krona</t>
        </is>
      </c>
      <c r="AA431" s="0" t="inlineStr">
        <is>
          <t>Euro</t>
        </is>
      </c>
      <c r="AB4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1" s="53">
        <f>IF(OR(TRIM(INDIRECT("B"&amp;ROW())) &lt;&gt; "",TRIM(INDIRECT("A"&amp;ROW())) &lt;&gt; ""),AND(TRIM(INDIRECT("A"&amp;ROW())) &lt;&gt; "",TRIM(INDIRECT("D"&amp;ROW())) = "nuevo"),"")</f>
        <v/>
      </c>
    </row>
    <row r="432" ht="27.5" customHeight="1" s="62">
      <c r="B432" t="inlineStr">
        <is>
          <t>Moneda Suecia 5 Ore 1922</t>
        </is>
      </c>
      <c r="C432" s="0">
        <f>LEN(INDIRECT(ADDRESS(ROW() + (0),COLUMN() + (-1))))</f>
        <v/>
      </c>
      <c r="D432" s="0" t="inlineStr">
        <is>
          <t>Usado</t>
        </is>
      </c>
      <c r="E432" s="38" t="inlineStr">
        <is>
          <t>https://numismaticapopper.com/images/887A.jpeg,https://numismaticapopper.com/images/887B.jpeg</t>
        </is>
      </c>
      <c r="F432" t="inlineStr">
        <is>
          <t>887</t>
        </is>
      </c>
      <c r="G432" s="40" t="n">
        <v>1</v>
      </c>
      <c r="H432" t="n">
        <v>15000</v>
      </c>
      <c r="I432" t="inlineStr">
        <is>
          <t>Estado de conservacion: Muy Buena
Referencia de catalogo: KM# 779
Material: Bronce
ESCASA</t>
        </is>
      </c>
      <c r="J432" s="31">
        <f>IF(INDIRECT(ADDRESS(ROW() + (0),COLUMN() + (1)))="Agregar cuotas", IF(("16%")="", "-", "16%"), IF(INDIRECT(ADDRESS(ROW() + (0),COLUMN() + (1)))="No agregar cuotas", IF(("16%")="", "-", "16%"), "-"))</f>
        <v/>
      </c>
      <c r="K432" s="0" t="inlineStr">
        <is>
          <t>No agregar cuotas</t>
        </is>
      </c>
      <c r="L432" s="31">
        <f>IF(INDIRECT(ADDRESS(ROW() + (0),COLUMN() + (-1)))="Agregar cuotas", IF(("13.4%")="", "Sin costo", "13.4%"), IF(INDIRECT(ADDRESS(ROW() + (0),COLUMN() + (-1)))="No agregar cuotas", IF(("")="", "Sin costo", ""), "-"))</f>
        <v/>
      </c>
      <c r="M432" s="0" t="inlineStr">
        <is>
          <t>Mercado Envíos</t>
        </is>
      </c>
      <c r="N432" s="0" t="inlineStr">
        <is>
          <t>A cargo del comprador</t>
        </is>
      </c>
      <c r="O432" s="0" t="inlineStr">
        <is>
          <t>Acepto</t>
        </is>
      </c>
      <c r="P432" s="47" t="inlineStr">
        <is>
          <t>Sin garantía</t>
        </is>
      </c>
      <c r="R432" s="0" t="inlineStr">
        <is>
          <t>Seleccionar</t>
        </is>
      </c>
      <c r="S432" s="0" t="inlineStr">
        <is>
          <t>No ofrezco</t>
        </is>
      </c>
      <c r="T432" t="n">
        <v>1922</v>
      </c>
      <c r="U432" s="0" t="inlineStr">
        <is>
          <t>Dinamarca</t>
        </is>
      </c>
      <c r="X432" s="0" t="inlineStr">
        <is>
          <t>Bronce</t>
        </is>
      </c>
      <c r="Z432" t="inlineStr">
        <is>
          <t>5 Ore</t>
        </is>
      </c>
      <c r="AA432" s="0" t="inlineStr">
        <is>
          <t>Euro</t>
        </is>
      </c>
      <c r="AB4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2" s="53">
        <f>IF(OR(TRIM(INDIRECT("B"&amp;ROW())) &lt;&gt; "",TRIM(INDIRECT("A"&amp;ROW())) &lt;&gt; ""),AND(TRIM(INDIRECT("A"&amp;ROW())) &lt;&gt; "",TRIM(INDIRECT("D"&amp;ROW())) = "nuevo"),"")</f>
        <v/>
      </c>
    </row>
    <row r="433" ht="27.5" customHeight="1" s="62">
      <c r="B433" t="inlineStr">
        <is>
          <t>Moneda Suecia 5 Ore 1950</t>
        </is>
      </c>
      <c r="C433" s="0">
        <f>LEN(INDIRECT(ADDRESS(ROW() + (0),COLUMN() + (-1))))</f>
        <v/>
      </c>
      <c r="D433" s="0" t="inlineStr">
        <is>
          <t>Usado</t>
        </is>
      </c>
      <c r="E433" s="38" t="inlineStr">
        <is>
          <t>https://numismaticapopper.com/images/888A.jpeg,https://numismaticapopper.com/images/888B.jpeg</t>
        </is>
      </c>
      <c r="F433" t="inlineStr">
        <is>
          <t>888</t>
        </is>
      </c>
      <c r="G433" s="40" t="n">
        <v>1</v>
      </c>
      <c r="H433" t="n">
        <v>10000</v>
      </c>
      <c r="I433" t="inlineStr">
        <is>
          <t>Estado de conservacion: Excelente -
Referencia de catalogo: KM# 779
Material: Bronce</t>
        </is>
      </c>
      <c r="J433" s="31">
        <f>IF(INDIRECT(ADDRESS(ROW() + (0),COLUMN() + (1)))="Agregar cuotas", IF(("16%")="", "-", "16%"), IF(INDIRECT(ADDRESS(ROW() + (0),COLUMN() + (1)))="No agregar cuotas", IF(("16%")="", "-", "16%"), "-"))</f>
        <v/>
      </c>
      <c r="K433" s="0" t="inlineStr">
        <is>
          <t>No agregar cuotas</t>
        </is>
      </c>
      <c r="L433" s="31">
        <f>IF(INDIRECT(ADDRESS(ROW() + (0),COLUMN() + (-1)))="Agregar cuotas", IF(("13.4%")="", "Sin costo", "13.4%"), IF(INDIRECT(ADDRESS(ROW() + (0),COLUMN() + (-1)))="No agregar cuotas", IF(("")="", "Sin costo", ""), "-"))</f>
        <v/>
      </c>
      <c r="M433" s="0" t="inlineStr">
        <is>
          <t>Mercado Envíos</t>
        </is>
      </c>
      <c r="N433" s="0" t="inlineStr">
        <is>
          <t>A cargo del comprador</t>
        </is>
      </c>
      <c r="O433" s="0" t="inlineStr">
        <is>
          <t>Acepto</t>
        </is>
      </c>
      <c r="P433" s="47" t="inlineStr">
        <is>
          <t>Sin garantía</t>
        </is>
      </c>
      <c r="R433" s="0" t="inlineStr">
        <is>
          <t>Seleccionar</t>
        </is>
      </c>
      <c r="S433" s="0" t="inlineStr">
        <is>
          <t>No ofrezco</t>
        </is>
      </c>
      <c r="T433" t="n">
        <v>1950</v>
      </c>
      <c r="U433" s="0" t="inlineStr">
        <is>
          <t>Dinamarca</t>
        </is>
      </c>
      <c r="X433" s="0" t="inlineStr">
        <is>
          <t>Bronce</t>
        </is>
      </c>
      <c r="Z433" t="inlineStr">
        <is>
          <t>5 Ore</t>
        </is>
      </c>
      <c r="AA433" s="0" t="inlineStr">
        <is>
          <t>Euro</t>
        </is>
      </c>
      <c r="AB4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3" s="53">
        <f>IF(OR(TRIM(INDIRECT("B"&amp;ROW())) &lt;&gt; "",TRIM(INDIRECT("A"&amp;ROW())) &lt;&gt; ""),AND(TRIM(INDIRECT("A"&amp;ROW())) &lt;&gt; "",TRIM(INDIRECT("D"&amp;ROW())) = "nuevo"),"")</f>
        <v/>
      </c>
    </row>
    <row r="434" ht="27.5" customHeight="1" s="62">
      <c r="B434" t="inlineStr">
        <is>
          <t>Moneda Suecia 5 Ore 1942</t>
        </is>
      </c>
      <c r="C434" s="0">
        <f>LEN(INDIRECT(ADDRESS(ROW() + (0),COLUMN() + (-1))))</f>
        <v/>
      </c>
      <c r="D434" s="0" t="inlineStr">
        <is>
          <t>Usado</t>
        </is>
      </c>
      <c r="E434" s="38" t="inlineStr">
        <is>
          <t>https://numismaticapopper.com/images/889A.jpeg,https://numismaticapopper.com/images/889B.jpeg</t>
        </is>
      </c>
      <c r="F434" t="inlineStr">
        <is>
          <t>889</t>
        </is>
      </c>
      <c r="G434" s="40" t="n">
        <v>1</v>
      </c>
      <c r="H434" t="n">
        <v>13000</v>
      </c>
      <c r="I434" t="inlineStr">
        <is>
          <t>Estado de conservacion: Muy Buena +
Referencia de catalogo: KM# 812
Material: Hierro
Segunda Guerra Mundial</t>
        </is>
      </c>
      <c r="J434" s="31">
        <f>IF(INDIRECT(ADDRESS(ROW() + (0),COLUMN() + (1)))="Agregar cuotas", IF(("16%")="", "-", "16%"), IF(INDIRECT(ADDRESS(ROW() + (0),COLUMN() + (1)))="No agregar cuotas", IF(("16%")="", "-", "16%"), "-"))</f>
        <v/>
      </c>
      <c r="K434" s="0" t="inlineStr">
        <is>
          <t>No agregar cuotas</t>
        </is>
      </c>
      <c r="L434" s="31">
        <f>IF(INDIRECT(ADDRESS(ROW() + (0),COLUMN() + (-1)))="Agregar cuotas", IF(("13.4%")="", "Sin costo", "13.4%"), IF(INDIRECT(ADDRESS(ROW() + (0),COLUMN() + (-1)))="No agregar cuotas", IF(("")="", "Sin costo", ""), "-"))</f>
        <v/>
      </c>
      <c r="M434" s="0" t="inlineStr">
        <is>
          <t>Mercado Envíos</t>
        </is>
      </c>
      <c r="N434" s="0" t="inlineStr">
        <is>
          <t>A cargo del comprador</t>
        </is>
      </c>
      <c r="O434" s="0" t="inlineStr">
        <is>
          <t>Acepto</t>
        </is>
      </c>
      <c r="P434" s="47" t="inlineStr">
        <is>
          <t>Sin garantía</t>
        </is>
      </c>
      <c r="R434" s="0" t="inlineStr">
        <is>
          <t>Seleccionar</t>
        </is>
      </c>
      <c r="S434" s="0" t="inlineStr">
        <is>
          <t>No ofrezco</t>
        </is>
      </c>
      <c r="T434" t="n">
        <v>1942</v>
      </c>
      <c r="U434" s="0" t="inlineStr">
        <is>
          <t>Dinamarca</t>
        </is>
      </c>
      <c r="X434" s="0" t="inlineStr">
        <is>
          <t>Níquel</t>
        </is>
      </c>
      <c r="Z434" t="inlineStr">
        <is>
          <t>5 Ore</t>
        </is>
      </c>
      <c r="AA434" s="0" t="inlineStr">
        <is>
          <t>Euro</t>
        </is>
      </c>
      <c r="AB4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4" s="53">
        <f>IF(OR(TRIM(INDIRECT("B"&amp;ROW())) &lt;&gt; "",TRIM(INDIRECT("A"&amp;ROW())) &lt;&gt; ""),AND(TRIM(INDIRECT("A"&amp;ROW())) &lt;&gt; "",TRIM(INDIRECT("D"&amp;ROW())) = "nuevo"),"")</f>
        <v/>
      </c>
    </row>
    <row r="435" ht="27.5" customHeight="1" s="62">
      <c r="B435" t="inlineStr">
        <is>
          <t>Moneda Tailandia 5 Baht 2007</t>
        </is>
      </c>
      <c r="C435" s="0">
        <f>LEN(INDIRECT(ADDRESS(ROW() + (0),COLUMN() + (-1))))</f>
        <v/>
      </c>
      <c r="D435" s="0" t="inlineStr">
        <is>
          <t>Usado</t>
        </is>
      </c>
      <c r="E435" s="38" t="inlineStr">
        <is>
          <t>https://numismaticapopper.com/images/890A.jpeg,https://numismaticapopper.com/images/890B.jpeg</t>
        </is>
      </c>
      <c r="F435" t="inlineStr">
        <is>
          <t>890</t>
        </is>
      </c>
      <c r="G435" s="40" t="n">
        <v>1</v>
      </c>
      <c r="H435" t="n">
        <v>8000</v>
      </c>
      <c r="I435" t="inlineStr">
        <is>
          <t>Estado de conservacion: Muy Buena
Referencia de catalogo: Y# 219
Material: Cobre recubierto de cuproníquel</t>
        </is>
      </c>
      <c r="J435" s="31">
        <f>IF(INDIRECT(ADDRESS(ROW() + (0),COLUMN() + (1)))="Agregar cuotas", IF(("16%")="", "-", "16%"), IF(INDIRECT(ADDRESS(ROW() + (0),COLUMN() + (1)))="No agregar cuotas", IF(("16%")="", "-", "16%"), "-"))</f>
        <v/>
      </c>
      <c r="K435" s="0" t="inlineStr">
        <is>
          <t>No agregar cuotas</t>
        </is>
      </c>
      <c r="L435" s="31">
        <f>IF(INDIRECT(ADDRESS(ROW() + (0),COLUMN() + (-1)))="Agregar cuotas", IF(("13.4%")="", "Sin costo", "13.4%"), IF(INDIRECT(ADDRESS(ROW() + (0),COLUMN() + (-1)))="No agregar cuotas", IF(("")="", "Sin costo", ""), "-"))</f>
        <v/>
      </c>
      <c r="M435" s="0" t="inlineStr">
        <is>
          <t>Mercado Envíos</t>
        </is>
      </c>
      <c r="N435" s="0" t="inlineStr">
        <is>
          <t>A cargo del comprador</t>
        </is>
      </c>
      <c r="O435" s="0" t="inlineStr">
        <is>
          <t>Acepto</t>
        </is>
      </c>
      <c r="P435" s="47" t="inlineStr">
        <is>
          <t>Sin garantía</t>
        </is>
      </c>
      <c r="R435" s="0" t="inlineStr">
        <is>
          <t>Seleccionar</t>
        </is>
      </c>
      <c r="S435" s="0" t="inlineStr">
        <is>
          <t>No ofrezco</t>
        </is>
      </c>
      <c r="T435" t="n">
        <v>2007</v>
      </c>
      <c r="U435" s="0" t="inlineStr">
        <is>
          <t>China</t>
        </is>
      </c>
      <c r="X435" s="0" t="inlineStr">
        <is>
          <t>Níquel</t>
        </is>
      </c>
      <c r="Z435" t="inlineStr">
        <is>
          <t>5 Baht</t>
        </is>
      </c>
      <c r="AA435" s="0" t="inlineStr">
        <is>
          <t>Yuan</t>
        </is>
      </c>
      <c r="AB4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5" s="53">
        <f>IF(OR(TRIM(INDIRECT("B"&amp;ROW())) &lt;&gt; "",TRIM(INDIRECT("A"&amp;ROW())) &lt;&gt; ""),AND(TRIM(INDIRECT("A"&amp;ROW())) &lt;&gt; "",TRIM(INDIRECT("D"&amp;ROW())) = "nuevo"),"")</f>
        <v/>
      </c>
    </row>
    <row r="436" ht="27.5" customHeight="1" s="62">
      <c r="B436" t="inlineStr">
        <is>
          <t>Moneda Emiratos Árabes Unidos 50 Fils 1998</t>
        </is>
      </c>
      <c r="C436" s="0">
        <f>LEN(INDIRECT(ADDRESS(ROW() + (0),COLUMN() + (-1))))</f>
        <v/>
      </c>
      <c r="D436" s="0" t="inlineStr">
        <is>
          <t>Usado</t>
        </is>
      </c>
      <c r="E436" s="38" t="inlineStr">
        <is>
          <t>https://numismaticapopper.com/images/893A.jpeg,https://numismaticapopper.com/images/893B.jpeg</t>
        </is>
      </c>
      <c r="F436" t="inlineStr">
        <is>
          <t>893</t>
        </is>
      </c>
      <c r="G436" s="40" t="n">
        <v>1</v>
      </c>
      <c r="H436" t="n">
        <v>9000</v>
      </c>
      <c r="I436" t="inlineStr">
        <is>
          <t>Estado de conservacion: Muy Buena
Referencia de catalogo: KM# 16
Material: Cuproníquel
Torres petrolíferas</t>
        </is>
      </c>
      <c r="J436" s="31">
        <f>IF(INDIRECT(ADDRESS(ROW() + (0),COLUMN() + (1)))="Agregar cuotas", IF(("16%")="", "-", "16%"), IF(INDIRECT(ADDRESS(ROW() + (0),COLUMN() + (1)))="No agregar cuotas", IF(("16%")="", "-", "16%"), "-"))</f>
        <v/>
      </c>
      <c r="K436" s="0" t="inlineStr">
        <is>
          <t>No agregar cuotas</t>
        </is>
      </c>
      <c r="L436" s="31">
        <f>IF(INDIRECT(ADDRESS(ROW() + (0),COLUMN() + (-1)))="Agregar cuotas", IF(("13.4%")="", "Sin costo", "13.4%"), IF(INDIRECT(ADDRESS(ROW() + (0),COLUMN() + (-1)))="No agregar cuotas", IF(("")="", "Sin costo", ""), "-"))</f>
        <v/>
      </c>
      <c r="M436" s="0" t="inlineStr">
        <is>
          <t>Mercado Envíos</t>
        </is>
      </c>
      <c r="N436" s="0" t="inlineStr">
        <is>
          <t>A cargo del comprador</t>
        </is>
      </c>
      <c r="O436" s="0" t="inlineStr">
        <is>
          <t>Acepto</t>
        </is>
      </c>
      <c r="P436" s="47" t="inlineStr">
        <is>
          <t>Sin garantía</t>
        </is>
      </c>
      <c r="R436" s="0" t="inlineStr">
        <is>
          <t>Seleccionar</t>
        </is>
      </c>
      <c r="S436" s="0" t="inlineStr">
        <is>
          <t>No ofrezco</t>
        </is>
      </c>
      <c r="T436" t="n">
        <v>1998</v>
      </c>
      <c r="U436" s="0" t="inlineStr">
        <is>
          <t>Israel</t>
        </is>
      </c>
      <c r="X436" s="0" t="inlineStr">
        <is>
          <t>Níquel</t>
        </is>
      </c>
      <c r="Z436" t="inlineStr">
        <is>
          <t>50 Fils</t>
        </is>
      </c>
      <c r="AA436" s="0" t="inlineStr">
        <is>
          <t>Sheqel</t>
        </is>
      </c>
      <c r="AB4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6" s="53">
        <f>IF(OR(TRIM(INDIRECT("B"&amp;ROW())) &lt;&gt; "",TRIM(INDIRECT("A"&amp;ROW())) &lt;&gt; ""),AND(TRIM(INDIRECT("A"&amp;ROW())) &lt;&gt; "",TRIM(INDIRECT("D"&amp;ROW())) = "nuevo"),"")</f>
        <v/>
      </c>
    </row>
    <row r="437" ht="27.5" customHeight="1" s="62">
      <c r="B437" t="inlineStr">
        <is>
          <t>Moneda Portugal 5 Escudos 1992</t>
        </is>
      </c>
      <c r="C437" s="0">
        <f>LEN(INDIRECT(ADDRESS(ROW() + (0),COLUMN() + (-1))))</f>
        <v/>
      </c>
      <c r="D437" s="0" t="inlineStr">
        <is>
          <t>Usado</t>
        </is>
      </c>
      <c r="E437" s="38" t="inlineStr">
        <is>
          <t>https://numismaticapopper.com/images/897A.jpeg,https://numismaticapopper.com/images/897B.jpeg</t>
        </is>
      </c>
      <c r="F437" t="inlineStr">
        <is>
          <t>897</t>
        </is>
      </c>
      <c r="G437" s="40" t="n">
        <v>1</v>
      </c>
      <c r="H437" t="n">
        <v>8000</v>
      </c>
      <c r="I437" t="inlineStr">
        <is>
          <t>Estado de conservacion: Sin Circular
Referencia de catalogo: KM# 632
Material: Latón de níquel</t>
        </is>
      </c>
      <c r="J437" s="31">
        <f>IF(INDIRECT(ADDRESS(ROW() + (0),COLUMN() + (1)))="Agregar cuotas", IF(("16%")="", "-", "16%"), IF(INDIRECT(ADDRESS(ROW() + (0),COLUMN() + (1)))="No agregar cuotas", IF(("16%")="", "-", "16%"), "-"))</f>
        <v/>
      </c>
      <c r="K437" s="0" t="inlineStr">
        <is>
          <t>No agregar cuotas</t>
        </is>
      </c>
      <c r="L437" s="31">
        <f>IF(INDIRECT(ADDRESS(ROW() + (0),COLUMN() + (-1)))="Agregar cuotas", IF(("13.4%")="", "Sin costo", "13.4%"), IF(INDIRECT(ADDRESS(ROW() + (0),COLUMN() + (-1)))="No agregar cuotas", IF(("")="", "Sin costo", ""), "-"))</f>
        <v/>
      </c>
      <c r="M437" s="0" t="inlineStr">
        <is>
          <t>Mercado Envíos</t>
        </is>
      </c>
      <c r="N437" s="0" t="inlineStr">
        <is>
          <t>A cargo del comprador</t>
        </is>
      </c>
      <c r="O437" s="0" t="inlineStr">
        <is>
          <t>Acepto</t>
        </is>
      </c>
      <c r="P437" s="47" t="inlineStr">
        <is>
          <t>Sin garantía</t>
        </is>
      </c>
      <c r="R437" s="0" t="inlineStr">
        <is>
          <t>Seleccionar</t>
        </is>
      </c>
      <c r="S437" s="0" t="inlineStr">
        <is>
          <t>No ofrezco</t>
        </is>
      </c>
      <c r="T437" t="n">
        <v>1992</v>
      </c>
      <c r="U437" s="0" t="inlineStr">
        <is>
          <t>Portugal</t>
        </is>
      </c>
      <c r="X437" s="0" t="inlineStr">
        <is>
          <t>Níquel</t>
        </is>
      </c>
      <c r="Z437" t="inlineStr">
        <is>
          <t>5 Escudos</t>
        </is>
      </c>
      <c r="AA437" s="0" t="inlineStr">
        <is>
          <t>Peso</t>
        </is>
      </c>
      <c r="AB4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7" s="53">
        <f>IF(OR(TRIM(INDIRECT("B"&amp;ROW())) &lt;&gt; "",TRIM(INDIRECT("A"&amp;ROW())) &lt;&gt; ""),AND(TRIM(INDIRECT("A"&amp;ROW())) &lt;&gt; "",TRIM(INDIRECT("D"&amp;ROW())) = "nuevo"),"")</f>
        <v/>
      </c>
    </row>
    <row r="438" ht="27.5" customHeight="1" s="62">
      <c r="B438" t="inlineStr">
        <is>
          <t>Moneda Italia 50 Centesimi 1941</t>
        </is>
      </c>
      <c r="C438" s="0">
        <f>LEN(INDIRECT(ADDRESS(ROW() + (0),COLUMN() + (-1))))</f>
        <v/>
      </c>
      <c r="D438" s="0" t="inlineStr">
        <is>
          <t>Usado</t>
        </is>
      </c>
      <c r="E438" s="38" t="inlineStr">
        <is>
          <t>https://numismaticapopper.com/images/898A.jpeg,https://numismaticapopper.com/images/898B.jpeg</t>
        </is>
      </c>
      <c r="F438" t="inlineStr">
        <is>
          <t>898</t>
        </is>
      </c>
      <c r="G438" s="40" t="n">
        <v>1</v>
      </c>
      <c r="H438" t="n">
        <v>7000</v>
      </c>
      <c r="I438" t="inlineStr">
        <is>
          <t>Referencia de catalogo: KM# 76b
Material: Acmonital</t>
        </is>
      </c>
      <c r="J438" s="31">
        <f>IF(INDIRECT(ADDRESS(ROW() + (0),COLUMN() + (1)))="Agregar cuotas", IF(("16%")="", "-", "16%"), IF(INDIRECT(ADDRESS(ROW() + (0),COLUMN() + (1)))="No agregar cuotas", IF(("16%")="", "-", "16%"), "-"))</f>
        <v/>
      </c>
      <c r="K438" s="0" t="inlineStr">
        <is>
          <t>No agregar cuotas</t>
        </is>
      </c>
      <c r="L438" s="31">
        <f>IF(INDIRECT(ADDRESS(ROW() + (0),COLUMN() + (-1)))="Agregar cuotas", IF(("13.4%")="", "Sin costo", "13.4%"), IF(INDIRECT(ADDRESS(ROW() + (0),COLUMN() + (-1)))="No agregar cuotas", IF(("")="", "Sin costo", ""), "-"))</f>
        <v/>
      </c>
      <c r="M438" s="0" t="inlineStr">
        <is>
          <t>Mercado Envíos</t>
        </is>
      </c>
      <c r="N438" s="0" t="inlineStr">
        <is>
          <t>A cargo del comprador</t>
        </is>
      </c>
      <c r="O438" s="0" t="inlineStr">
        <is>
          <t>Acepto</t>
        </is>
      </c>
      <c r="P438" s="47" t="inlineStr">
        <is>
          <t>Sin garantía</t>
        </is>
      </c>
      <c r="R438" s="0" t="inlineStr">
        <is>
          <t>Seleccionar</t>
        </is>
      </c>
      <c r="S438" s="0" t="inlineStr">
        <is>
          <t>No ofrezco</t>
        </is>
      </c>
      <c r="T438" t="n">
        <v>1941</v>
      </c>
      <c r="U438" s="0" t="inlineStr">
        <is>
          <t>Italia</t>
        </is>
      </c>
      <c r="X438" s="0" t="inlineStr">
        <is>
          <t>Bronce</t>
        </is>
      </c>
      <c r="Z438" t="inlineStr">
        <is>
          <t>50 Centesimi</t>
        </is>
      </c>
      <c r="AA438" s="0" t="inlineStr">
        <is>
          <t>Euro</t>
        </is>
      </c>
      <c r="AB4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8" s="53">
        <f>IF(OR(TRIM(INDIRECT("B"&amp;ROW())) &lt;&gt; "",TRIM(INDIRECT("A"&amp;ROW())) &lt;&gt; ""),AND(TRIM(INDIRECT("A"&amp;ROW())) &lt;&gt; "",TRIM(INDIRECT("D"&amp;ROW())) = "nuevo"),"")</f>
        <v/>
      </c>
    </row>
    <row r="439" ht="27.5" customHeight="1" s="62">
      <c r="B439" t="inlineStr">
        <is>
          <t>Moneda Italia 20 Centesimi 1919</t>
        </is>
      </c>
      <c r="C439" s="0">
        <f>LEN(INDIRECT(ADDRESS(ROW() + (0),COLUMN() + (-1))))</f>
        <v/>
      </c>
      <c r="D439" s="0" t="inlineStr">
        <is>
          <t>Usado</t>
        </is>
      </c>
      <c r="E439" s="38" t="inlineStr">
        <is>
          <t>https://numismaticapopper.com/images/899A.jpeg,https://numismaticapopper.com/images/899B.jpeg</t>
        </is>
      </c>
      <c r="F439" t="inlineStr">
        <is>
          <t>899</t>
        </is>
      </c>
      <c r="G439" s="40" t="n">
        <v>1</v>
      </c>
      <c r="H439" t="n">
        <v>11000</v>
      </c>
      <c r="I439" t="inlineStr">
        <is>
          <t>Estado de conservacion: Excelente
Referencia de catalogo: KM# 58
Material: Cuproníquel</t>
        </is>
      </c>
      <c r="J439" s="31">
        <f>IF(INDIRECT(ADDRESS(ROW() + (0),COLUMN() + (1)))="Agregar cuotas", IF(("16%")="", "-", "16%"), IF(INDIRECT(ADDRESS(ROW() + (0),COLUMN() + (1)))="No agregar cuotas", IF(("16%")="", "-", "16%"), "-"))</f>
        <v/>
      </c>
      <c r="K439" s="0" t="inlineStr">
        <is>
          <t>No agregar cuotas</t>
        </is>
      </c>
      <c r="L439" s="31">
        <f>IF(INDIRECT(ADDRESS(ROW() + (0),COLUMN() + (-1)))="Agregar cuotas", IF(("13.4%")="", "Sin costo", "13.4%"), IF(INDIRECT(ADDRESS(ROW() + (0),COLUMN() + (-1)))="No agregar cuotas", IF(("")="", "Sin costo", ""), "-"))</f>
        <v/>
      </c>
      <c r="M439" s="0" t="inlineStr">
        <is>
          <t>Mercado Envíos</t>
        </is>
      </c>
      <c r="N439" s="0" t="inlineStr">
        <is>
          <t>A cargo del comprador</t>
        </is>
      </c>
      <c r="O439" s="0" t="inlineStr">
        <is>
          <t>Acepto</t>
        </is>
      </c>
      <c r="P439" s="47" t="inlineStr">
        <is>
          <t>Sin garantía</t>
        </is>
      </c>
      <c r="R439" s="0" t="inlineStr">
        <is>
          <t>Seleccionar</t>
        </is>
      </c>
      <c r="S439" s="0" t="inlineStr">
        <is>
          <t>No ofrezco</t>
        </is>
      </c>
      <c r="T439" t="n">
        <v>1919</v>
      </c>
      <c r="U439" s="0" t="inlineStr">
        <is>
          <t>Italia</t>
        </is>
      </c>
      <c r="X439" s="0" t="inlineStr">
        <is>
          <t>Níquel</t>
        </is>
      </c>
      <c r="Z439" t="inlineStr">
        <is>
          <t>20 Centesimi</t>
        </is>
      </c>
      <c r="AA439" s="0" t="inlineStr">
        <is>
          <t>Euro</t>
        </is>
      </c>
      <c r="AB4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39" s="53">
        <f>IF(OR(TRIM(INDIRECT("B"&amp;ROW())) &lt;&gt; "",TRIM(INDIRECT("A"&amp;ROW())) &lt;&gt; ""),AND(TRIM(INDIRECT("A"&amp;ROW())) &lt;&gt; "",TRIM(INDIRECT("D"&amp;ROW())) = "nuevo"),"")</f>
        <v/>
      </c>
    </row>
    <row r="440" ht="27.5" customHeight="1" s="62">
      <c r="B440" t="inlineStr">
        <is>
          <t>Moneda Italia 5 Centesimi 1861</t>
        </is>
      </c>
      <c r="C440" s="0">
        <f>LEN(INDIRECT(ADDRESS(ROW() + (0),COLUMN() + (-1))))</f>
        <v/>
      </c>
      <c r="D440" s="0" t="inlineStr">
        <is>
          <t>Usado</t>
        </is>
      </c>
      <c r="E440" s="38" t="inlineStr">
        <is>
          <t>https://numismaticapopper.com/images/900A.jpeg,https://numismaticapopper.com/images/900B.jpeg</t>
        </is>
      </c>
      <c r="F440" t="inlineStr">
        <is>
          <t>900</t>
        </is>
      </c>
      <c r="G440" s="40" t="n">
        <v>1</v>
      </c>
      <c r="H440" t="n">
        <v>9000</v>
      </c>
      <c r="I440" t="inlineStr">
        <is>
          <t>Estado de conservacion: Buena -
Referencia de catalogo: KM# 3
Material: Bronce
Tirada: 3808922
Ceca Milán (M)</t>
        </is>
      </c>
      <c r="J440" s="31">
        <f>IF(INDIRECT(ADDRESS(ROW() + (0),COLUMN() + (1)))="Agregar cuotas", IF(("16%")="", "-", "16%"), IF(INDIRECT(ADDRESS(ROW() + (0),COLUMN() + (1)))="No agregar cuotas", IF(("16%")="", "-", "16%"), "-"))</f>
        <v/>
      </c>
      <c r="K440" s="0" t="inlineStr">
        <is>
          <t>No agregar cuotas</t>
        </is>
      </c>
      <c r="L440" s="31">
        <f>IF(INDIRECT(ADDRESS(ROW() + (0),COLUMN() + (-1)))="Agregar cuotas", IF(("13.4%")="", "Sin costo", "13.4%"), IF(INDIRECT(ADDRESS(ROW() + (0),COLUMN() + (-1)))="No agregar cuotas", IF(("")="", "Sin costo", ""), "-"))</f>
        <v/>
      </c>
      <c r="M440" s="0" t="inlineStr">
        <is>
          <t>Mercado Envíos</t>
        </is>
      </c>
      <c r="N440" s="0" t="inlineStr">
        <is>
          <t>A cargo del comprador</t>
        </is>
      </c>
      <c r="O440" s="0" t="inlineStr">
        <is>
          <t>Acepto</t>
        </is>
      </c>
      <c r="P440" s="47" t="inlineStr">
        <is>
          <t>Sin garantía</t>
        </is>
      </c>
      <c r="R440" s="0" t="inlineStr">
        <is>
          <t>Seleccionar</t>
        </is>
      </c>
      <c r="S440" s="0" t="inlineStr">
        <is>
          <t>No ofrezco</t>
        </is>
      </c>
      <c r="T440" t="n">
        <v>1861</v>
      </c>
      <c r="U440" s="0" t="inlineStr">
        <is>
          <t>Italia</t>
        </is>
      </c>
      <c r="X440" s="0" t="inlineStr">
        <is>
          <t>Bronce</t>
        </is>
      </c>
      <c r="Z440" t="inlineStr">
        <is>
          <t>5 Centesimi</t>
        </is>
      </c>
      <c r="AA440" s="0" t="inlineStr">
        <is>
          <t>Euro</t>
        </is>
      </c>
      <c r="AB4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0" s="53">
        <f>IF(OR(TRIM(INDIRECT("B"&amp;ROW())) &lt;&gt; "",TRIM(INDIRECT("A"&amp;ROW())) &lt;&gt; ""),AND(TRIM(INDIRECT("A"&amp;ROW())) &lt;&gt; "",TRIM(INDIRECT("D"&amp;ROW())) = "nuevo"),"")</f>
        <v/>
      </c>
    </row>
    <row r="441" ht="27.5" customHeight="1" s="62">
      <c r="B441" t="inlineStr">
        <is>
          <t>Moneda Italia 10 Centesimi 1866</t>
        </is>
      </c>
      <c r="C441" s="0">
        <f>LEN(INDIRECT(ADDRESS(ROW() + (0),COLUMN() + (-1))))</f>
        <v/>
      </c>
      <c r="D441" s="0" t="inlineStr">
        <is>
          <t>Usado</t>
        </is>
      </c>
      <c r="E441" s="38" t="inlineStr">
        <is>
          <t>https://numismaticapopper.com/images/901A.jpeg,https://numismaticapopper.com/images/901B.jpeg</t>
        </is>
      </c>
      <c r="F441" t="inlineStr">
        <is>
          <t>901</t>
        </is>
      </c>
      <c r="G441" s="40" t="n">
        <v>1</v>
      </c>
      <c r="H441" t="n">
        <v>12000</v>
      </c>
      <c r="I441" t="inlineStr">
        <is>
          <t>Estado de conservacion: Muy Buena
Referencia de catalogo: KM# 11
Material: Bronce
Ceca Milán (M)</t>
        </is>
      </c>
      <c r="J441" s="31">
        <f>IF(INDIRECT(ADDRESS(ROW() + (0),COLUMN() + (1)))="Agregar cuotas", IF(("16%")="", "-", "16%"), IF(INDIRECT(ADDRESS(ROW() + (0),COLUMN() + (1)))="No agregar cuotas", IF(("16%")="", "-", "16%"), "-"))</f>
        <v/>
      </c>
      <c r="K441" s="0" t="inlineStr">
        <is>
          <t>No agregar cuotas</t>
        </is>
      </c>
      <c r="L441" s="31">
        <f>IF(INDIRECT(ADDRESS(ROW() + (0),COLUMN() + (-1)))="Agregar cuotas", IF(("13.4%")="", "Sin costo", "13.4%"), IF(INDIRECT(ADDRESS(ROW() + (0),COLUMN() + (-1)))="No agregar cuotas", IF(("")="", "Sin costo", ""), "-"))</f>
        <v/>
      </c>
      <c r="M441" s="0" t="inlineStr">
        <is>
          <t>Mercado Envíos</t>
        </is>
      </c>
      <c r="N441" s="0" t="inlineStr">
        <is>
          <t>A cargo del comprador</t>
        </is>
      </c>
      <c r="O441" s="0" t="inlineStr">
        <is>
          <t>Acepto</t>
        </is>
      </c>
      <c r="P441" s="47" t="inlineStr">
        <is>
          <t>Sin garantía</t>
        </is>
      </c>
      <c r="R441" s="0" t="inlineStr">
        <is>
          <t>Seleccionar</t>
        </is>
      </c>
      <c r="S441" s="0" t="inlineStr">
        <is>
          <t>No ofrezco</t>
        </is>
      </c>
      <c r="T441" t="n">
        <v>1866</v>
      </c>
      <c r="U441" s="0" t="inlineStr">
        <is>
          <t>Italia</t>
        </is>
      </c>
      <c r="X441" s="0" t="inlineStr">
        <is>
          <t>Bronce</t>
        </is>
      </c>
      <c r="Z441" t="inlineStr">
        <is>
          <t>10 Centesimi</t>
        </is>
      </c>
      <c r="AA441" s="0" t="inlineStr">
        <is>
          <t>Euro</t>
        </is>
      </c>
      <c r="AB4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1" s="53">
        <f>IF(OR(TRIM(INDIRECT("B"&amp;ROW())) &lt;&gt; "",TRIM(INDIRECT("A"&amp;ROW())) &lt;&gt; ""),AND(TRIM(INDIRECT("A"&amp;ROW())) &lt;&gt; "",TRIM(INDIRECT("D"&amp;ROW())) = "nuevo"),"")</f>
        <v/>
      </c>
    </row>
    <row r="442" ht="27.5" customHeight="1" s="62">
      <c r="B442" t="inlineStr">
        <is>
          <t>Moneda Italia 5 Centesimi 1925</t>
        </is>
      </c>
      <c r="C442" s="0">
        <f>LEN(INDIRECT(ADDRESS(ROW() + (0),COLUMN() + (-1))))</f>
        <v/>
      </c>
      <c r="D442" s="0" t="inlineStr">
        <is>
          <t>Usado</t>
        </is>
      </c>
      <c r="E442" s="38" t="inlineStr">
        <is>
          <t>https://numismaticapopper.com/images/902A.jpeg,https://numismaticapopper.com/images/902B.jpeg</t>
        </is>
      </c>
      <c r="F442" t="inlineStr">
        <is>
          <t>902</t>
        </is>
      </c>
      <c r="G442" s="40" t="n">
        <v>1</v>
      </c>
      <c r="H442" t="n">
        <v>7000</v>
      </c>
      <c r="I442" t="inlineStr">
        <is>
          <t>Estado de conservacion: Muy Buena
Referencia de catalogo: KM# 59
Material: Cobre</t>
        </is>
      </c>
      <c r="J442" s="31">
        <f>IF(INDIRECT(ADDRESS(ROW() + (0),COLUMN() + (1)))="Agregar cuotas", IF(("16%")="", "-", "16%"), IF(INDIRECT(ADDRESS(ROW() + (0),COLUMN() + (1)))="No agregar cuotas", IF(("16%")="", "-", "16%"), "-"))</f>
        <v/>
      </c>
      <c r="K442" s="0" t="inlineStr">
        <is>
          <t>No agregar cuotas</t>
        </is>
      </c>
      <c r="L442" s="31">
        <f>IF(INDIRECT(ADDRESS(ROW() + (0),COLUMN() + (-1)))="Agregar cuotas", IF(("13.4%")="", "Sin costo", "13.4%"), IF(INDIRECT(ADDRESS(ROW() + (0),COLUMN() + (-1)))="No agregar cuotas", IF(("")="", "Sin costo", ""), "-"))</f>
        <v/>
      </c>
      <c r="M442" s="0" t="inlineStr">
        <is>
          <t>Mercado Envíos</t>
        </is>
      </c>
      <c r="N442" s="0" t="inlineStr">
        <is>
          <t>A cargo del comprador</t>
        </is>
      </c>
      <c r="O442" s="0" t="inlineStr">
        <is>
          <t>Acepto</t>
        </is>
      </c>
      <c r="P442" s="47" t="inlineStr">
        <is>
          <t>Sin garantía</t>
        </is>
      </c>
      <c r="R442" s="0" t="inlineStr">
        <is>
          <t>Seleccionar</t>
        </is>
      </c>
      <c r="S442" s="0" t="inlineStr">
        <is>
          <t>No ofrezco</t>
        </is>
      </c>
      <c r="T442" t="n">
        <v>1925</v>
      </c>
      <c r="U442" s="0" t="inlineStr">
        <is>
          <t>Italia</t>
        </is>
      </c>
      <c r="X442" s="0" t="inlineStr">
        <is>
          <t>Cobre</t>
        </is>
      </c>
      <c r="Z442" t="inlineStr">
        <is>
          <t>5 Centesimi</t>
        </is>
      </c>
      <c r="AA442" s="0" t="inlineStr">
        <is>
          <t>Euro</t>
        </is>
      </c>
      <c r="AB4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2" s="53">
        <f>IF(OR(TRIM(INDIRECT("B"&amp;ROW())) &lt;&gt; "",TRIM(INDIRECT("A"&amp;ROW())) &lt;&gt; ""),AND(TRIM(INDIRECT("A"&amp;ROW())) &lt;&gt; "",TRIM(INDIRECT("D"&amp;ROW())) = "nuevo"),"")</f>
        <v/>
      </c>
    </row>
    <row r="443" ht="27.5" customHeight="1" s="62">
      <c r="B443" t="inlineStr">
        <is>
          <t>Moneda Italia 5 Centesimi 1938</t>
        </is>
      </c>
      <c r="C443" s="0">
        <f>LEN(INDIRECT(ADDRESS(ROW() + (0),COLUMN() + (-1))))</f>
        <v/>
      </c>
      <c r="D443" s="0" t="inlineStr">
        <is>
          <t>Usado</t>
        </is>
      </c>
      <c r="E443" s="38" t="inlineStr">
        <is>
          <t>https://numismaticapopper.com/images/904A.jpeg,https://numismaticapopper.com/images/904B.jpeg</t>
        </is>
      </c>
      <c r="F443" t="inlineStr">
        <is>
          <t>904</t>
        </is>
      </c>
      <c r="G443" s="40" t="n">
        <v>1</v>
      </c>
      <c r="H443" t="n">
        <v>13000</v>
      </c>
      <c r="I443" t="inlineStr">
        <is>
          <t>Estado de conservacion: Excelente
Referencia de catalogo: KM# 73
Material: Bronce</t>
        </is>
      </c>
      <c r="J443" s="31">
        <f>IF(INDIRECT(ADDRESS(ROW() + (0),COLUMN() + (1)))="Agregar cuotas", IF(("16%")="", "-", "16%"), IF(INDIRECT(ADDRESS(ROW() + (0),COLUMN() + (1)))="No agregar cuotas", IF(("16%")="", "-", "16%"), "-"))</f>
        <v/>
      </c>
      <c r="K443" s="0" t="inlineStr">
        <is>
          <t>No agregar cuotas</t>
        </is>
      </c>
      <c r="L443" s="31">
        <f>IF(INDIRECT(ADDRESS(ROW() + (0),COLUMN() + (-1)))="Agregar cuotas", IF(("13.4%")="", "Sin costo", "13.4%"), IF(INDIRECT(ADDRESS(ROW() + (0),COLUMN() + (-1)))="No agregar cuotas", IF(("")="", "Sin costo", ""), "-"))</f>
        <v/>
      </c>
      <c r="M443" s="0" t="inlineStr">
        <is>
          <t>Mercado Envíos</t>
        </is>
      </c>
      <c r="N443" s="0" t="inlineStr">
        <is>
          <t>A cargo del comprador</t>
        </is>
      </c>
      <c r="O443" s="0" t="inlineStr">
        <is>
          <t>Acepto</t>
        </is>
      </c>
      <c r="P443" s="47" t="inlineStr">
        <is>
          <t>Sin garantía</t>
        </is>
      </c>
      <c r="R443" s="0" t="inlineStr">
        <is>
          <t>Seleccionar</t>
        </is>
      </c>
      <c r="S443" s="0" t="inlineStr">
        <is>
          <t>No ofrezco</t>
        </is>
      </c>
      <c r="T443" t="n">
        <v>1938</v>
      </c>
      <c r="U443" s="0" t="inlineStr">
        <is>
          <t>Italia</t>
        </is>
      </c>
      <c r="X443" s="0" t="inlineStr">
        <is>
          <t>Bronce</t>
        </is>
      </c>
      <c r="Z443" t="inlineStr">
        <is>
          <t>5 Centesimi</t>
        </is>
      </c>
      <c r="AA443" s="0" t="inlineStr">
        <is>
          <t>Euro</t>
        </is>
      </c>
      <c r="AB4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3" s="53">
        <f>IF(OR(TRIM(INDIRECT("B"&amp;ROW())) &lt;&gt; "",TRIM(INDIRECT("A"&amp;ROW())) &lt;&gt; ""),AND(TRIM(INDIRECT("A"&amp;ROW())) &lt;&gt; "",TRIM(INDIRECT("D"&amp;ROW())) = "nuevo"),"")</f>
        <v/>
      </c>
    </row>
    <row r="444" ht="27.5" customHeight="1" s="62">
      <c r="B444" t="inlineStr">
        <is>
          <t>Moneda Italia 20 Centesimi 1940</t>
        </is>
      </c>
      <c r="C444" s="0">
        <f>LEN(INDIRECT(ADDRESS(ROW() + (0),COLUMN() + (-1))))</f>
        <v/>
      </c>
      <c r="D444" s="0" t="inlineStr">
        <is>
          <t>Usado</t>
        </is>
      </c>
      <c r="E444" s="38" t="inlineStr">
        <is>
          <t>https://numismaticapopper.com/images/905A.jpeg,https://numismaticapopper.com/images/905B.jpeg</t>
        </is>
      </c>
      <c r="F444" t="inlineStr">
        <is>
          <t>905</t>
        </is>
      </c>
      <c r="G444" s="40" t="n">
        <v>1</v>
      </c>
      <c r="H444" t="n">
        <v>7000</v>
      </c>
      <c r="I444" t="inlineStr">
        <is>
          <t>Estado de conservacion: Excelente
Referencia de catalogo: KM# 75b
Material: Acmonital</t>
        </is>
      </c>
      <c r="J444" s="31">
        <f>IF(INDIRECT(ADDRESS(ROW() + (0),COLUMN() + (1)))="Agregar cuotas", IF(("16%")="", "-", "16%"), IF(INDIRECT(ADDRESS(ROW() + (0),COLUMN() + (1)))="No agregar cuotas", IF(("16%")="", "-", "16%"), "-"))</f>
        <v/>
      </c>
      <c r="K444" s="0" t="inlineStr">
        <is>
          <t>No agregar cuotas</t>
        </is>
      </c>
      <c r="L444" s="31">
        <f>IF(INDIRECT(ADDRESS(ROW() + (0),COLUMN() + (-1)))="Agregar cuotas", IF(("13.4%")="", "Sin costo", "13.4%"), IF(INDIRECT(ADDRESS(ROW() + (0),COLUMN() + (-1)))="No agregar cuotas", IF(("")="", "Sin costo", ""), "-"))</f>
        <v/>
      </c>
      <c r="M444" s="0" t="inlineStr">
        <is>
          <t>Mercado Envíos</t>
        </is>
      </c>
      <c r="N444" s="0" t="inlineStr">
        <is>
          <t>A cargo del comprador</t>
        </is>
      </c>
      <c r="O444" s="0" t="inlineStr">
        <is>
          <t>Acepto</t>
        </is>
      </c>
      <c r="P444" s="47" t="inlineStr">
        <is>
          <t>Sin garantía</t>
        </is>
      </c>
      <c r="R444" s="0" t="inlineStr">
        <is>
          <t>Seleccionar</t>
        </is>
      </c>
      <c r="S444" s="0" t="inlineStr">
        <is>
          <t>No ofrezco</t>
        </is>
      </c>
      <c r="T444" t="n">
        <v>1940</v>
      </c>
      <c r="U444" s="0" t="inlineStr">
        <is>
          <t>Italia</t>
        </is>
      </c>
      <c r="X444" s="0" t="inlineStr">
        <is>
          <t>Bronce</t>
        </is>
      </c>
      <c r="Z444" t="inlineStr">
        <is>
          <t>20 Centesimi</t>
        </is>
      </c>
      <c r="AA444" s="0" t="inlineStr">
        <is>
          <t>Euro</t>
        </is>
      </c>
      <c r="AB4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4" s="53">
        <f>IF(OR(TRIM(INDIRECT("B"&amp;ROW())) &lt;&gt; "",TRIM(INDIRECT("A"&amp;ROW())) &lt;&gt; ""),AND(TRIM(INDIRECT("A"&amp;ROW())) &lt;&gt; "",TRIM(INDIRECT("D"&amp;ROW())) = "nuevo"),"")</f>
        <v/>
      </c>
    </row>
    <row r="445" ht="27.5" customHeight="1" s="62">
      <c r="B445" t="inlineStr">
        <is>
          <t>Moneda Italia 20 Centesimi 1912</t>
        </is>
      </c>
      <c r="C445" s="0">
        <f>LEN(INDIRECT(ADDRESS(ROW() + (0),COLUMN() + (-1))))</f>
        <v/>
      </c>
      <c r="D445" s="0" t="inlineStr">
        <is>
          <t>Usado</t>
        </is>
      </c>
      <c r="E445" s="38" t="inlineStr">
        <is>
          <t>https://numismaticapopper.com/images/911A.jpeg,https://numismaticapopper.com/images/911B.jpeg</t>
        </is>
      </c>
      <c r="F445" t="inlineStr">
        <is>
          <t>911</t>
        </is>
      </c>
      <c r="G445" s="40" t="n">
        <v>1</v>
      </c>
      <c r="H445" t="n">
        <v>10000</v>
      </c>
      <c r="I445" t="inlineStr">
        <is>
          <t>Estado de conservacion: Excelente
Referencia de catalogo: KM# 44
Material: Níquel</t>
        </is>
      </c>
      <c r="J445" s="31">
        <f>IF(INDIRECT(ADDRESS(ROW() + (0),COLUMN() + (1)))="Agregar cuotas", IF(("16%")="", "-", "16%"), IF(INDIRECT(ADDRESS(ROW() + (0),COLUMN() + (1)))="No agregar cuotas", IF(("16%")="", "-", "16%"), "-"))</f>
        <v/>
      </c>
      <c r="K445" s="0" t="inlineStr">
        <is>
          <t>No agregar cuotas</t>
        </is>
      </c>
      <c r="L445" s="31">
        <f>IF(INDIRECT(ADDRESS(ROW() + (0),COLUMN() + (-1)))="Agregar cuotas", IF(("13.4%")="", "Sin costo", "13.4%"), IF(INDIRECT(ADDRESS(ROW() + (0),COLUMN() + (-1)))="No agregar cuotas", IF(("")="", "Sin costo", ""), "-"))</f>
        <v/>
      </c>
      <c r="M445" s="0" t="inlineStr">
        <is>
          <t>Mercado Envíos</t>
        </is>
      </c>
      <c r="N445" s="0" t="inlineStr">
        <is>
          <t>A cargo del comprador</t>
        </is>
      </c>
      <c r="O445" s="0" t="inlineStr">
        <is>
          <t>Acepto</t>
        </is>
      </c>
      <c r="P445" s="47" t="inlineStr">
        <is>
          <t>Sin garantía</t>
        </is>
      </c>
      <c r="R445" s="0" t="inlineStr">
        <is>
          <t>Seleccionar</t>
        </is>
      </c>
      <c r="S445" s="0" t="inlineStr">
        <is>
          <t>No ofrezco</t>
        </is>
      </c>
      <c r="T445" t="n">
        <v>1912</v>
      </c>
      <c r="U445" s="0" t="inlineStr">
        <is>
          <t>Italia</t>
        </is>
      </c>
      <c r="X445" s="0" t="inlineStr">
        <is>
          <t>Níquel</t>
        </is>
      </c>
      <c r="Z445" t="inlineStr">
        <is>
          <t>20 Centesimi</t>
        </is>
      </c>
      <c r="AA445" s="0" t="inlineStr">
        <is>
          <t>Euro</t>
        </is>
      </c>
      <c r="AB4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5" s="53">
        <f>IF(OR(TRIM(INDIRECT("B"&amp;ROW())) &lt;&gt; "",TRIM(INDIRECT("A"&amp;ROW())) &lt;&gt; ""),AND(TRIM(INDIRECT("A"&amp;ROW())) &lt;&gt; "",TRIM(INDIRECT("D"&amp;ROW())) = "nuevo"),"")</f>
        <v/>
      </c>
    </row>
    <row r="446" ht="27.5" customHeight="1" s="62">
      <c r="B446" t="inlineStr">
        <is>
          <t>Moneda Italia 20 Centesimi 1922</t>
        </is>
      </c>
      <c r="C446" s="0">
        <f>LEN(INDIRECT(ADDRESS(ROW() + (0),COLUMN() + (-1))))</f>
        <v/>
      </c>
      <c r="D446" s="0" t="inlineStr">
        <is>
          <t>Usado</t>
        </is>
      </c>
      <c r="E446" s="38" t="inlineStr">
        <is>
          <t>https://numismaticapopper.com/images/913A.jpeg,https://numismaticapopper.com/images/913B.jpeg</t>
        </is>
      </c>
      <c r="F446" t="inlineStr">
        <is>
          <t>913</t>
        </is>
      </c>
      <c r="G446" s="40" t="n">
        <v>1</v>
      </c>
      <c r="H446" t="n">
        <v>10000</v>
      </c>
      <c r="I446" t="inlineStr">
        <is>
          <t>Estado de conservacion: Excelente
Referencia de catalogo: KM# 44
Material: Níquel</t>
        </is>
      </c>
      <c r="J446" s="31">
        <f>IF(INDIRECT(ADDRESS(ROW() + (0),COLUMN() + (1)))="Agregar cuotas", IF(("16%")="", "-", "16%"), IF(INDIRECT(ADDRESS(ROW() + (0),COLUMN() + (1)))="No agregar cuotas", IF(("16%")="", "-", "16%"), "-"))</f>
        <v/>
      </c>
      <c r="K446" s="0" t="inlineStr">
        <is>
          <t>No agregar cuotas</t>
        </is>
      </c>
      <c r="L446" s="31">
        <f>IF(INDIRECT(ADDRESS(ROW() + (0),COLUMN() + (-1)))="Agregar cuotas", IF(("13.4%")="", "Sin costo", "13.4%"), IF(INDIRECT(ADDRESS(ROW() + (0),COLUMN() + (-1)))="No agregar cuotas", IF(("")="", "Sin costo", ""), "-"))</f>
        <v/>
      </c>
      <c r="M446" s="0" t="inlineStr">
        <is>
          <t>Mercado Envíos</t>
        </is>
      </c>
      <c r="N446" s="0" t="inlineStr">
        <is>
          <t>A cargo del comprador</t>
        </is>
      </c>
      <c r="O446" s="0" t="inlineStr">
        <is>
          <t>Acepto</t>
        </is>
      </c>
      <c r="P446" s="47" t="inlineStr">
        <is>
          <t>Sin garantía</t>
        </is>
      </c>
      <c r="R446" s="0" t="inlineStr">
        <is>
          <t>Seleccionar</t>
        </is>
      </c>
      <c r="S446" s="0" t="inlineStr">
        <is>
          <t>No ofrezco</t>
        </is>
      </c>
      <c r="T446" t="n">
        <v>1922</v>
      </c>
      <c r="U446" s="0" t="inlineStr">
        <is>
          <t>Italia</t>
        </is>
      </c>
      <c r="X446" s="0" t="inlineStr">
        <is>
          <t>Níquel</t>
        </is>
      </c>
      <c r="Z446" t="inlineStr">
        <is>
          <t>20 Centesimi</t>
        </is>
      </c>
      <c r="AA446" s="0" t="inlineStr">
        <is>
          <t>Euro</t>
        </is>
      </c>
      <c r="AB4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6" s="53">
        <f>IF(OR(TRIM(INDIRECT("B"&amp;ROW())) &lt;&gt; "",TRIM(INDIRECT("A"&amp;ROW())) &lt;&gt; ""),AND(TRIM(INDIRECT("A"&amp;ROW())) &lt;&gt; "",TRIM(INDIRECT("D"&amp;ROW())) = "nuevo"),"")</f>
        <v/>
      </c>
    </row>
    <row r="447" ht="27.5" customHeight="1" s="62">
      <c r="B447" t="inlineStr">
        <is>
          <t>Moneda Japón 10 Yen 1972</t>
        </is>
      </c>
      <c r="C447" s="0">
        <f>LEN(INDIRECT(ADDRESS(ROW() + (0),COLUMN() + (-1))))</f>
        <v/>
      </c>
      <c r="D447" s="0" t="inlineStr">
        <is>
          <t>Usado</t>
        </is>
      </c>
      <c r="E447" s="38" t="inlineStr">
        <is>
          <t>https://numismaticapopper.com/images/917A.jpeg,https://numismaticapopper.com/images/917B.jpeg</t>
        </is>
      </c>
      <c r="F447" t="inlineStr">
        <is>
          <t>917</t>
        </is>
      </c>
      <c r="G447" s="40" t="n">
        <v>1</v>
      </c>
      <c r="H447" t="n">
        <v>8000</v>
      </c>
      <c r="I447" t="inlineStr">
        <is>
          <t>Estado de conservacion: Excelente
Referencia de catalogo: KM# 73.2
Material: Bronce
Muestra el famoso Salón del Fénix del templo Byōdō-in en Uji en el anverso.</t>
        </is>
      </c>
      <c r="J447" s="31">
        <f>IF(INDIRECT(ADDRESS(ROW() + (0),COLUMN() + (1)))="Agregar cuotas", IF(("16%")="", "-", "16%"), IF(INDIRECT(ADDRESS(ROW() + (0),COLUMN() + (1)))="No agregar cuotas", IF(("16%")="", "-", "16%"), "-"))</f>
        <v/>
      </c>
      <c r="K447" s="0" t="inlineStr">
        <is>
          <t>No agregar cuotas</t>
        </is>
      </c>
      <c r="L447" s="31">
        <f>IF(INDIRECT(ADDRESS(ROW() + (0),COLUMN() + (-1)))="Agregar cuotas", IF(("13.4%")="", "Sin costo", "13.4%"), IF(INDIRECT(ADDRESS(ROW() + (0),COLUMN() + (-1)))="No agregar cuotas", IF(("")="", "Sin costo", ""), "-"))</f>
        <v/>
      </c>
      <c r="M447" s="0" t="inlineStr">
        <is>
          <t>Mercado Envíos</t>
        </is>
      </c>
      <c r="N447" s="0" t="inlineStr">
        <is>
          <t>A cargo del comprador</t>
        </is>
      </c>
      <c r="O447" s="0" t="inlineStr">
        <is>
          <t>Acepto</t>
        </is>
      </c>
      <c r="P447" s="47" t="inlineStr">
        <is>
          <t>Sin garantía</t>
        </is>
      </c>
      <c r="R447" s="0" t="inlineStr">
        <is>
          <t>Seleccionar</t>
        </is>
      </c>
      <c r="S447" s="0" t="inlineStr">
        <is>
          <t>No ofrezco</t>
        </is>
      </c>
      <c r="T447" t="n">
        <v>1972</v>
      </c>
      <c r="U447" s="0" t="inlineStr">
        <is>
          <t>Japón</t>
        </is>
      </c>
      <c r="X447" s="0" t="inlineStr">
        <is>
          <t>Bronce</t>
        </is>
      </c>
      <c r="Z447" t="inlineStr">
        <is>
          <t>10 Yen</t>
        </is>
      </c>
      <c r="AA447" s="0" t="inlineStr">
        <is>
          <t>Yen</t>
        </is>
      </c>
      <c r="AB4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7" s="53">
        <f>IF(OR(TRIM(INDIRECT("B"&amp;ROW())) &lt;&gt; "",TRIM(INDIRECT("A"&amp;ROW())) &lt;&gt; ""),AND(TRIM(INDIRECT("A"&amp;ROW())) &lt;&gt; "",TRIM(INDIRECT("D"&amp;ROW())) = "nuevo"),"")</f>
        <v/>
      </c>
    </row>
    <row r="448" ht="27.5" customHeight="1" s="62">
      <c r="B448" t="inlineStr">
        <is>
          <t>Moneda Estados Unidos 5 Cents P 2005</t>
        </is>
      </c>
      <c r="C448" s="0">
        <f>LEN(INDIRECT(ADDRESS(ROW() + (0),COLUMN() + (-1))))</f>
        <v/>
      </c>
      <c r="D448" s="0" t="inlineStr">
        <is>
          <t>Usado</t>
        </is>
      </c>
      <c r="E448" s="38" t="inlineStr">
        <is>
          <t>https://numismaticapopper.com/images/918A.jpeg,https://numismaticapopper.com/images/918B.jpeg</t>
        </is>
      </c>
      <c r="F448" t="inlineStr">
        <is>
          <t>918</t>
        </is>
      </c>
      <c r="G448" s="40" t="n">
        <v>1</v>
      </c>
      <c r="H448" t="n">
        <v>7000</v>
      </c>
      <c r="I448" t="inlineStr">
        <is>
          <t>Estado de conservacion: Sin Circular
Referencia de catalogo: KM# 369
Material: Cuproníquel
Conmemora: Serie Westward Journey (Búfalo Americano)
Edición conmemorativa "Westward Journey" con la figura del Búfalo (American Bison).</t>
        </is>
      </c>
      <c r="J448" s="31">
        <f>IF(INDIRECT(ADDRESS(ROW() + (0),COLUMN() + (1)))="Agregar cuotas", IF(("16%")="", "-", "16%"), IF(INDIRECT(ADDRESS(ROW() + (0),COLUMN() + (1)))="No agregar cuotas", IF(("16%")="", "-", "16%"), "-"))</f>
        <v/>
      </c>
      <c r="K448" s="0" t="inlineStr">
        <is>
          <t>No agregar cuotas</t>
        </is>
      </c>
      <c r="L448" s="31">
        <f>IF(INDIRECT(ADDRESS(ROW() + (0),COLUMN() + (-1)))="Agregar cuotas", IF(("13.4%")="", "Sin costo", "13.4%"), IF(INDIRECT(ADDRESS(ROW() + (0),COLUMN() + (-1)))="No agregar cuotas", IF(("")="", "Sin costo", ""), "-"))</f>
        <v/>
      </c>
      <c r="M448" s="0" t="inlineStr">
        <is>
          <t>Mercado Envíos</t>
        </is>
      </c>
      <c r="N448" s="0" t="inlineStr">
        <is>
          <t>A cargo del comprador</t>
        </is>
      </c>
      <c r="O448" s="0" t="inlineStr">
        <is>
          <t>Acepto</t>
        </is>
      </c>
      <c r="P448" s="47" t="inlineStr">
        <is>
          <t>Sin garantía</t>
        </is>
      </c>
      <c r="R448" s="0" t="inlineStr">
        <is>
          <t>Seleccionar</t>
        </is>
      </c>
      <c r="S448" s="0" t="inlineStr">
        <is>
          <t>No ofrezco</t>
        </is>
      </c>
      <c r="T448" t="n">
        <v>2005</v>
      </c>
      <c r="U448" s="0" t="inlineStr">
        <is>
          <t>Estados Unidos</t>
        </is>
      </c>
      <c r="X448" s="0" t="inlineStr">
        <is>
          <t>Níquel</t>
        </is>
      </c>
      <c r="Y448" t="inlineStr">
        <is>
          <t>Serie Westward Journey (Búfalo Americano)</t>
        </is>
      </c>
      <c r="Z448" t="inlineStr">
        <is>
          <t>5 Cents P</t>
        </is>
      </c>
      <c r="AA448" s="0" t="inlineStr">
        <is>
          <t>Dólar</t>
        </is>
      </c>
      <c r="AB4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8" s="53">
        <f>IF(OR(TRIM(INDIRECT("B"&amp;ROW())) &lt;&gt; "",TRIM(INDIRECT("A"&amp;ROW())) &lt;&gt; ""),AND(TRIM(INDIRECT("A"&amp;ROW())) &lt;&gt; "",TRIM(INDIRECT("D"&amp;ROW())) = "nuevo"),"")</f>
        <v/>
      </c>
    </row>
    <row r="449" ht="27.5" customHeight="1" s="62">
      <c r="B449" t="inlineStr">
        <is>
          <t>Moneda Estados Unidos 5 Cents D 2005</t>
        </is>
      </c>
      <c r="C449" s="0">
        <f>LEN(INDIRECT(ADDRESS(ROW() + (0),COLUMN() + (-1))))</f>
        <v/>
      </c>
      <c r="D449" s="0" t="inlineStr">
        <is>
          <t>Usado</t>
        </is>
      </c>
      <c r="E449" s="38" t="inlineStr">
        <is>
          <t>https://numismaticapopper.com/images/919A.jpeg,https://numismaticapopper.com/images/919B.jpeg</t>
        </is>
      </c>
      <c r="F449" t="inlineStr">
        <is>
          <t>919</t>
        </is>
      </c>
      <c r="G449" s="40" t="n">
        <v>1</v>
      </c>
      <c r="H449" t="n">
        <v>7000</v>
      </c>
      <c r="I449" t="inlineStr">
        <is>
          <t>Estado de conservacion: Sin Circular
Referencia de catalogo: KM# 368
Material: Cuproníquel
Conmemora: Serie Westward Journey (Búfalo Americano)
Edición conmemorativa "Westward Journey" con la figura del Búfalo en el reverso, ceca Denver (D).</t>
        </is>
      </c>
      <c r="J449" s="31">
        <f>IF(INDIRECT(ADDRESS(ROW() + (0),COLUMN() + (1)))="Agregar cuotas", IF(("16%")="", "-", "16%"), IF(INDIRECT(ADDRESS(ROW() + (0),COLUMN() + (1)))="No agregar cuotas", IF(("16%")="", "-", "16%"), "-"))</f>
        <v/>
      </c>
      <c r="K449" s="0" t="inlineStr">
        <is>
          <t>No agregar cuotas</t>
        </is>
      </c>
      <c r="L449" s="31">
        <f>IF(INDIRECT(ADDRESS(ROW() + (0),COLUMN() + (-1)))="Agregar cuotas", IF(("13.4%")="", "Sin costo", "13.4%"), IF(INDIRECT(ADDRESS(ROW() + (0),COLUMN() + (-1)))="No agregar cuotas", IF(("")="", "Sin costo", ""), "-"))</f>
        <v/>
      </c>
      <c r="M449" s="0" t="inlineStr">
        <is>
          <t>Mercado Envíos</t>
        </is>
      </c>
      <c r="N449" s="0" t="inlineStr">
        <is>
          <t>A cargo del comprador</t>
        </is>
      </c>
      <c r="O449" s="0" t="inlineStr">
        <is>
          <t>Acepto</t>
        </is>
      </c>
      <c r="P449" s="47" t="inlineStr">
        <is>
          <t>Sin garantía</t>
        </is>
      </c>
      <c r="R449" s="0" t="inlineStr">
        <is>
          <t>Seleccionar</t>
        </is>
      </c>
      <c r="S449" s="0" t="inlineStr">
        <is>
          <t>No ofrezco</t>
        </is>
      </c>
      <c r="T449" t="n">
        <v>2005</v>
      </c>
      <c r="U449" s="0" t="inlineStr">
        <is>
          <t>Estados Unidos</t>
        </is>
      </c>
      <c r="X449" s="0" t="inlineStr">
        <is>
          <t>Níquel</t>
        </is>
      </c>
      <c r="Y449" t="inlineStr">
        <is>
          <t>Serie Westward Journey (Búfalo Americano)</t>
        </is>
      </c>
      <c r="Z449" t="inlineStr">
        <is>
          <t>5 Cents D</t>
        </is>
      </c>
      <c r="AA449" s="0" t="inlineStr">
        <is>
          <t>Dólar</t>
        </is>
      </c>
      <c r="AB4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49" s="53">
        <f>IF(OR(TRIM(INDIRECT("B"&amp;ROW())) &lt;&gt; "",TRIM(INDIRECT("A"&amp;ROW())) &lt;&gt; ""),AND(TRIM(INDIRECT("A"&amp;ROW())) &lt;&gt; "",TRIM(INDIRECT("D"&amp;ROW())) = "nuevo"),"")</f>
        <v/>
      </c>
    </row>
    <row r="450" ht="27.5" customHeight="1" s="62">
      <c r="B450" t="inlineStr">
        <is>
          <t>Moneda Francia 2 Francos 1943</t>
        </is>
      </c>
      <c r="C450" s="0">
        <f>LEN(INDIRECT(ADDRESS(ROW() + (0),COLUMN() + (-1))))</f>
        <v/>
      </c>
      <c r="D450" s="0" t="inlineStr">
        <is>
          <t>Usado</t>
        </is>
      </c>
      <c r="E450" s="38" t="inlineStr">
        <is>
          <t>https://numismaticapopper.com/images/925A.jpeg,https://numismaticapopper.com/images/925B.jpeg</t>
        </is>
      </c>
      <c r="F450" t="inlineStr">
        <is>
          <t>925</t>
        </is>
      </c>
      <c r="G450" s="40" t="n">
        <v>1</v>
      </c>
      <c r="H450" t="n">
        <v>16000</v>
      </c>
      <c r="I450" t="inlineStr">
        <is>
          <t>Estado de conservacion: Muy Buena
Referencia de catalogo: KM# 903
Material: Aluminio
El régimen de Vichy fue el gobierno francés que colaboró con la Alemania nazi entre 1940 y 1944, tras la derrota de Francia en la Segunda Guerra Mundial. Con sede en la ciudad de Vichy y liderado por el mariscal Philippe Pétain, controló la llamada "Francia libre" (zona sur no ocupada) mientras el norte quedaba bajo ocupación alemana directa.</t>
        </is>
      </c>
      <c r="J450" s="31">
        <f>IF(INDIRECT(ADDRESS(ROW() + (0),COLUMN() + (1)))="Agregar cuotas", IF(("16%")="", "-", "16%"), IF(INDIRECT(ADDRESS(ROW() + (0),COLUMN() + (1)))="No agregar cuotas", IF(("16%")="", "-", "16%"), "-"))</f>
        <v/>
      </c>
      <c r="K450" s="0" t="inlineStr">
        <is>
          <t>No agregar cuotas</t>
        </is>
      </c>
      <c r="L450" s="31">
        <f>IF(INDIRECT(ADDRESS(ROW() + (0),COLUMN() + (-1)))="Agregar cuotas", IF(("13.4%")="", "Sin costo", "13.4%"), IF(INDIRECT(ADDRESS(ROW() + (0),COLUMN() + (-1)))="No agregar cuotas", IF(("")="", "Sin costo", ""), "-"))</f>
        <v/>
      </c>
      <c r="M450" s="0" t="inlineStr">
        <is>
          <t>Mercado Envíos</t>
        </is>
      </c>
      <c r="N450" s="0" t="inlineStr">
        <is>
          <t>A cargo del comprador</t>
        </is>
      </c>
      <c r="O450" s="0" t="inlineStr">
        <is>
          <t>Acepto</t>
        </is>
      </c>
      <c r="P450" s="47" t="inlineStr">
        <is>
          <t>Sin garantía</t>
        </is>
      </c>
      <c r="R450" s="0" t="inlineStr">
        <is>
          <t>Seleccionar</t>
        </is>
      </c>
      <c r="S450" s="0" t="inlineStr">
        <is>
          <t>No ofrezco</t>
        </is>
      </c>
      <c r="T450" t="n">
        <v>1943</v>
      </c>
      <c r="U450" s="0" t="inlineStr">
        <is>
          <t>Francia</t>
        </is>
      </c>
      <c r="X450" s="0" t="inlineStr">
        <is>
          <t>Níquel</t>
        </is>
      </c>
      <c r="Z450" t="inlineStr">
        <is>
          <t>2 Francos</t>
        </is>
      </c>
      <c r="AA450" s="0" t="inlineStr">
        <is>
          <t>Euro</t>
        </is>
      </c>
      <c r="AB4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0" s="53">
        <f>IF(OR(TRIM(INDIRECT("B"&amp;ROW())) &lt;&gt; "",TRIM(INDIRECT("A"&amp;ROW())) &lt;&gt; ""),AND(TRIM(INDIRECT("A"&amp;ROW())) &lt;&gt; "",TRIM(INDIRECT("D"&amp;ROW())) = "nuevo"),"")</f>
        <v/>
      </c>
    </row>
    <row r="451" ht="27.5" customHeight="1" s="62">
      <c r="B451" t="inlineStr">
        <is>
          <t>Moneda Francia 10 Centimes 1919</t>
        </is>
      </c>
      <c r="C451" s="0">
        <f>LEN(INDIRECT(ADDRESS(ROW() + (0),COLUMN() + (-1))))</f>
        <v/>
      </c>
      <c r="D451" s="0" t="inlineStr">
        <is>
          <t>Usado</t>
        </is>
      </c>
      <c r="E451" s="38" t="inlineStr">
        <is>
          <t>https://numismaticapopper.com/images/927A.jpeg,https://numismaticapopper.com/images/927B.jpeg</t>
        </is>
      </c>
      <c r="F451" t="inlineStr">
        <is>
          <t>927</t>
        </is>
      </c>
      <c r="G451" s="40" t="n">
        <v>1</v>
      </c>
      <c r="H451" t="n">
        <v>10000</v>
      </c>
      <c r="I451" t="inlineStr">
        <is>
          <t>Estado de conservacion: Muy Buena
Referencia de catalogo: KM# 866
Material: Bronce
Diseño perforado tipo Lindauer de la Primera Guerra Mundial.</t>
        </is>
      </c>
      <c r="J451" s="31">
        <f>IF(INDIRECT(ADDRESS(ROW() + (0),COLUMN() + (1)))="Agregar cuotas", IF(("16%")="", "-", "16%"), IF(INDIRECT(ADDRESS(ROW() + (0),COLUMN() + (1)))="No agregar cuotas", IF(("16%")="", "-", "16%"), "-"))</f>
        <v/>
      </c>
      <c r="K451" s="0" t="inlineStr">
        <is>
          <t>No agregar cuotas</t>
        </is>
      </c>
      <c r="L451" s="31">
        <f>IF(INDIRECT(ADDRESS(ROW() + (0),COLUMN() + (-1)))="Agregar cuotas", IF(("13.4%")="", "Sin costo", "13.4%"), IF(INDIRECT(ADDRESS(ROW() + (0),COLUMN() + (-1)))="No agregar cuotas", IF(("")="", "Sin costo", ""), "-"))</f>
        <v/>
      </c>
      <c r="M451" s="0" t="inlineStr">
        <is>
          <t>Mercado Envíos</t>
        </is>
      </c>
      <c r="N451" s="0" t="inlineStr">
        <is>
          <t>A cargo del comprador</t>
        </is>
      </c>
      <c r="O451" s="0" t="inlineStr">
        <is>
          <t>Acepto</t>
        </is>
      </c>
      <c r="P451" s="47" t="inlineStr">
        <is>
          <t>Sin garantía</t>
        </is>
      </c>
      <c r="R451" s="0" t="inlineStr">
        <is>
          <t>Seleccionar</t>
        </is>
      </c>
      <c r="S451" s="0" t="inlineStr">
        <is>
          <t>No ofrezco</t>
        </is>
      </c>
      <c r="T451" t="n">
        <v>1919</v>
      </c>
      <c r="U451" s="0" t="inlineStr">
        <is>
          <t>Francia</t>
        </is>
      </c>
      <c r="X451" s="0" t="inlineStr">
        <is>
          <t>Bronce</t>
        </is>
      </c>
      <c r="Z451" t="inlineStr">
        <is>
          <t>10 Centimes</t>
        </is>
      </c>
      <c r="AA451" s="0" t="inlineStr">
        <is>
          <t>Euro</t>
        </is>
      </c>
      <c r="AB4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1" s="53">
        <f>IF(OR(TRIM(INDIRECT("B"&amp;ROW())) &lt;&gt; "",TRIM(INDIRECT("A"&amp;ROW())) &lt;&gt; ""),AND(TRIM(INDIRECT("A"&amp;ROW())) &lt;&gt; "",TRIM(INDIRECT("D"&amp;ROW())) = "nuevo"),"")</f>
        <v/>
      </c>
    </row>
    <row r="452" ht="27.5" customHeight="1" s="62">
      <c r="B452" t="inlineStr">
        <is>
          <t>Moneda Francia 10 Centimes 1929</t>
        </is>
      </c>
      <c r="C452" s="0">
        <f>LEN(INDIRECT(ADDRESS(ROW() + (0),COLUMN() + (-1))))</f>
        <v/>
      </c>
      <c r="D452" s="0" t="inlineStr">
        <is>
          <t>Usado</t>
        </is>
      </c>
      <c r="E452" s="38" t="inlineStr">
        <is>
          <t>https://numismaticapopper.com/images/928A.jpeg,https://numismaticapopper.com/images/928B.jpeg</t>
        </is>
      </c>
      <c r="F452" t="inlineStr">
        <is>
          <t>928</t>
        </is>
      </c>
      <c r="G452" s="40" t="n">
        <v>1</v>
      </c>
      <c r="H452" t="n">
        <v>9000</v>
      </c>
      <c r="I452" t="inlineStr">
        <is>
          <t>Estado de conservacion: Excelente
Referencia de catalogo: KM# 866
Material: Cuproníquel
Diseño perforado tipo Lindauer del periodo de entreguerras.</t>
        </is>
      </c>
      <c r="J452" s="31">
        <f>IF(INDIRECT(ADDRESS(ROW() + (0),COLUMN() + (1)))="Agregar cuotas", IF(("16%")="", "-", "16%"), IF(INDIRECT(ADDRESS(ROW() + (0),COLUMN() + (1)))="No agregar cuotas", IF(("16%")="", "-", "16%"), "-"))</f>
        <v/>
      </c>
      <c r="K452" s="0" t="inlineStr">
        <is>
          <t>No agregar cuotas</t>
        </is>
      </c>
      <c r="L452" s="31">
        <f>IF(INDIRECT(ADDRESS(ROW() + (0),COLUMN() + (-1)))="Agregar cuotas", IF(("13.4%")="", "Sin costo", "13.4%"), IF(INDIRECT(ADDRESS(ROW() + (0),COLUMN() + (-1)))="No agregar cuotas", IF(("")="", "Sin costo", ""), "-"))</f>
        <v/>
      </c>
      <c r="M452" s="0" t="inlineStr">
        <is>
          <t>Mercado Envíos</t>
        </is>
      </c>
      <c r="N452" s="0" t="inlineStr">
        <is>
          <t>A cargo del comprador</t>
        </is>
      </c>
      <c r="O452" s="0" t="inlineStr">
        <is>
          <t>Acepto</t>
        </is>
      </c>
      <c r="P452" s="47" t="inlineStr">
        <is>
          <t>Sin garantía</t>
        </is>
      </c>
      <c r="R452" s="0" t="inlineStr">
        <is>
          <t>Seleccionar</t>
        </is>
      </c>
      <c r="S452" s="0" t="inlineStr">
        <is>
          <t>No ofrezco</t>
        </is>
      </c>
      <c r="T452" t="n">
        <v>1929</v>
      </c>
      <c r="U452" s="0" t="inlineStr">
        <is>
          <t>Francia</t>
        </is>
      </c>
      <c r="X452" s="0" t="inlineStr">
        <is>
          <t>Níquel</t>
        </is>
      </c>
      <c r="Z452" t="inlineStr">
        <is>
          <t>10 Centimes</t>
        </is>
      </c>
      <c r="AA452" s="0" t="inlineStr">
        <is>
          <t>Euro</t>
        </is>
      </c>
      <c r="AB4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2" s="53">
        <f>IF(OR(TRIM(INDIRECT("B"&amp;ROW())) &lt;&gt; "",TRIM(INDIRECT("A"&amp;ROW())) &lt;&gt; ""),AND(TRIM(INDIRECT("A"&amp;ROW())) &lt;&gt; "",TRIM(INDIRECT("D"&amp;ROW())) = "nuevo"),"")</f>
        <v/>
      </c>
    </row>
    <row r="453" ht="27.5" customHeight="1" s="62">
      <c r="B453" t="inlineStr">
        <is>
          <t>Moneda Italia 100 Liras 1979</t>
        </is>
      </c>
      <c r="C453" s="0">
        <f>LEN(INDIRECT(ADDRESS(ROW() + (0),COLUMN() + (-1))))</f>
        <v/>
      </c>
      <c r="D453" s="0" t="inlineStr">
        <is>
          <t>Usado</t>
        </is>
      </c>
      <c r="E453" s="38" t="inlineStr">
        <is>
          <t>https://numismaticapopper.com/images/930A.jpeg,https://numismaticapopper.com/images/930B.jpeg</t>
        </is>
      </c>
      <c r="F453" t="inlineStr">
        <is>
          <t>930</t>
        </is>
      </c>
      <c r="G453" s="40" t="n">
        <v>1</v>
      </c>
      <c r="H453" t="n">
        <v>10000</v>
      </c>
      <c r="I453" t="inlineStr">
        <is>
          <t>Estado de conservacion: Sin Circular
Referencia de catalogo: KM# 96.1
Material: Acero
Conmemora: FAO (Organización de las Naciones Unidas para la Alimentación y la Agricultura)
Emisión conmemorativa de la FAO. Muestra a la diosa Minerva junto a un árbol de laurel.</t>
        </is>
      </c>
      <c r="J453" s="31">
        <f>IF(INDIRECT(ADDRESS(ROW() + (0),COLUMN() + (1)))="Agregar cuotas", IF(("16%")="", "-", "16%"), IF(INDIRECT(ADDRESS(ROW() + (0),COLUMN() + (1)))="No agregar cuotas", IF(("16%")="", "-", "16%"), "-"))</f>
        <v/>
      </c>
      <c r="K453" s="0" t="inlineStr">
        <is>
          <t>No agregar cuotas</t>
        </is>
      </c>
      <c r="L453" s="31">
        <f>IF(INDIRECT(ADDRESS(ROW() + (0),COLUMN() + (-1)))="Agregar cuotas", IF(("13.4%")="", "Sin costo", "13.4%"), IF(INDIRECT(ADDRESS(ROW() + (0),COLUMN() + (-1)))="No agregar cuotas", IF(("")="", "Sin costo", ""), "-"))</f>
        <v/>
      </c>
      <c r="M453" s="0" t="inlineStr">
        <is>
          <t>Mercado Envíos</t>
        </is>
      </c>
      <c r="N453" s="0" t="inlineStr">
        <is>
          <t>A cargo del comprador</t>
        </is>
      </c>
      <c r="O453" s="0" t="inlineStr">
        <is>
          <t>Acepto</t>
        </is>
      </c>
      <c r="P453" s="47" t="inlineStr">
        <is>
          <t>Sin garantía</t>
        </is>
      </c>
      <c r="R453" s="0" t="inlineStr">
        <is>
          <t>Seleccionar</t>
        </is>
      </c>
      <c r="S453" s="0" t="inlineStr">
        <is>
          <t>No ofrezco</t>
        </is>
      </c>
      <c r="T453" t="n">
        <v>1979</v>
      </c>
      <c r="U453" s="0" t="inlineStr">
        <is>
          <t>Italia</t>
        </is>
      </c>
      <c r="X453" s="0" t="inlineStr">
        <is>
          <t>Níquel</t>
        </is>
      </c>
      <c r="Y453" t="inlineStr">
        <is>
          <t>FAO (Organización de las Naciones Unidas para la Alimentación y la Agricultura)</t>
        </is>
      </c>
      <c r="Z453" t="inlineStr">
        <is>
          <t>100 Liras</t>
        </is>
      </c>
      <c r="AA453" s="0" t="inlineStr">
        <is>
          <t>Euro</t>
        </is>
      </c>
      <c r="AB4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3" s="53">
        <f>IF(OR(TRIM(INDIRECT("B"&amp;ROW())) &lt;&gt; "",TRIM(INDIRECT("A"&amp;ROW())) &lt;&gt; ""),AND(TRIM(INDIRECT("A"&amp;ROW())) &lt;&gt; "",TRIM(INDIRECT("D"&amp;ROW())) = "nuevo"),"")</f>
        <v/>
      </c>
    </row>
    <row r="454" ht="27.5" customHeight="1" s="62">
      <c r="B454" t="inlineStr">
        <is>
          <t>Moneda Francia 5 Francos 1993</t>
        </is>
      </c>
      <c r="C454" s="0">
        <f>LEN(INDIRECT(ADDRESS(ROW() + (0),COLUMN() + (-1))))</f>
        <v/>
      </c>
      <c r="D454" s="0" t="inlineStr">
        <is>
          <t>Usado</t>
        </is>
      </c>
      <c r="E454" s="38" t="inlineStr">
        <is>
          <t>https://numismaticapopper.com/images/931A.jpeg,https://numismaticapopper.com/images/931B.jpeg</t>
        </is>
      </c>
      <c r="F454" t="inlineStr">
        <is>
          <t>931</t>
        </is>
      </c>
      <c r="G454" s="40" t="n">
        <v>1</v>
      </c>
      <c r="H454" t="n">
        <v>8000</v>
      </c>
      <c r="I454" t="inlineStr">
        <is>
          <t>Estado de conservacion: Sin Circular
Referencia de catalogo: KM# 926a
Material: Níquel
Brillo original.</t>
        </is>
      </c>
      <c r="J454" s="31">
        <f>IF(INDIRECT(ADDRESS(ROW() + (0),COLUMN() + (1)))="Agregar cuotas", IF(("16%")="", "-", "16%"), IF(INDIRECT(ADDRESS(ROW() + (0),COLUMN() + (1)))="No agregar cuotas", IF(("16%")="", "-", "16%"), "-"))</f>
        <v/>
      </c>
      <c r="K454" s="0" t="inlineStr">
        <is>
          <t>No agregar cuotas</t>
        </is>
      </c>
      <c r="L454" s="31">
        <f>IF(INDIRECT(ADDRESS(ROW() + (0),COLUMN() + (-1)))="Agregar cuotas", IF(("13.4%")="", "Sin costo", "13.4%"), IF(INDIRECT(ADDRESS(ROW() + (0),COLUMN() + (-1)))="No agregar cuotas", IF(("")="", "Sin costo", ""), "-"))</f>
        <v/>
      </c>
      <c r="M454" s="0" t="inlineStr">
        <is>
          <t>Mercado Envíos</t>
        </is>
      </c>
      <c r="N454" s="0" t="inlineStr">
        <is>
          <t>A cargo del comprador</t>
        </is>
      </c>
      <c r="O454" s="0" t="inlineStr">
        <is>
          <t>Acepto</t>
        </is>
      </c>
      <c r="P454" s="47" t="inlineStr">
        <is>
          <t>Sin garantía</t>
        </is>
      </c>
      <c r="R454" s="0" t="inlineStr">
        <is>
          <t>Seleccionar</t>
        </is>
      </c>
      <c r="S454" s="0" t="inlineStr">
        <is>
          <t>No ofrezco</t>
        </is>
      </c>
      <c r="T454" t="n">
        <v>1993</v>
      </c>
      <c r="U454" s="0" t="inlineStr">
        <is>
          <t>Francia</t>
        </is>
      </c>
      <c r="X454" s="0" t="inlineStr">
        <is>
          <t>Níquel</t>
        </is>
      </c>
      <c r="Z454" t="inlineStr">
        <is>
          <t>5 Francos</t>
        </is>
      </c>
      <c r="AA454" s="0" t="inlineStr">
        <is>
          <t>Euro</t>
        </is>
      </c>
      <c r="AB4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4" s="53">
        <f>IF(OR(TRIM(INDIRECT("B"&amp;ROW())) &lt;&gt; "",TRIM(INDIRECT("A"&amp;ROW())) &lt;&gt; ""),AND(TRIM(INDIRECT("A"&amp;ROW())) &lt;&gt; "",TRIM(INDIRECT("D"&amp;ROW())) = "nuevo"),"")</f>
        <v/>
      </c>
    </row>
    <row r="455" ht="27.5" customHeight="1" s="62">
      <c r="B455" t="inlineStr">
        <is>
          <t>Moneda China 1 Yuan 2013</t>
        </is>
      </c>
      <c r="C455" s="0">
        <f>LEN(INDIRECT(ADDRESS(ROW() + (0),COLUMN() + (-1))))</f>
        <v/>
      </c>
      <c r="D455" s="0" t="inlineStr">
        <is>
          <t>Usado</t>
        </is>
      </c>
      <c r="E455" s="38" t="inlineStr">
        <is>
          <t>https://numismaticapopper.com/images/932A.jpeg,https://numismaticapopper.com/images/932B.jpeg</t>
        </is>
      </c>
      <c r="F455" t="inlineStr">
        <is>
          <t>932</t>
        </is>
      </c>
      <c r="G455" s="40" t="n">
        <v>1</v>
      </c>
      <c r="H455" t="n">
        <v>7000</v>
      </c>
      <c r="I455" t="inlineStr">
        <is>
          <t>Estado de conservacion: Excelente
Referencia de catalogo: KM# 1211
Material: Acero niquelado
Pertenece a la serie floral de la quinta serie del Yuan RMB, mostrando la flor de Orquídea.</t>
        </is>
      </c>
      <c r="J455" s="31">
        <f>IF(INDIRECT(ADDRESS(ROW() + (0),COLUMN() + (1)))="Agregar cuotas", IF(("16%")="", "-", "16%"), IF(INDIRECT(ADDRESS(ROW() + (0),COLUMN() + (1)))="No agregar cuotas", IF(("16%")="", "-", "16%"), "-"))</f>
        <v/>
      </c>
      <c r="K455" s="0" t="inlineStr">
        <is>
          <t>No agregar cuotas</t>
        </is>
      </c>
      <c r="L455" s="31">
        <f>IF(INDIRECT(ADDRESS(ROW() + (0),COLUMN() + (-1)))="Agregar cuotas", IF(("13.4%")="", "Sin costo", "13.4%"), IF(INDIRECT(ADDRESS(ROW() + (0),COLUMN() + (-1)))="No agregar cuotas", IF(("")="", "Sin costo", ""), "-"))</f>
        <v/>
      </c>
      <c r="M455" s="0" t="inlineStr">
        <is>
          <t>Mercado Envíos</t>
        </is>
      </c>
      <c r="N455" s="0" t="inlineStr">
        <is>
          <t>A cargo del comprador</t>
        </is>
      </c>
      <c r="O455" s="0" t="inlineStr">
        <is>
          <t>Acepto</t>
        </is>
      </c>
      <c r="P455" s="47" t="inlineStr">
        <is>
          <t>Sin garantía</t>
        </is>
      </c>
      <c r="R455" s="0" t="inlineStr">
        <is>
          <t>Seleccionar</t>
        </is>
      </c>
      <c r="S455" s="0" t="inlineStr">
        <is>
          <t>No ofrezco</t>
        </is>
      </c>
      <c r="T455" t="n">
        <v>2013</v>
      </c>
      <c r="U455" s="0" t="inlineStr">
        <is>
          <t>China</t>
        </is>
      </c>
      <c r="X455" s="0" t="inlineStr">
        <is>
          <t>Níquel</t>
        </is>
      </c>
      <c r="Z455" t="inlineStr">
        <is>
          <t>1 Yuan</t>
        </is>
      </c>
      <c r="AA455" s="0" t="inlineStr">
        <is>
          <t>Yuan</t>
        </is>
      </c>
      <c r="AB4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5" s="53">
        <f>IF(OR(TRIM(INDIRECT("B"&amp;ROW())) &lt;&gt; "",TRIM(INDIRECT("A"&amp;ROW())) &lt;&gt; ""),AND(TRIM(INDIRECT("A"&amp;ROW())) &lt;&gt; "",TRIM(INDIRECT("D"&amp;ROW())) = "nuevo"),"")</f>
        <v/>
      </c>
    </row>
    <row r="456" ht="27.5" customHeight="1" s="62">
      <c r="B456" t="inlineStr">
        <is>
          <t>Moneda Rusia 25 Rublos 2011</t>
        </is>
      </c>
      <c r="C456" s="0">
        <f>LEN(INDIRECT(ADDRESS(ROW() + (0),COLUMN() + (-1))))</f>
        <v/>
      </c>
      <c r="D456" s="0" t="inlineStr">
        <is>
          <t>Usado</t>
        </is>
      </c>
      <c r="E456" s="38" t="inlineStr">
        <is>
          <t>https://numismaticapopper.com/images/936A.jpeg,https://numismaticapopper.com/images/936B.jpeg</t>
        </is>
      </c>
      <c r="F456" t="inlineStr">
        <is>
          <t>936</t>
        </is>
      </c>
      <c r="G456" s="40" t="n">
        <v>1</v>
      </c>
      <c r="H456" t="n">
        <v>18000</v>
      </c>
      <c r="I456" t="inlineStr">
        <is>
          <t>Estado de conservacion: Sin Circular
Referencia de catalogo: KM# 1303
Material: Cuproníquel
Conmemora: Juegos Olímpicos de Invierno Sochi 2014
Emisión conmemorativa por los Juegos Olímpicos de Invierno Sochi 2014.</t>
        </is>
      </c>
      <c r="J456" s="31">
        <f>IF(INDIRECT(ADDRESS(ROW() + (0),COLUMN() + (1)))="Agregar cuotas", IF(("16%")="", "-", "16%"), IF(INDIRECT(ADDRESS(ROW() + (0),COLUMN() + (1)))="No agregar cuotas", IF(("16%")="", "-", "16%"), "-"))</f>
        <v/>
      </c>
      <c r="K456" s="0" t="inlineStr">
        <is>
          <t>No agregar cuotas</t>
        </is>
      </c>
      <c r="L456" s="31">
        <f>IF(INDIRECT(ADDRESS(ROW() + (0),COLUMN() + (-1)))="Agregar cuotas", IF(("13.4%")="", "Sin costo", "13.4%"), IF(INDIRECT(ADDRESS(ROW() + (0),COLUMN() + (-1)))="No agregar cuotas", IF(("")="", "Sin costo", ""), "-"))</f>
        <v/>
      </c>
      <c r="M456" s="0" t="inlineStr">
        <is>
          <t>Mercado Envíos</t>
        </is>
      </c>
      <c r="N456" s="0" t="inlineStr">
        <is>
          <t>A cargo del comprador</t>
        </is>
      </c>
      <c r="O456" s="0" t="inlineStr">
        <is>
          <t>Acepto</t>
        </is>
      </c>
      <c r="P456" s="47" t="inlineStr">
        <is>
          <t>Sin garantía</t>
        </is>
      </c>
      <c r="R456" s="0" t="inlineStr">
        <is>
          <t>Seleccionar</t>
        </is>
      </c>
      <c r="S456" s="0" t="inlineStr">
        <is>
          <t>No ofrezco</t>
        </is>
      </c>
      <c r="T456" t="n">
        <v>2011</v>
      </c>
      <c r="U456" s="0" t="inlineStr">
        <is>
          <t>Rusia</t>
        </is>
      </c>
      <c r="X456" s="0" t="inlineStr">
        <is>
          <t>Níquel</t>
        </is>
      </c>
      <c r="Y456" t="inlineStr">
        <is>
          <t>Juegos Olímpicos de Invierno Sochi 2014</t>
        </is>
      </c>
      <c r="Z456" t="inlineStr">
        <is>
          <t>25 Rublos</t>
        </is>
      </c>
      <c r="AA456" s="0" t="inlineStr">
        <is>
          <t>Rublo</t>
        </is>
      </c>
      <c r="AB4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6" s="53">
        <f>IF(OR(TRIM(INDIRECT("B"&amp;ROW())) &lt;&gt; "",TRIM(INDIRECT("A"&amp;ROW())) &lt;&gt; ""),AND(TRIM(INDIRECT("A"&amp;ROW())) &lt;&gt; "",TRIM(INDIRECT("D"&amp;ROW())) = "nuevo"),"")</f>
        <v/>
      </c>
    </row>
    <row r="457" ht="27.5" customHeight="1" s="62">
      <c r="B457" t="inlineStr">
        <is>
          <t>Moneda Colombia 5 Centavos 1935</t>
        </is>
      </c>
      <c r="C457" s="0">
        <f>LEN(INDIRECT(ADDRESS(ROW() + (0),COLUMN() + (-1))))</f>
        <v/>
      </c>
      <c r="D457" s="0" t="inlineStr">
        <is>
          <t>Usado</t>
        </is>
      </c>
      <c r="E457" s="38" t="inlineStr">
        <is>
          <t>https://numismaticapopper.com/images/939A.jpeg,https://numismaticapopper.com/images/939B.jpeg</t>
        </is>
      </c>
      <c r="F457" t="inlineStr">
        <is>
          <t>939</t>
        </is>
      </c>
      <c r="G457" s="40" t="n">
        <v>1</v>
      </c>
      <c r="H457" t="n">
        <v>15000</v>
      </c>
      <c r="I457" t="inlineStr">
        <is>
          <t>Estado de conservacion: Muy Buena -
Referencia de catalogo: KM# 192.1
Material: Cuproníquel
Escasa, 10 USD de catálogo.</t>
        </is>
      </c>
      <c r="J457" s="31">
        <f>IF(INDIRECT(ADDRESS(ROW() + (0),COLUMN() + (1)))="Agregar cuotas", IF(("16%")="", "-", "16%"), IF(INDIRECT(ADDRESS(ROW() + (0),COLUMN() + (1)))="No agregar cuotas", IF(("16%")="", "-", "16%"), "-"))</f>
        <v/>
      </c>
      <c r="K457" s="0" t="inlineStr">
        <is>
          <t>No agregar cuotas</t>
        </is>
      </c>
      <c r="L457" s="31">
        <f>IF(INDIRECT(ADDRESS(ROW() + (0),COLUMN() + (-1)))="Agregar cuotas", IF(("13.4%")="", "Sin costo", "13.4%"), IF(INDIRECT(ADDRESS(ROW() + (0),COLUMN() + (-1)))="No agregar cuotas", IF(("")="", "Sin costo", ""), "-"))</f>
        <v/>
      </c>
      <c r="M457" s="0" t="inlineStr">
        <is>
          <t>Mercado Envíos</t>
        </is>
      </c>
      <c r="N457" s="0" t="inlineStr">
        <is>
          <t>A cargo del comprador</t>
        </is>
      </c>
      <c r="O457" s="0" t="inlineStr">
        <is>
          <t>Acepto</t>
        </is>
      </c>
      <c r="P457" s="47" t="inlineStr">
        <is>
          <t>Sin garantía</t>
        </is>
      </c>
      <c r="R457" s="0" t="inlineStr">
        <is>
          <t>Seleccionar</t>
        </is>
      </c>
      <c r="S457" s="0" t="inlineStr">
        <is>
          <t>No ofrezco</t>
        </is>
      </c>
      <c r="T457" t="n">
        <v>1935</v>
      </c>
      <c r="U457" s="0" t="inlineStr">
        <is>
          <t>Perú</t>
        </is>
      </c>
      <c r="X457" s="0" t="inlineStr">
        <is>
          <t>Níquel</t>
        </is>
      </c>
      <c r="Z457" t="inlineStr">
        <is>
          <t>5 Centavos</t>
        </is>
      </c>
      <c r="AA457" s="0" t="inlineStr">
        <is>
          <t>Peso</t>
        </is>
      </c>
      <c r="AB4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7" s="53">
        <f>IF(OR(TRIM(INDIRECT("B"&amp;ROW())) &lt;&gt; "",TRIM(INDIRECT("A"&amp;ROW())) &lt;&gt; ""),AND(TRIM(INDIRECT("A"&amp;ROW())) &lt;&gt; "",TRIM(INDIRECT("D"&amp;ROW())) = "nuevo"),"")</f>
        <v/>
      </c>
    </row>
    <row r="458" ht="27.5" customHeight="1" s="62">
      <c r="B458" t="inlineStr">
        <is>
          <t>Moneda Austria 2 Filler 1963</t>
        </is>
      </c>
      <c r="C458" s="0">
        <f>LEN(INDIRECT(ADDRESS(ROW() + (0),COLUMN() + (-1))))</f>
        <v/>
      </c>
      <c r="D458" s="0" t="inlineStr">
        <is>
          <t>Usado</t>
        </is>
      </c>
      <c r="E458" s="38" t="inlineStr">
        <is>
          <t>https://numismaticapopper.com/images/940A.jpeg,https://numismaticapopper.com/images/940B.jpeg</t>
        </is>
      </c>
      <c r="F458" t="inlineStr">
        <is>
          <t>940</t>
        </is>
      </c>
      <c r="G458" s="40" t="n">
        <v>1</v>
      </c>
      <c r="H458" t="n">
        <v>8000</v>
      </c>
      <c r="I458" t="inlineStr">
        <is>
          <t>Estado de conservacion: Sin Circular
Referencia de catalogo: KM# 2876
Material: Aluminio
Moneda de 2 Groschen acuñada en aluminio con el águila federal austríaca.</t>
        </is>
      </c>
      <c r="J458" s="31">
        <f>IF(INDIRECT(ADDRESS(ROW() + (0),COLUMN() + (1)))="Agregar cuotas", IF(("16%")="", "-", "16%"), IF(INDIRECT(ADDRESS(ROW() + (0),COLUMN() + (1)))="No agregar cuotas", IF(("16%")="", "-", "16%"), "-"))</f>
        <v/>
      </c>
      <c r="K458" s="0" t="inlineStr">
        <is>
          <t>No agregar cuotas</t>
        </is>
      </c>
      <c r="L458" s="31">
        <f>IF(INDIRECT(ADDRESS(ROW() + (0),COLUMN() + (-1)))="Agregar cuotas", IF(("13.4%")="", "Sin costo", "13.4%"), IF(INDIRECT(ADDRESS(ROW() + (0),COLUMN() + (-1)))="No agregar cuotas", IF(("")="", "Sin costo", ""), "-"))</f>
        <v/>
      </c>
      <c r="M458" s="0" t="inlineStr">
        <is>
          <t>Mercado Envíos</t>
        </is>
      </c>
      <c r="N458" s="0" t="inlineStr">
        <is>
          <t>A cargo del comprador</t>
        </is>
      </c>
      <c r="O458" s="0" t="inlineStr">
        <is>
          <t>Acepto</t>
        </is>
      </c>
      <c r="P458" s="47" t="inlineStr">
        <is>
          <t>Sin garantía</t>
        </is>
      </c>
      <c r="R458" s="0" t="inlineStr">
        <is>
          <t>Seleccionar</t>
        </is>
      </c>
      <c r="S458" s="0" t="inlineStr">
        <is>
          <t>No ofrezco</t>
        </is>
      </c>
      <c r="T458" t="n">
        <v>1963</v>
      </c>
      <c r="U458" s="0" t="inlineStr">
        <is>
          <t>Austria</t>
        </is>
      </c>
      <c r="X458" s="0" t="inlineStr">
        <is>
          <t>Níquel</t>
        </is>
      </c>
      <c r="Z458" t="inlineStr">
        <is>
          <t>2 Filler</t>
        </is>
      </c>
      <c r="AA458" s="0" t="inlineStr">
        <is>
          <t>Euro</t>
        </is>
      </c>
      <c r="AB4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8" s="53">
        <f>IF(OR(TRIM(INDIRECT("B"&amp;ROW())) &lt;&gt; "",TRIM(INDIRECT("A"&amp;ROW())) &lt;&gt; ""),AND(TRIM(INDIRECT("A"&amp;ROW())) &lt;&gt; "",TRIM(INDIRECT("D"&amp;ROW())) = "nuevo"),"")</f>
        <v/>
      </c>
    </row>
    <row r="459" ht="27.5" customHeight="1" s="62">
      <c r="B459" t="inlineStr">
        <is>
          <t>Moneda Yugoslavia 1 Dinar 1953</t>
        </is>
      </c>
      <c r="C459" s="0">
        <f>LEN(INDIRECT(ADDRESS(ROW() + (0),COLUMN() + (-1))))</f>
        <v/>
      </c>
      <c r="D459" s="0" t="inlineStr">
        <is>
          <t>Usado</t>
        </is>
      </c>
      <c r="E459" s="38" t="inlineStr">
        <is>
          <t>https://numismaticapopper.com/images/941A.jpeg,https://numismaticapopper.com/images/941B.jpeg</t>
        </is>
      </c>
      <c r="F459" t="inlineStr">
        <is>
          <t>941</t>
        </is>
      </c>
      <c r="G459" s="40" t="n">
        <v>1</v>
      </c>
      <c r="H459" t="n">
        <v>9000</v>
      </c>
      <c r="I459" t="inlineStr">
        <is>
          <t>Estado de conservacion: Excelente -
Referencia de catalogo: KM# 32
Material: Aluminio-bronce
Acuñación con la leyenda FNRJ (República Federativa Popular de Yugoslavia) y las 5 antorchas.</t>
        </is>
      </c>
      <c r="J459" s="31">
        <f>IF(INDIRECT(ADDRESS(ROW() + (0),COLUMN() + (1)))="Agregar cuotas", IF(("16%")="", "-", "16%"), IF(INDIRECT(ADDRESS(ROW() + (0),COLUMN() + (1)))="No agregar cuotas", IF(("16%")="", "-", "16%"), "-"))</f>
        <v/>
      </c>
      <c r="K459" s="0" t="inlineStr">
        <is>
          <t>No agregar cuotas</t>
        </is>
      </c>
      <c r="L459" s="31">
        <f>IF(INDIRECT(ADDRESS(ROW() + (0),COLUMN() + (-1)))="Agregar cuotas", IF(("13.4%")="", "Sin costo", "13.4%"), IF(INDIRECT(ADDRESS(ROW() + (0),COLUMN() + (-1)))="No agregar cuotas", IF(("")="", "Sin costo", ""), "-"))</f>
        <v/>
      </c>
      <c r="M459" s="0" t="inlineStr">
        <is>
          <t>Mercado Envíos</t>
        </is>
      </c>
      <c r="N459" s="0" t="inlineStr">
        <is>
          <t>A cargo del comprador</t>
        </is>
      </c>
      <c r="O459" s="0" t="inlineStr">
        <is>
          <t>Acepto</t>
        </is>
      </c>
      <c r="P459" s="47" t="inlineStr">
        <is>
          <t>Sin garantía</t>
        </is>
      </c>
      <c r="R459" s="0" t="inlineStr">
        <is>
          <t>Seleccionar</t>
        </is>
      </c>
      <c r="S459" s="0" t="inlineStr">
        <is>
          <t>No ofrezco</t>
        </is>
      </c>
      <c r="T459" t="n">
        <v>1953</v>
      </c>
      <c r="U459" s="0" t="inlineStr">
        <is>
          <t>Austria</t>
        </is>
      </c>
      <c r="X459" s="0" t="inlineStr">
        <is>
          <t>Bronce</t>
        </is>
      </c>
      <c r="Z459" t="inlineStr">
        <is>
          <t>1 Dinar</t>
        </is>
      </c>
      <c r="AA459" s="0" t="inlineStr">
        <is>
          <t>Euro</t>
        </is>
      </c>
      <c r="AB4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59" s="53">
        <f>IF(OR(TRIM(INDIRECT("B"&amp;ROW())) &lt;&gt; "",TRIM(INDIRECT("A"&amp;ROW())) &lt;&gt; ""),AND(TRIM(INDIRECT("A"&amp;ROW())) &lt;&gt; "",TRIM(INDIRECT("D"&amp;ROW())) = "nuevo"),"")</f>
        <v/>
      </c>
    </row>
    <row r="460" ht="27.5" customHeight="1" s="62">
      <c r="B460" t="inlineStr">
        <is>
          <t>Moneda Argentina 10 Centavos 1899</t>
        </is>
      </c>
      <c r="C460" s="0">
        <f>LEN(INDIRECT(ADDRESS(ROW() + (0),COLUMN() + (-1))))</f>
        <v/>
      </c>
      <c r="D460" s="0" t="inlineStr">
        <is>
          <t>Usado</t>
        </is>
      </c>
      <c r="E460" s="38" t="inlineStr">
        <is>
          <t>https://numismaticapopper.com/images/943A.jpeg,https://numismaticapopper.com/images/943B.jpeg</t>
        </is>
      </c>
      <c r="F460" t="inlineStr">
        <is>
          <t>943</t>
        </is>
      </c>
      <c r="G460" s="40" t="n">
        <v>1</v>
      </c>
      <c r="H460" t="n">
        <v>7000</v>
      </c>
      <c r="I460" t="inlineStr">
        <is>
          <t>Estado de conservacion: Regular +
Referencia de catalogo: CJ# 27
Material: Cuproníquel
Peso: 10.0 g
Diametro: 30.0 mm
Tirada: 8.657.480
Moneda argentina del siglo XIX acuñada en cuproníquel con la efigie de la Libertad de Eugène-André Oudiné.</t>
        </is>
      </c>
      <c r="J460" s="31">
        <f>IF(INDIRECT(ADDRESS(ROW() + (0),COLUMN() + (1)))="Agregar cuotas", IF(("16%")="", "-", "16%"), IF(INDIRECT(ADDRESS(ROW() + (0),COLUMN() + (1)))="No agregar cuotas", IF(("16%")="", "-", "16%"), "-"))</f>
        <v/>
      </c>
      <c r="K460" s="0" t="inlineStr">
        <is>
          <t>No agregar cuotas</t>
        </is>
      </c>
      <c r="L460" s="31">
        <f>IF(INDIRECT(ADDRESS(ROW() + (0),COLUMN() + (-1)))="Agregar cuotas", IF(("13.4%")="", "Sin costo", "13.4%"), IF(INDIRECT(ADDRESS(ROW() + (0),COLUMN() + (-1)))="No agregar cuotas", IF(("")="", "Sin costo", ""), "-"))</f>
        <v/>
      </c>
      <c r="M460" s="0" t="inlineStr">
        <is>
          <t>Mercado Envíos</t>
        </is>
      </c>
      <c r="N460" s="0" t="inlineStr">
        <is>
          <t>A cargo del comprador</t>
        </is>
      </c>
      <c r="O460" s="0" t="inlineStr">
        <is>
          <t>Acepto</t>
        </is>
      </c>
      <c r="P460" s="47" t="inlineStr">
        <is>
          <t>Sin garantía</t>
        </is>
      </c>
      <c r="R460" s="0" t="inlineStr">
        <is>
          <t>Seleccionar</t>
        </is>
      </c>
      <c r="S460" s="0" t="inlineStr">
        <is>
          <t>No ofrezco</t>
        </is>
      </c>
      <c r="T460" t="n">
        <v>1899</v>
      </c>
      <c r="U460" s="0" t="inlineStr">
        <is>
          <t>Argentina</t>
        </is>
      </c>
      <c r="X460" s="0" t="inlineStr">
        <is>
          <t>Níquel</t>
        </is>
      </c>
      <c r="Z460" t="inlineStr">
        <is>
          <t>10 Centavos</t>
        </is>
      </c>
      <c r="AA460" s="0" t="inlineStr">
        <is>
          <t>Peso</t>
        </is>
      </c>
      <c r="AB4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0" s="53">
        <f>IF(OR(TRIM(INDIRECT("B"&amp;ROW())) &lt;&gt; "",TRIM(INDIRECT("A"&amp;ROW())) &lt;&gt; ""),AND(TRIM(INDIRECT("A"&amp;ROW())) &lt;&gt; "",TRIM(INDIRECT("D"&amp;ROW())) = "nuevo"),"")</f>
        <v/>
      </c>
    </row>
    <row r="461" ht="27.5" customHeight="1" s="62">
      <c r="B461" t="inlineStr">
        <is>
          <t>Moneda Croacia 20 Lipa 1995</t>
        </is>
      </c>
      <c r="C461" s="0">
        <f>LEN(INDIRECT(ADDRESS(ROW() + (0),COLUMN() + (-1))))</f>
        <v/>
      </c>
      <c r="D461" s="0" t="inlineStr">
        <is>
          <t>Usado</t>
        </is>
      </c>
      <c r="E461" s="38" t="inlineStr">
        <is>
          <t>https://numismaticapopper.com/images/944A.jpeg,https://numismaticapopper.com/images/944B.jpeg</t>
        </is>
      </c>
      <c r="F461" t="inlineStr">
        <is>
          <t>944</t>
        </is>
      </c>
      <c r="G461" s="40" t="n">
        <v>1</v>
      </c>
      <c r="H461" t="n">
        <v>8000</v>
      </c>
      <c r="I461" t="inlineStr">
        <is>
          <t>Estado de conservacion: Sin Circular
Referencia de catalogo: KM# 12
Material: Acero niquelado
Muestra una rama de olivo ("Maslina") en el reverso.</t>
        </is>
      </c>
      <c r="J461" s="31">
        <f>IF(INDIRECT(ADDRESS(ROW() + (0),COLUMN() + (1)))="Agregar cuotas", IF(("16%")="", "-", "16%"), IF(INDIRECT(ADDRESS(ROW() + (0),COLUMN() + (1)))="No agregar cuotas", IF(("16%")="", "-", "16%"), "-"))</f>
        <v/>
      </c>
      <c r="K461" s="0" t="inlineStr">
        <is>
          <t>No agregar cuotas</t>
        </is>
      </c>
      <c r="L461" s="31">
        <f>IF(INDIRECT(ADDRESS(ROW() + (0),COLUMN() + (-1)))="Agregar cuotas", IF(("13.4%")="", "Sin costo", "13.4%"), IF(INDIRECT(ADDRESS(ROW() + (0),COLUMN() + (-1)))="No agregar cuotas", IF(("")="", "Sin costo", ""), "-"))</f>
        <v/>
      </c>
      <c r="M461" s="0" t="inlineStr">
        <is>
          <t>Mercado Envíos</t>
        </is>
      </c>
      <c r="N461" s="0" t="inlineStr">
        <is>
          <t>A cargo del comprador</t>
        </is>
      </c>
      <c r="O461" s="0" t="inlineStr">
        <is>
          <t>Acepto</t>
        </is>
      </c>
      <c r="P461" s="47" t="inlineStr">
        <is>
          <t>Sin garantía</t>
        </is>
      </c>
      <c r="R461" s="0" t="inlineStr">
        <is>
          <t>Seleccionar</t>
        </is>
      </c>
      <c r="S461" s="0" t="inlineStr">
        <is>
          <t>No ofrezco</t>
        </is>
      </c>
      <c r="T461" t="n">
        <v>1995</v>
      </c>
      <c r="U461" s="0" t="inlineStr">
        <is>
          <t>Austria</t>
        </is>
      </c>
      <c r="X461" s="0" t="inlineStr">
        <is>
          <t>Níquel</t>
        </is>
      </c>
      <c r="Z461" t="inlineStr">
        <is>
          <t>20 Lipa</t>
        </is>
      </c>
      <c r="AA461" s="0" t="inlineStr">
        <is>
          <t>Euro</t>
        </is>
      </c>
      <c r="AB4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1" s="53">
        <f>IF(OR(TRIM(INDIRECT("B"&amp;ROW())) &lt;&gt; "",TRIM(INDIRECT("A"&amp;ROW())) &lt;&gt; ""),AND(TRIM(INDIRECT("A"&amp;ROW())) &lt;&gt; "",TRIM(INDIRECT("D"&amp;ROW())) = "nuevo"),"")</f>
        <v/>
      </c>
    </row>
    <row r="462" ht="27.5" customHeight="1" s="62">
      <c r="B462" t="inlineStr">
        <is>
          <t>Moneda Curazao 1 Cent 2025</t>
        </is>
      </c>
      <c r="C462" s="0">
        <f>LEN(INDIRECT(ADDRESS(ROW() + (0),COLUMN() + (-1))))</f>
        <v/>
      </c>
      <c r="D462" s="0" t="inlineStr">
        <is>
          <t>Usado</t>
        </is>
      </c>
      <c r="E462" s="38" t="inlineStr">
        <is>
          <t>https://numismaticapopper.com/images/950A.jpeg,https://numismaticapopper.com/images/950B.jpeg</t>
        </is>
      </c>
      <c r="F462" t="inlineStr">
        <is>
          <t>950</t>
        </is>
      </c>
      <c r="G462" s="40" t="n">
        <v>1</v>
      </c>
      <c r="H462" t="n">
        <v>9000</v>
      </c>
      <c r="I462" t="inlineStr">
        <is>
          <t>Estado de conservacion: Sin Circular
Referencia de catalogo: KM# 1
Material: Acero niquelado
Primera serie del nuevo Florín del Caribe (Caribbean Guilder) emitido conjuntamente para Curazao y San Martín.</t>
        </is>
      </c>
      <c r="J462" s="31">
        <f>IF(INDIRECT(ADDRESS(ROW() + (0),COLUMN() + (1)))="Agregar cuotas", IF(("16%")="", "-", "16%"), IF(INDIRECT(ADDRESS(ROW() + (0),COLUMN() + (1)))="No agregar cuotas", IF(("16%")="", "-", "16%"), "-"))</f>
        <v/>
      </c>
      <c r="K462" s="0" t="inlineStr">
        <is>
          <t>No agregar cuotas</t>
        </is>
      </c>
      <c r="L462" s="31">
        <f>IF(INDIRECT(ADDRESS(ROW() + (0),COLUMN() + (-1)))="Agregar cuotas", IF(("13.4%")="", "Sin costo", "13.4%"), IF(INDIRECT(ADDRESS(ROW() + (0),COLUMN() + (-1)))="No agregar cuotas", IF(("")="", "Sin costo", ""), "-"))</f>
        <v/>
      </c>
      <c r="M462" s="0" t="inlineStr">
        <is>
          <t>Mercado Envíos</t>
        </is>
      </c>
      <c r="N462" s="0" t="inlineStr">
        <is>
          <t>A cargo del comprador</t>
        </is>
      </c>
      <c r="O462" s="0" t="inlineStr">
        <is>
          <t>Acepto</t>
        </is>
      </c>
      <c r="P462" s="47" t="inlineStr">
        <is>
          <t>Sin garantía</t>
        </is>
      </c>
      <c r="R462" s="0" t="inlineStr">
        <is>
          <t>Seleccionar</t>
        </is>
      </c>
      <c r="S462" s="0" t="inlineStr">
        <is>
          <t>No ofrezco</t>
        </is>
      </c>
      <c r="T462" t="n">
        <v>2025</v>
      </c>
      <c r="U462" s="0" t="inlineStr">
        <is>
          <t>Holanda</t>
        </is>
      </c>
      <c r="X462" s="0" t="inlineStr">
        <is>
          <t>Níquel</t>
        </is>
      </c>
      <c r="Z462" t="inlineStr">
        <is>
          <t>1 Cent</t>
        </is>
      </c>
      <c r="AA462" s="0" t="inlineStr">
        <is>
          <t>Dólar</t>
        </is>
      </c>
      <c r="AB4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2" s="53">
        <f>IF(OR(TRIM(INDIRECT("B"&amp;ROW())) &lt;&gt; "",TRIM(INDIRECT("A"&amp;ROW())) &lt;&gt; ""),AND(TRIM(INDIRECT("A"&amp;ROW())) &lt;&gt; "",TRIM(INDIRECT("D"&amp;ROW())) = "nuevo"),"")</f>
        <v/>
      </c>
    </row>
    <row r="463" ht="27.5" customHeight="1" s="62">
      <c r="B463" t="inlineStr">
        <is>
          <t>Moneda Transnistria 1 Kopeck 2000</t>
        </is>
      </c>
      <c r="C463" s="0">
        <f>LEN(INDIRECT(ADDRESS(ROW() + (0),COLUMN() + (-1))))</f>
        <v/>
      </c>
      <c r="D463" s="0" t="inlineStr">
        <is>
          <t>Usado</t>
        </is>
      </c>
      <c r="E463" s="38" t="inlineStr">
        <is>
          <t>https://numismaticapopper.com/images/951A.jpeg,https://numismaticapopper.com/images/951B.jpeg</t>
        </is>
      </c>
      <c r="F463" t="inlineStr">
        <is>
          <t>951</t>
        </is>
      </c>
      <c r="G463" s="40" t="n">
        <v>1</v>
      </c>
      <c r="H463" t="n">
        <v>9000</v>
      </c>
      <c r="I463" t="inlineStr">
        <is>
          <t>Estado de conservacion: Sin Circular
Referencia de catalogo: KM# 1
Material: Aluminio
Estado no reconocido internacionalmente ubicado entre Moldavia y Ucrania.
Emite sus propios billetes y monedas desde 1994.</t>
        </is>
      </c>
      <c r="J463" s="31">
        <f>IF(INDIRECT(ADDRESS(ROW() + (0),COLUMN() + (1)))="Agregar cuotas", IF(("16%")="", "-", "16%"), IF(INDIRECT(ADDRESS(ROW() + (0),COLUMN() + (1)))="No agregar cuotas", IF(("16%")="", "-", "16%"), "-"))</f>
        <v/>
      </c>
      <c r="K463" s="0" t="inlineStr">
        <is>
          <t>No agregar cuotas</t>
        </is>
      </c>
      <c r="L463" s="31">
        <f>IF(INDIRECT(ADDRESS(ROW() + (0),COLUMN() + (-1)))="Agregar cuotas", IF(("13.4%")="", "Sin costo", "13.4%"), IF(INDIRECT(ADDRESS(ROW() + (0),COLUMN() + (-1)))="No agregar cuotas", IF(("")="", "Sin costo", ""), "-"))</f>
        <v/>
      </c>
      <c r="M463" s="0" t="inlineStr">
        <is>
          <t>Mercado Envíos</t>
        </is>
      </c>
      <c r="N463" s="0" t="inlineStr">
        <is>
          <t>A cargo del comprador</t>
        </is>
      </c>
      <c r="O463" s="0" t="inlineStr">
        <is>
          <t>Acepto</t>
        </is>
      </c>
      <c r="P463" s="47" t="inlineStr">
        <is>
          <t>Sin garantía</t>
        </is>
      </c>
      <c r="R463" s="0" t="inlineStr">
        <is>
          <t>Seleccionar</t>
        </is>
      </c>
      <c r="S463" s="0" t="inlineStr">
        <is>
          <t>No ofrezco</t>
        </is>
      </c>
      <c r="T463" t="n">
        <v>2000</v>
      </c>
      <c r="U463" s="0" t="inlineStr">
        <is>
          <t>Rusia</t>
        </is>
      </c>
      <c r="X463" s="0" t="inlineStr">
        <is>
          <t>Níquel</t>
        </is>
      </c>
      <c r="Z463" t="inlineStr">
        <is>
          <t>1 Kopeck</t>
        </is>
      </c>
      <c r="AA463" s="0" t="inlineStr">
        <is>
          <t>Rublo</t>
        </is>
      </c>
      <c r="AB4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3" s="53">
        <f>IF(OR(TRIM(INDIRECT("B"&amp;ROW())) &lt;&gt; "",TRIM(INDIRECT("A"&amp;ROW())) &lt;&gt; ""),AND(TRIM(INDIRECT("A"&amp;ROW())) &lt;&gt; "",TRIM(INDIRECT("D"&amp;ROW())) = "nuevo"),"")</f>
        <v/>
      </c>
    </row>
    <row r="464" ht="27.5" customHeight="1" s="62">
      <c r="B464" t="inlineStr">
        <is>
          <t>Moneda Transnistria 1 Kopeck 2000</t>
        </is>
      </c>
      <c r="C464" s="0">
        <f>LEN(INDIRECT(ADDRESS(ROW() + (0),COLUMN() + (-1))))</f>
        <v/>
      </c>
      <c r="D464" s="0" t="inlineStr">
        <is>
          <t>Usado</t>
        </is>
      </c>
      <c r="E464" s="38" t="inlineStr">
        <is>
          <t>https://numismaticapopper.com/images/952A.jpeg,https://numismaticapopper.com/images/952B.jpeg</t>
        </is>
      </c>
      <c r="F464" t="inlineStr">
        <is>
          <t>952</t>
        </is>
      </c>
      <c r="G464" s="40" t="n">
        <v>1</v>
      </c>
      <c r="H464" t="n">
        <v>9000</v>
      </c>
      <c r="I464" t="inlineStr">
        <is>
          <t>Estado de conservacion: Sin Circular
Referencia de catalogo: KM# 1
Material: Aluminio
Estado no reconocido internacionalmente ubicado entre Moldavia y Ucrania.
Emite sus propios billetes y monedas desde 1994.</t>
        </is>
      </c>
      <c r="J464" s="31">
        <f>IF(INDIRECT(ADDRESS(ROW() + (0),COLUMN() + (1)))="Agregar cuotas", IF(("16%")="", "-", "16%"), IF(INDIRECT(ADDRESS(ROW() + (0),COLUMN() + (1)))="No agregar cuotas", IF(("16%")="", "-", "16%"), "-"))</f>
        <v/>
      </c>
      <c r="K464" s="0" t="inlineStr">
        <is>
          <t>No agregar cuotas</t>
        </is>
      </c>
      <c r="L464" s="31">
        <f>IF(INDIRECT(ADDRESS(ROW() + (0),COLUMN() + (-1)))="Agregar cuotas", IF(("13.4%")="", "Sin costo", "13.4%"), IF(INDIRECT(ADDRESS(ROW() + (0),COLUMN() + (-1)))="No agregar cuotas", IF(("")="", "Sin costo", ""), "-"))</f>
        <v/>
      </c>
      <c r="M464" s="0" t="inlineStr">
        <is>
          <t>Mercado Envíos</t>
        </is>
      </c>
      <c r="N464" s="0" t="inlineStr">
        <is>
          <t>A cargo del comprador</t>
        </is>
      </c>
      <c r="O464" s="0" t="inlineStr">
        <is>
          <t>Acepto</t>
        </is>
      </c>
      <c r="P464" s="47" t="inlineStr">
        <is>
          <t>Sin garantía</t>
        </is>
      </c>
      <c r="R464" s="0" t="inlineStr">
        <is>
          <t>Seleccionar</t>
        </is>
      </c>
      <c r="S464" s="0" t="inlineStr">
        <is>
          <t>No ofrezco</t>
        </is>
      </c>
      <c r="T464" t="n">
        <v>2000</v>
      </c>
      <c r="U464" s="0" t="inlineStr">
        <is>
          <t>Rusia</t>
        </is>
      </c>
      <c r="X464" s="0" t="inlineStr">
        <is>
          <t>Níquel</t>
        </is>
      </c>
      <c r="Z464" t="inlineStr">
        <is>
          <t>1 Kopeck</t>
        </is>
      </c>
      <c r="AA464" s="0" t="inlineStr">
        <is>
          <t>Rublo</t>
        </is>
      </c>
      <c r="AB4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4" s="53">
        <f>IF(OR(TRIM(INDIRECT("B"&amp;ROW())) &lt;&gt; "",TRIM(INDIRECT("A"&amp;ROW())) &lt;&gt; ""),AND(TRIM(INDIRECT("A"&amp;ROW())) &lt;&gt; "",TRIM(INDIRECT("D"&amp;ROW())) = "nuevo"),"")</f>
        <v/>
      </c>
    </row>
    <row r="465" ht="27.5" customHeight="1" s="62">
      <c r="B465" t="inlineStr">
        <is>
          <t>Moneda Transnistria 1 Kopeck 2000</t>
        </is>
      </c>
      <c r="C465" s="0">
        <f>LEN(INDIRECT(ADDRESS(ROW() + (0),COLUMN() + (-1))))</f>
        <v/>
      </c>
      <c r="D465" s="0" t="inlineStr">
        <is>
          <t>Usado</t>
        </is>
      </c>
      <c r="E465" s="38" t="inlineStr">
        <is>
          <t>https://numismaticapopper.com/images/953A.jpeg,https://numismaticapopper.com/images/953B.jpeg</t>
        </is>
      </c>
      <c r="F465" t="inlineStr">
        <is>
          <t>953</t>
        </is>
      </c>
      <c r="G465" s="40" t="n">
        <v>1</v>
      </c>
      <c r="H465" t="n">
        <v>9000</v>
      </c>
      <c r="I465" t="inlineStr">
        <is>
          <t>Estado de conservacion: Sin Circular
Referencia de catalogo: KM# 1
Material: Aluminio
Estado no reconocido internacionalmente ubicado entre Moldavia y Ucrania.
Emite sus propios billetes y monedas desde 1994.</t>
        </is>
      </c>
      <c r="J465" s="31">
        <f>IF(INDIRECT(ADDRESS(ROW() + (0),COLUMN() + (1)))="Agregar cuotas", IF(("16%")="", "-", "16%"), IF(INDIRECT(ADDRESS(ROW() + (0),COLUMN() + (1)))="No agregar cuotas", IF(("16%")="", "-", "16%"), "-"))</f>
        <v/>
      </c>
      <c r="K465" s="0" t="inlineStr">
        <is>
          <t>No agregar cuotas</t>
        </is>
      </c>
      <c r="L465" s="31">
        <f>IF(INDIRECT(ADDRESS(ROW() + (0),COLUMN() + (-1)))="Agregar cuotas", IF(("13.4%")="", "Sin costo", "13.4%"), IF(INDIRECT(ADDRESS(ROW() + (0),COLUMN() + (-1)))="No agregar cuotas", IF(("")="", "Sin costo", ""), "-"))</f>
        <v/>
      </c>
      <c r="M465" s="0" t="inlineStr">
        <is>
          <t>Mercado Envíos</t>
        </is>
      </c>
      <c r="N465" s="0" t="inlineStr">
        <is>
          <t>A cargo del comprador</t>
        </is>
      </c>
      <c r="O465" s="0" t="inlineStr">
        <is>
          <t>Acepto</t>
        </is>
      </c>
      <c r="P465" s="47" t="inlineStr">
        <is>
          <t>Sin garantía</t>
        </is>
      </c>
      <c r="R465" s="0" t="inlineStr">
        <is>
          <t>Seleccionar</t>
        </is>
      </c>
      <c r="S465" s="0" t="inlineStr">
        <is>
          <t>No ofrezco</t>
        </is>
      </c>
      <c r="T465" t="n">
        <v>2000</v>
      </c>
      <c r="U465" s="0" t="inlineStr">
        <is>
          <t>Rusia</t>
        </is>
      </c>
      <c r="X465" s="0" t="inlineStr">
        <is>
          <t>Níquel</t>
        </is>
      </c>
      <c r="Z465" t="inlineStr">
        <is>
          <t>1 Kopeck</t>
        </is>
      </c>
      <c r="AA465" s="0" t="inlineStr">
        <is>
          <t>Rublo</t>
        </is>
      </c>
      <c r="AB4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5" s="53">
        <f>IF(OR(TRIM(INDIRECT("B"&amp;ROW())) &lt;&gt; "",TRIM(INDIRECT("A"&amp;ROW())) &lt;&gt; ""),AND(TRIM(INDIRECT("A"&amp;ROW())) &lt;&gt; "",TRIM(INDIRECT("D"&amp;ROW())) = "nuevo"),"")</f>
        <v/>
      </c>
    </row>
    <row r="466" ht="27.5" customHeight="1" s="62">
      <c r="B466" t="inlineStr">
        <is>
          <t>Moneda Yugoslavia 50 Para 1953</t>
        </is>
      </c>
      <c r="C466" s="0">
        <f>LEN(INDIRECT(ADDRESS(ROW() + (0),COLUMN() + (-1))))</f>
        <v/>
      </c>
      <c r="D466" s="0" t="inlineStr">
        <is>
          <t>Usado</t>
        </is>
      </c>
      <c r="E466" s="38" t="inlineStr">
        <is>
          <t>https://numismaticapopper.com/images/955A.jpeg,https://numismaticapopper.com/images/955B.jpeg</t>
        </is>
      </c>
      <c r="F466" t="inlineStr">
        <is>
          <t>955</t>
        </is>
      </c>
      <c r="G466" s="40" t="n">
        <v>1</v>
      </c>
      <c r="H466" t="n">
        <v>8000</v>
      </c>
      <c r="I466" t="inlineStr">
        <is>
          <t>Estado de conservacion: Muy Buena -
Referencia de catalogo: KM# 29
Material: Aluminio
Acuñación con el escudo de armas de la FNRJ de Yugoslavia.</t>
        </is>
      </c>
      <c r="J466" s="31">
        <f>IF(INDIRECT(ADDRESS(ROW() + (0),COLUMN() + (1)))="Agregar cuotas", IF(("16%")="", "-", "16%"), IF(INDIRECT(ADDRESS(ROW() + (0),COLUMN() + (1)))="No agregar cuotas", IF(("16%")="", "-", "16%"), "-"))</f>
        <v/>
      </c>
      <c r="K466" s="0" t="inlineStr">
        <is>
          <t>No agregar cuotas</t>
        </is>
      </c>
      <c r="L466" s="31">
        <f>IF(INDIRECT(ADDRESS(ROW() + (0),COLUMN() + (-1)))="Agregar cuotas", IF(("13.4%")="", "Sin costo", "13.4%"), IF(INDIRECT(ADDRESS(ROW() + (0),COLUMN() + (-1)))="No agregar cuotas", IF(("")="", "Sin costo", ""), "-"))</f>
        <v/>
      </c>
      <c r="M466" s="0" t="inlineStr">
        <is>
          <t>Mercado Envíos</t>
        </is>
      </c>
      <c r="N466" s="0" t="inlineStr">
        <is>
          <t>A cargo del comprador</t>
        </is>
      </c>
      <c r="O466" s="0" t="inlineStr">
        <is>
          <t>Acepto</t>
        </is>
      </c>
      <c r="P466" s="47" t="inlineStr">
        <is>
          <t>Sin garantía</t>
        </is>
      </c>
      <c r="R466" s="0" t="inlineStr">
        <is>
          <t>Seleccionar</t>
        </is>
      </c>
      <c r="S466" s="0" t="inlineStr">
        <is>
          <t>No ofrezco</t>
        </is>
      </c>
      <c r="T466" t="n">
        <v>1953</v>
      </c>
      <c r="U466" s="0" t="inlineStr">
        <is>
          <t>Austria</t>
        </is>
      </c>
      <c r="X466" s="0" t="inlineStr">
        <is>
          <t>Níquel</t>
        </is>
      </c>
      <c r="Z466" t="inlineStr">
        <is>
          <t>50 Para</t>
        </is>
      </c>
      <c r="AA466" s="0" t="inlineStr">
        <is>
          <t>Euro</t>
        </is>
      </c>
      <c r="AB4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6" s="53">
        <f>IF(OR(TRIM(INDIRECT("B"&amp;ROW())) &lt;&gt; "",TRIM(INDIRECT("A"&amp;ROW())) &lt;&gt; ""),AND(TRIM(INDIRECT("A"&amp;ROW())) &lt;&gt; "",TRIM(INDIRECT("D"&amp;ROW())) = "nuevo"),"")</f>
        <v/>
      </c>
    </row>
    <row r="467" ht="27.5" customHeight="1" s="62">
      <c r="B467" t="inlineStr">
        <is>
          <t>Moneda Rusia 10 Rublos 2015</t>
        </is>
      </c>
      <c r="C467" s="0">
        <f>LEN(INDIRECT(ADDRESS(ROW() + (0),COLUMN() + (-1))))</f>
        <v/>
      </c>
      <c r="D467" s="0" t="inlineStr">
        <is>
          <t>Usado</t>
        </is>
      </c>
      <c r="E467" s="38" t="inlineStr">
        <is>
          <t>https://numismaticapopper.com/images/959A.jpeg,https://numismaticapopper.com/images/959B.jpeg</t>
        </is>
      </c>
      <c r="F467" t="inlineStr">
        <is>
          <t>959</t>
        </is>
      </c>
      <c r="G467" s="40" t="n">
        <v>1</v>
      </c>
      <c r="H467" t="n">
        <v>8000</v>
      </c>
      <c r="I467" t="inlineStr">
        <is>
          <t>Estado de conservacion: Muy Buena
Referencia de catalogo: KM# 998
Material: Acero chapado en latón
Emisión del Banco Central de Rusia con el águila bicéfala en el anverso.</t>
        </is>
      </c>
      <c r="J467" s="31">
        <f>IF(INDIRECT(ADDRESS(ROW() + (0),COLUMN() + (1)))="Agregar cuotas", IF(("16%")="", "-", "16%"), IF(INDIRECT(ADDRESS(ROW() + (0),COLUMN() + (1)))="No agregar cuotas", IF(("16%")="", "-", "16%"), "-"))</f>
        <v/>
      </c>
      <c r="K467" s="0" t="inlineStr">
        <is>
          <t>No agregar cuotas</t>
        </is>
      </c>
      <c r="L467" s="31">
        <f>IF(INDIRECT(ADDRESS(ROW() + (0),COLUMN() + (-1)))="Agregar cuotas", IF(("13.4%")="", "Sin costo", "13.4%"), IF(INDIRECT(ADDRESS(ROW() + (0),COLUMN() + (-1)))="No agregar cuotas", IF(("")="", "Sin costo", ""), "-"))</f>
        <v/>
      </c>
      <c r="M467" s="0" t="inlineStr">
        <is>
          <t>Mercado Envíos</t>
        </is>
      </c>
      <c r="N467" s="0" t="inlineStr">
        <is>
          <t>A cargo del comprador</t>
        </is>
      </c>
      <c r="O467" s="0" t="inlineStr">
        <is>
          <t>Acepto</t>
        </is>
      </c>
      <c r="P467" s="47" t="inlineStr">
        <is>
          <t>Sin garantía</t>
        </is>
      </c>
      <c r="R467" s="0" t="inlineStr">
        <is>
          <t>Seleccionar</t>
        </is>
      </c>
      <c r="S467" s="0" t="inlineStr">
        <is>
          <t>No ofrezco</t>
        </is>
      </c>
      <c r="T467" t="n">
        <v>2015</v>
      </c>
      <c r="U467" s="0" t="inlineStr">
        <is>
          <t>Rusia</t>
        </is>
      </c>
      <c r="X467" s="0" t="inlineStr">
        <is>
          <t>Bronce</t>
        </is>
      </c>
      <c r="Z467" t="inlineStr">
        <is>
          <t>10 Rublos</t>
        </is>
      </c>
      <c r="AA467" s="0" t="inlineStr">
        <is>
          <t>Rublo</t>
        </is>
      </c>
      <c r="AB4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7" s="53">
        <f>IF(OR(TRIM(INDIRECT("B"&amp;ROW())) &lt;&gt; "",TRIM(INDIRECT("A"&amp;ROW())) &lt;&gt; ""),AND(TRIM(INDIRECT("A"&amp;ROW())) &lt;&gt; "",TRIM(INDIRECT("D"&amp;ROW())) = "nuevo"),"")</f>
        <v/>
      </c>
    </row>
    <row r="468" ht="27.5" customHeight="1" s="62">
      <c r="B468" t="inlineStr">
        <is>
          <t>Moneda Italia 10 Centesimi 1923</t>
        </is>
      </c>
      <c r="C468" s="0">
        <f>LEN(INDIRECT(ADDRESS(ROW() + (0),COLUMN() + (-1))))</f>
        <v/>
      </c>
      <c r="D468" s="0" t="inlineStr">
        <is>
          <t>Usado</t>
        </is>
      </c>
      <c r="E468" s="38" t="inlineStr">
        <is>
          <t>https://numismaticapopper.com/images/963A.jpeg,https://numismaticapopper.com/images/963B.jpeg</t>
        </is>
      </c>
      <c r="F468" t="inlineStr">
        <is>
          <t>963</t>
        </is>
      </c>
      <c r="G468" s="40" t="n">
        <v>1</v>
      </c>
      <c r="H468" t="n">
        <v>7000</v>
      </c>
      <c r="I468" t="inlineStr">
        <is>
          <t>Estado de conservacion: Muy Buena
Referencia de catalogo: KM# 60
Material: Bronce
Reinado de Víctor Manuel III. Tipo Ape (Abeja).</t>
        </is>
      </c>
      <c r="J468" s="31">
        <f>IF(INDIRECT(ADDRESS(ROW() + (0),COLUMN() + (1)))="Agregar cuotas", IF(("16%")="", "-", "16%"), IF(INDIRECT(ADDRESS(ROW() + (0),COLUMN() + (1)))="No agregar cuotas", IF(("16%")="", "-", "16%"), "-"))</f>
        <v/>
      </c>
      <c r="K468" s="0" t="inlineStr">
        <is>
          <t>No agregar cuotas</t>
        </is>
      </c>
      <c r="L468" s="31">
        <f>IF(INDIRECT(ADDRESS(ROW() + (0),COLUMN() + (-1)))="Agregar cuotas", IF(("13.4%")="", "Sin costo", "13.4%"), IF(INDIRECT(ADDRESS(ROW() + (0),COLUMN() + (-1)))="No agregar cuotas", IF(("")="", "Sin costo", ""), "-"))</f>
        <v/>
      </c>
      <c r="M468" s="0" t="inlineStr">
        <is>
          <t>Mercado Envíos</t>
        </is>
      </c>
      <c r="N468" s="0" t="inlineStr">
        <is>
          <t>A cargo del comprador</t>
        </is>
      </c>
      <c r="O468" s="0" t="inlineStr">
        <is>
          <t>Acepto</t>
        </is>
      </c>
      <c r="P468" s="47" t="inlineStr">
        <is>
          <t>Sin garantía</t>
        </is>
      </c>
      <c r="R468" s="0" t="inlineStr">
        <is>
          <t>Seleccionar</t>
        </is>
      </c>
      <c r="S468" s="0" t="inlineStr">
        <is>
          <t>No ofrezco</t>
        </is>
      </c>
      <c r="T468" t="n">
        <v>1923</v>
      </c>
      <c r="U468" s="0" t="inlineStr">
        <is>
          <t>Italia</t>
        </is>
      </c>
      <c r="X468" s="0" t="inlineStr">
        <is>
          <t>Bronce</t>
        </is>
      </c>
      <c r="Z468" t="inlineStr">
        <is>
          <t>10 Centesimi</t>
        </is>
      </c>
      <c r="AA468" s="0" t="inlineStr">
        <is>
          <t>Euro</t>
        </is>
      </c>
      <c r="AB4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8" s="53">
        <f>IF(OR(TRIM(INDIRECT("B"&amp;ROW())) &lt;&gt; "",TRIM(INDIRECT("A"&amp;ROW())) &lt;&gt; ""),AND(TRIM(INDIRECT("A"&amp;ROW())) &lt;&gt; "",TRIM(INDIRECT("D"&amp;ROW())) = "nuevo"),"")</f>
        <v/>
      </c>
    </row>
    <row r="469" ht="27.5" customHeight="1" s="62">
      <c r="B469" t="inlineStr">
        <is>
          <t>Moneda China 1 Jiao 1992</t>
        </is>
      </c>
      <c r="C469" s="0">
        <f>LEN(INDIRECT(ADDRESS(ROW() + (0),COLUMN() + (-1))))</f>
        <v/>
      </c>
      <c r="D469" s="0" t="inlineStr">
        <is>
          <t>Usado</t>
        </is>
      </c>
      <c r="E469" s="38" t="inlineStr">
        <is>
          <t>https://numismaticapopper.com/images/967A.jpeg,https://numismaticapopper.com/images/967B.jpeg</t>
        </is>
      </c>
      <c r="F469" t="inlineStr">
        <is>
          <t>967</t>
        </is>
      </c>
      <c r="G469" s="40" t="n">
        <v>1</v>
      </c>
      <c r="H469" t="n">
        <v>8000</v>
      </c>
      <c r="I469" t="inlineStr">
        <is>
          <t>Estado de conservacion: Excelente
Referencia de catalogo: KM# 335
Material: Aluminio
Emisión de la República Popular China. Flor de Peonía.</t>
        </is>
      </c>
      <c r="J469" s="31">
        <f>IF(INDIRECT(ADDRESS(ROW() + (0),COLUMN() + (1)))="Agregar cuotas", IF(("16%")="", "-", "16%"), IF(INDIRECT(ADDRESS(ROW() + (0),COLUMN() + (1)))="No agregar cuotas", IF(("16%")="", "-", "16%"), "-"))</f>
        <v/>
      </c>
      <c r="K469" s="0" t="inlineStr">
        <is>
          <t>No agregar cuotas</t>
        </is>
      </c>
      <c r="L469" s="31">
        <f>IF(INDIRECT(ADDRESS(ROW() + (0),COLUMN() + (-1)))="Agregar cuotas", IF(("13.4%")="", "Sin costo", "13.4%"), IF(INDIRECT(ADDRESS(ROW() + (0),COLUMN() + (-1)))="No agregar cuotas", IF(("")="", "Sin costo", ""), "-"))</f>
        <v/>
      </c>
      <c r="M469" s="0" t="inlineStr">
        <is>
          <t>Mercado Envíos</t>
        </is>
      </c>
      <c r="N469" s="0" t="inlineStr">
        <is>
          <t>A cargo del comprador</t>
        </is>
      </c>
      <c r="O469" s="0" t="inlineStr">
        <is>
          <t>Acepto</t>
        </is>
      </c>
      <c r="P469" s="47" t="inlineStr">
        <is>
          <t>Sin garantía</t>
        </is>
      </c>
      <c r="R469" s="0" t="inlineStr">
        <is>
          <t>Seleccionar</t>
        </is>
      </c>
      <c r="S469" s="0" t="inlineStr">
        <is>
          <t>No ofrezco</t>
        </is>
      </c>
      <c r="T469" t="n">
        <v>1992</v>
      </c>
      <c r="U469" s="0" t="inlineStr">
        <is>
          <t>China</t>
        </is>
      </c>
      <c r="X469" s="0" t="inlineStr">
        <is>
          <t>Níquel</t>
        </is>
      </c>
      <c r="Z469" t="inlineStr">
        <is>
          <t>1 Jiao</t>
        </is>
      </c>
      <c r="AA469" s="0" t="inlineStr">
        <is>
          <t>Yuan</t>
        </is>
      </c>
      <c r="AB4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69" s="53">
        <f>IF(OR(TRIM(INDIRECT("B"&amp;ROW())) &lt;&gt; "",TRIM(INDIRECT("A"&amp;ROW())) &lt;&gt; ""),AND(TRIM(INDIRECT("A"&amp;ROW())) &lt;&gt; "",TRIM(INDIRECT("D"&amp;ROW())) = "nuevo"),"")</f>
        <v/>
      </c>
    </row>
    <row r="470" ht="27.5" customHeight="1" s="62">
      <c r="B470" t="inlineStr">
        <is>
          <t>Moneda Japón 1 Yen 1982</t>
        </is>
      </c>
      <c r="C470" s="0">
        <f>LEN(INDIRECT(ADDRESS(ROW() + (0),COLUMN() + (-1))))</f>
        <v/>
      </c>
      <c r="D470" s="0" t="inlineStr">
        <is>
          <t>Usado</t>
        </is>
      </c>
      <c r="E470" s="38" t="inlineStr">
        <is>
          <t>https://numismaticapopper.com/images/968A.jpeg,https://numismaticapopper.com/images/968B.jpeg</t>
        </is>
      </c>
      <c r="F470" t="inlineStr">
        <is>
          <t>968</t>
        </is>
      </c>
      <c r="G470" s="40" t="n">
        <v>1</v>
      </c>
      <c r="H470" t="n">
        <v>7000</v>
      </c>
      <c r="I470" t="inlineStr">
        <is>
          <t>Estado de conservacion: Excelente
Referencia de catalogo: KM# 74
Material: Aluminio
Era Shōwa (Año 57).</t>
        </is>
      </c>
      <c r="J470" s="31">
        <f>IF(INDIRECT(ADDRESS(ROW() + (0),COLUMN() + (1)))="Agregar cuotas", IF(("16%")="", "-", "16%"), IF(INDIRECT(ADDRESS(ROW() + (0),COLUMN() + (1)))="No agregar cuotas", IF(("16%")="", "-", "16%"), "-"))</f>
        <v/>
      </c>
      <c r="K470" s="0" t="inlineStr">
        <is>
          <t>No agregar cuotas</t>
        </is>
      </c>
      <c r="L470" s="31">
        <f>IF(INDIRECT(ADDRESS(ROW() + (0),COLUMN() + (-1)))="Agregar cuotas", IF(("13.4%")="", "Sin costo", "13.4%"), IF(INDIRECT(ADDRESS(ROW() + (0),COLUMN() + (-1)))="No agregar cuotas", IF(("")="", "Sin costo", ""), "-"))</f>
        <v/>
      </c>
      <c r="M470" s="0" t="inlineStr">
        <is>
          <t>Mercado Envíos</t>
        </is>
      </c>
      <c r="N470" s="0" t="inlineStr">
        <is>
          <t>A cargo del comprador</t>
        </is>
      </c>
      <c r="O470" s="0" t="inlineStr">
        <is>
          <t>Acepto</t>
        </is>
      </c>
      <c r="P470" s="47" t="inlineStr">
        <is>
          <t>Sin garantía</t>
        </is>
      </c>
      <c r="R470" s="0" t="inlineStr">
        <is>
          <t>Seleccionar</t>
        </is>
      </c>
      <c r="S470" s="0" t="inlineStr">
        <is>
          <t>No ofrezco</t>
        </is>
      </c>
      <c r="T470" t="n">
        <v>1982</v>
      </c>
      <c r="U470" s="0" t="inlineStr">
        <is>
          <t>Japón</t>
        </is>
      </c>
      <c r="X470" s="0" t="inlineStr">
        <is>
          <t>Níquel</t>
        </is>
      </c>
      <c r="Z470" t="inlineStr">
        <is>
          <t>1 Yen</t>
        </is>
      </c>
      <c r="AA470" s="0" t="inlineStr">
        <is>
          <t>Yen</t>
        </is>
      </c>
      <c r="AB4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0" s="53">
        <f>IF(OR(TRIM(INDIRECT("B"&amp;ROW())) &lt;&gt; "",TRIM(INDIRECT("A"&amp;ROW())) &lt;&gt; ""),AND(TRIM(INDIRECT("A"&amp;ROW())) &lt;&gt; "",TRIM(INDIRECT("D"&amp;ROW())) = "nuevo"),"")</f>
        <v/>
      </c>
    </row>
    <row r="471" ht="27.5" customHeight="1" s="62">
      <c r="B471" t="inlineStr">
        <is>
          <t>Moneda China 1 Jiao 2009</t>
        </is>
      </c>
      <c r="C471" s="0">
        <f>LEN(INDIRECT(ADDRESS(ROW() + (0),COLUMN() + (-1))))</f>
        <v/>
      </c>
      <c r="D471" s="0" t="inlineStr">
        <is>
          <t>Usado</t>
        </is>
      </c>
      <c r="E471" s="38" t="inlineStr">
        <is>
          <t>https://numismaticapopper.com/images/970A.jpeg,https://numismaticapopper.com/images/970B.jpeg</t>
        </is>
      </c>
      <c r="F471" t="inlineStr">
        <is>
          <t>970</t>
        </is>
      </c>
      <c r="G471" s="40" t="n">
        <v>1</v>
      </c>
      <c r="H471" t="n">
        <v>7000</v>
      </c>
      <c r="I471" t="inlineStr">
        <is>
          <t>Estado de conservacion: Excelente
Referencia de catalogo: KM# 1210b
Material: Acero niquelado
Emisión de la República Popular China. Flor de Orquídea (magnética).</t>
        </is>
      </c>
      <c r="J471" s="31">
        <f>IF(INDIRECT(ADDRESS(ROW() + (0),COLUMN() + (1)))="Agregar cuotas", IF(("16%")="", "-", "16%"), IF(INDIRECT(ADDRESS(ROW() + (0),COLUMN() + (1)))="No agregar cuotas", IF(("16%")="", "-", "16%"), "-"))</f>
        <v/>
      </c>
      <c r="K471" s="0" t="inlineStr">
        <is>
          <t>No agregar cuotas</t>
        </is>
      </c>
      <c r="L471" s="31">
        <f>IF(INDIRECT(ADDRESS(ROW() + (0),COLUMN() + (-1)))="Agregar cuotas", IF(("13.4%")="", "Sin costo", "13.4%"), IF(INDIRECT(ADDRESS(ROW() + (0),COLUMN() + (-1)))="No agregar cuotas", IF(("")="", "Sin costo", ""), "-"))</f>
        <v/>
      </c>
      <c r="M471" s="0" t="inlineStr">
        <is>
          <t>Mercado Envíos</t>
        </is>
      </c>
      <c r="N471" s="0" t="inlineStr">
        <is>
          <t>A cargo del comprador</t>
        </is>
      </c>
      <c r="O471" s="0" t="inlineStr">
        <is>
          <t>Acepto</t>
        </is>
      </c>
      <c r="P471" s="47" t="inlineStr">
        <is>
          <t>Sin garantía</t>
        </is>
      </c>
      <c r="R471" s="0" t="inlineStr">
        <is>
          <t>Seleccionar</t>
        </is>
      </c>
      <c r="S471" s="0" t="inlineStr">
        <is>
          <t>No ofrezco</t>
        </is>
      </c>
      <c r="T471" t="n">
        <v>2009</v>
      </c>
      <c r="U471" s="0" t="inlineStr">
        <is>
          <t>China</t>
        </is>
      </c>
      <c r="X471" s="0" t="inlineStr">
        <is>
          <t>Níquel</t>
        </is>
      </c>
      <c r="Z471" t="inlineStr">
        <is>
          <t>1 Jiao</t>
        </is>
      </c>
      <c r="AA471" s="0" t="inlineStr">
        <is>
          <t>Yuan</t>
        </is>
      </c>
      <c r="AB4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1" s="53">
        <f>IF(OR(TRIM(INDIRECT("B"&amp;ROW())) &lt;&gt; "",TRIM(INDIRECT("A"&amp;ROW())) &lt;&gt; ""),AND(TRIM(INDIRECT("A"&amp;ROW())) &lt;&gt; "",TRIM(INDIRECT("D"&amp;ROW())) = "nuevo"),"")</f>
        <v/>
      </c>
    </row>
    <row r="472" ht="27.5" customHeight="1" s="62">
      <c r="B472" t="inlineStr">
        <is>
          <t>Moneda Burundi 10 Francos 2011</t>
        </is>
      </c>
      <c r="C472" s="0">
        <f>LEN(INDIRECT(ADDRESS(ROW() + (0),COLUMN() + (-1))))</f>
        <v/>
      </c>
      <c r="D472" s="0" t="inlineStr">
        <is>
          <t>Usado</t>
        </is>
      </c>
      <c r="E472" s="38" t="inlineStr">
        <is>
          <t>https://numismaticapopper.com/images/971A.jpeg,https://numismaticapopper.com/images/971B.jpeg</t>
        </is>
      </c>
      <c r="F472" t="inlineStr">
        <is>
          <t>971</t>
        </is>
      </c>
      <c r="G472" s="40" t="n">
        <v>1</v>
      </c>
      <c r="H472" t="n">
        <v>12000</v>
      </c>
      <c r="I472" t="inlineStr">
        <is>
          <t>Estado de conservacion: Sin Circular
Referencia de catalogo: KM# 21
Material: Acero niquelado
Año único.</t>
        </is>
      </c>
      <c r="J472" s="31">
        <f>IF(INDIRECT(ADDRESS(ROW() + (0),COLUMN() + (1)))="Agregar cuotas", IF(("16%")="", "-", "16%"), IF(INDIRECT(ADDRESS(ROW() + (0),COLUMN() + (1)))="No agregar cuotas", IF(("16%")="", "-", "16%"), "-"))</f>
        <v/>
      </c>
      <c r="K472" s="0" t="inlineStr">
        <is>
          <t>No agregar cuotas</t>
        </is>
      </c>
      <c r="L472" s="31">
        <f>IF(INDIRECT(ADDRESS(ROW() + (0),COLUMN() + (-1)))="Agregar cuotas", IF(("13.4%")="", "Sin costo", "13.4%"), IF(INDIRECT(ADDRESS(ROW() + (0),COLUMN() + (-1)))="No agregar cuotas", IF(("")="", "Sin costo", ""), "-"))</f>
        <v/>
      </c>
      <c r="M472" s="0" t="inlineStr">
        <is>
          <t>Mercado Envíos</t>
        </is>
      </c>
      <c r="N472" s="0" t="inlineStr">
        <is>
          <t>A cargo del comprador</t>
        </is>
      </c>
      <c r="O472" s="0" t="inlineStr">
        <is>
          <t>Acepto</t>
        </is>
      </c>
      <c r="P472" s="47" t="inlineStr">
        <is>
          <t>Sin garantía</t>
        </is>
      </c>
      <c r="R472" s="0" t="inlineStr">
        <is>
          <t>Seleccionar</t>
        </is>
      </c>
      <c r="S472" s="0" t="inlineStr">
        <is>
          <t>No ofrezco</t>
        </is>
      </c>
      <c r="T472" t="n">
        <v>2011</v>
      </c>
      <c r="U472" s="0" t="inlineStr">
        <is>
          <t>Bélgica</t>
        </is>
      </c>
      <c r="X472" s="0" t="inlineStr">
        <is>
          <t>Níquel</t>
        </is>
      </c>
      <c r="Z472" t="inlineStr">
        <is>
          <t>10 Francos</t>
        </is>
      </c>
      <c r="AA472" s="0" t="inlineStr">
        <is>
          <t>Euro</t>
        </is>
      </c>
      <c r="AB4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2" s="53">
        <f>IF(OR(TRIM(INDIRECT("B"&amp;ROW())) &lt;&gt; "",TRIM(INDIRECT("A"&amp;ROW())) &lt;&gt; ""),AND(TRIM(INDIRECT("A"&amp;ROW())) &lt;&gt; "",TRIM(INDIRECT("D"&amp;ROW())) = "nuevo"),"")</f>
        <v/>
      </c>
    </row>
    <row r="473" ht="27.5" customHeight="1" s="62">
      <c r="B473" t="inlineStr">
        <is>
          <t>Moneda Yugoslavia Blister 1 y 10 Dinar FAO 1976</t>
        </is>
      </c>
      <c r="C473" s="0">
        <f>LEN(INDIRECT(ADDRESS(ROW() + (0),COLUMN() + (-1))))</f>
        <v/>
      </c>
      <c r="D473" s="0" t="inlineStr">
        <is>
          <t>Usado</t>
        </is>
      </c>
      <c r="E473" s="38" t="inlineStr">
        <is>
          <t>https://numismaticapopper.com/images/973A.jpeg,https://numismaticapopper.com/images/973B.jpeg,https://numismaticapopper.com/images/973C.jpeg,https://numismaticapopper.com/images/973D.jpeg</t>
        </is>
      </c>
      <c r="F473" t="inlineStr">
        <is>
          <t>973</t>
        </is>
      </c>
      <c r="G473" s="40" t="n">
        <v>1</v>
      </c>
      <c r="H473" t="n">
        <v>29000</v>
      </c>
      <c r="I473" t="inlineStr">
        <is>
          <t>Estado de conservacion: Sin Circular
Referencia de catalogo: KM# 61 / 63
Material: Cuproníquel
Tirada: 500000
Conmemora: FAO (Organización de las Naciones Unidas para la Alimentación y la Agricultura)
Emisión conmemorativa de la FAO. De cada ejemplar se hicieron tan solo 500.000 unidades. Blister FAO.</t>
        </is>
      </c>
      <c r="J473" s="31">
        <f>IF(INDIRECT(ADDRESS(ROW() + (0),COLUMN() + (1)))="Agregar cuotas", IF(("16%")="", "-", "16%"), IF(INDIRECT(ADDRESS(ROW() + (0),COLUMN() + (1)))="No agregar cuotas", IF(("16%")="", "-", "16%"), "-"))</f>
        <v/>
      </c>
      <c r="K473" s="0" t="inlineStr">
        <is>
          <t>No agregar cuotas</t>
        </is>
      </c>
      <c r="L473" s="31">
        <f>IF(INDIRECT(ADDRESS(ROW() + (0),COLUMN() + (-1)))="Agregar cuotas", IF(("13.4%")="", "Sin costo", "13.4%"), IF(INDIRECT(ADDRESS(ROW() + (0),COLUMN() + (-1)))="No agregar cuotas", IF(("")="", "Sin costo", ""), "-"))</f>
        <v/>
      </c>
      <c r="M473" s="0" t="inlineStr">
        <is>
          <t>Mercado Envíos</t>
        </is>
      </c>
      <c r="N473" s="0" t="inlineStr">
        <is>
          <t>A cargo del comprador</t>
        </is>
      </c>
      <c r="O473" s="0" t="inlineStr">
        <is>
          <t>Acepto</t>
        </is>
      </c>
      <c r="P473" s="47" t="inlineStr">
        <is>
          <t>Sin garantía</t>
        </is>
      </c>
      <c r="R473" s="0" t="inlineStr">
        <is>
          <t>Seleccionar</t>
        </is>
      </c>
      <c r="S473" s="0" t="inlineStr">
        <is>
          <t>No ofrezco</t>
        </is>
      </c>
      <c r="T473" t="n">
        <v>1976</v>
      </c>
      <c r="U473" s="0" t="inlineStr">
        <is>
          <t>Austria</t>
        </is>
      </c>
      <c r="X473" s="0" t="inlineStr">
        <is>
          <t>Níquel</t>
        </is>
      </c>
      <c r="Y473" t="inlineStr">
        <is>
          <t>FAO (Organización de las Naciones Unidas para la Alimentación y la Agricultura)</t>
        </is>
      </c>
      <c r="Z473" t="inlineStr">
        <is>
          <t>Blister 1 y 10 Dinar FAO</t>
        </is>
      </c>
      <c r="AA473" s="0" t="inlineStr">
        <is>
          <t>Euro</t>
        </is>
      </c>
      <c r="AB4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3" s="53">
        <f>IF(OR(TRIM(INDIRECT("B"&amp;ROW())) &lt;&gt; "",TRIM(INDIRECT("A"&amp;ROW())) &lt;&gt; ""),AND(TRIM(INDIRECT("A"&amp;ROW())) &lt;&gt; "",TRIM(INDIRECT("D"&amp;ROW())) = "nuevo"),"")</f>
        <v/>
      </c>
    </row>
    <row r="474" ht="27.5" customHeight="1" s="62">
      <c r="B474" t="inlineStr">
        <is>
          <t>Moneda Argentina 10 Australes 1989</t>
        </is>
      </c>
      <c r="C474" s="0">
        <f>LEN(INDIRECT(ADDRESS(ROW() + (0),COLUMN() + (-1))))</f>
        <v/>
      </c>
      <c r="D474" s="0" t="inlineStr">
        <is>
          <t>Usado</t>
        </is>
      </c>
      <c r="E474" s="38" t="inlineStr">
        <is>
          <t>https://numismaticapopper.com/images/975A.jpeg,https://numismaticapopper.com/images/975B.jpeg</t>
        </is>
      </c>
      <c r="F474" t="inlineStr">
        <is>
          <t>975</t>
        </is>
      </c>
      <c r="G474" s="40" t="n">
        <v>1</v>
      </c>
      <c r="H474" t="n">
        <v>18000</v>
      </c>
      <c r="I474" t="inlineStr">
        <is>
          <t>Estado de conservacion: Sin Circular
Referencia de catalogo: CJ# 378.2
Material: Aluminio
Efigie de la Libertad por Dupuis.</t>
        </is>
      </c>
      <c r="J474" s="31">
        <f>IF(INDIRECT(ADDRESS(ROW() + (0),COLUMN() + (1)))="Agregar cuotas", IF(("16%")="", "-", "16%"), IF(INDIRECT(ADDRESS(ROW() + (0),COLUMN() + (1)))="No agregar cuotas", IF(("16%")="", "-", "16%"), "-"))</f>
        <v/>
      </c>
      <c r="K474" s="0" t="inlineStr">
        <is>
          <t>No agregar cuotas</t>
        </is>
      </c>
      <c r="L474" s="31">
        <f>IF(INDIRECT(ADDRESS(ROW() + (0),COLUMN() + (-1)))="Agregar cuotas", IF(("13.4%")="", "Sin costo", "13.4%"), IF(INDIRECT(ADDRESS(ROW() + (0),COLUMN() + (-1)))="No agregar cuotas", IF(("")="", "Sin costo", ""), "-"))</f>
        <v/>
      </c>
      <c r="M474" s="0" t="inlineStr">
        <is>
          <t>Mercado Envíos</t>
        </is>
      </c>
      <c r="N474" s="0" t="inlineStr">
        <is>
          <t>A cargo del comprador</t>
        </is>
      </c>
      <c r="O474" s="0" t="inlineStr">
        <is>
          <t>Acepto</t>
        </is>
      </c>
      <c r="P474" s="47" t="inlineStr">
        <is>
          <t>Sin garantía</t>
        </is>
      </c>
      <c r="R474" s="0" t="inlineStr">
        <is>
          <t>Seleccionar</t>
        </is>
      </c>
      <c r="S474" s="0" t="inlineStr">
        <is>
          <t>No ofrezco</t>
        </is>
      </c>
      <c r="T474" t="n">
        <v>1989</v>
      </c>
      <c r="U474" s="0" t="inlineStr">
        <is>
          <t>Argentina</t>
        </is>
      </c>
      <c r="X474" s="0" t="inlineStr">
        <is>
          <t>Níquel</t>
        </is>
      </c>
      <c r="Z474" t="inlineStr">
        <is>
          <t>10 Australes</t>
        </is>
      </c>
      <c r="AA474" s="0" t="inlineStr">
        <is>
          <t>Peso</t>
        </is>
      </c>
      <c r="AB4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4" s="53">
        <f>IF(OR(TRIM(INDIRECT("B"&amp;ROW())) &lt;&gt; "",TRIM(INDIRECT("A"&amp;ROW())) &lt;&gt; ""),AND(TRIM(INDIRECT("A"&amp;ROW())) &lt;&gt; "",TRIM(INDIRECT("D"&amp;ROW())) = "nuevo"),"")</f>
        <v/>
      </c>
    </row>
    <row r="475" ht="27.5" customHeight="1" s="62">
      <c r="B475" t="inlineStr">
        <is>
          <t>Moneda Reino Unido 25 New Pence 1981</t>
        </is>
      </c>
      <c r="C475" s="0">
        <f>LEN(INDIRECT(ADDRESS(ROW() + (0),COLUMN() + (-1))))</f>
        <v/>
      </c>
      <c r="D475" s="0" t="inlineStr">
        <is>
          <t>Usado</t>
        </is>
      </c>
      <c r="E475" s="38" t="inlineStr">
        <is>
          <t>https://numismaticapopper.com/images/982A.jpeg,https://numismaticapopper.com/images/982B.jpeg</t>
        </is>
      </c>
      <c r="F475" t="inlineStr">
        <is>
          <t>982</t>
        </is>
      </c>
      <c r="G475" s="40" t="n">
        <v>1</v>
      </c>
      <c r="H475" t="n">
        <v>24000</v>
      </c>
      <c r="I475" t="inlineStr">
        <is>
          <t>Estado de conservacion: Sin Circular
Referencia de catalogo: KM# 925
Material: Cuproníquel
Tirada: 26773600
Conmemora: Boda Real del Príncipe Carlos y Lady Diana Spencer
En blister original. Conmemora la Boda Real del Príncipe Carlos y Lady Diana Spencer.</t>
        </is>
      </c>
      <c r="J475" s="31">
        <f>IF(INDIRECT(ADDRESS(ROW() + (0),COLUMN() + (1)))="Agregar cuotas", IF(("16%")="", "-", "16%"), IF(INDIRECT(ADDRESS(ROW() + (0),COLUMN() + (1)))="No agregar cuotas", IF(("16%")="", "-", "16%"), "-"))</f>
        <v/>
      </c>
      <c r="K475" s="0" t="inlineStr">
        <is>
          <t>No agregar cuotas</t>
        </is>
      </c>
      <c r="L475" s="31">
        <f>IF(INDIRECT(ADDRESS(ROW() + (0),COLUMN() + (-1)))="Agregar cuotas", IF(("13.4%")="", "Sin costo", "13.4%"), IF(INDIRECT(ADDRESS(ROW() + (0),COLUMN() + (-1)))="No agregar cuotas", IF(("")="", "Sin costo", ""), "-"))</f>
        <v/>
      </c>
      <c r="M475" s="0" t="inlineStr">
        <is>
          <t>Mercado Envíos</t>
        </is>
      </c>
      <c r="N475" s="0" t="inlineStr">
        <is>
          <t>A cargo del comprador</t>
        </is>
      </c>
      <c r="O475" s="0" t="inlineStr">
        <is>
          <t>Acepto</t>
        </is>
      </c>
      <c r="P475" s="47" t="inlineStr">
        <is>
          <t>Sin garantía</t>
        </is>
      </c>
      <c r="R475" s="0" t="inlineStr">
        <is>
          <t>Seleccionar</t>
        </is>
      </c>
      <c r="S475" s="0" t="inlineStr">
        <is>
          <t>No ofrezco</t>
        </is>
      </c>
      <c r="T475" t="n">
        <v>1981</v>
      </c>
      <c r="U475" s="0" t="inlineStr">
        <is>
          <t>Inglaterra</t>
        </is>
      </c>
      <c r="X475" s="0" t="inlineStr">
        <is>
          <t>Níquel</t>
        </is>
      </c>
      <c r="Y475" t="inlineStr">
        <is>
          <t>Boda Real del Príncipe Carlos y Lady Diana Spencer</t>
        </is>
      </c>
      <c r="Z475" t="inlineStr">
        <is>
          <t>25 New Pence</t>
        </is>
      </c>
      <c r="AA475" s="0" t="inlineStr">
        <is>
          <t>Dólar</t>
        </is>
      </c>
      <c r="AB4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5" s="53">
        <f>IF(OR(TRIM(INDIRECT("B"&amp;ROW())) &lt;&gt; "",TRIM(INDIRECT("A"&amp;ROW())) &lt;&gt; ""),AND(TRIM(INDIRECT("A"&amp;ROW())) &lt;&gt; "",TRIM(INDIRECT("D"&amp;ROW())) = "nuevo"),"")</f>
        <v/>
      </c>
    </row>
    <row r="476" ht="27.5" customHeight="1" s="62">
      <c r="B476" t="inlineStr">
        <is>
          <t>Moneda Reino Unido 25 New Pence 1981</t>
        </is>
      </c>
      <c r="C476" s="0">
        <f>LEN(INDIRECT(ADDRESS(ROW() + (0),COLUMN() + (-1))))</f>
        <v/>
      </c>
      <c r="D476" s="0" t="inlineStr">
        <is>
          <t>Usado</t>
        </is>
      </c>
      <c r="E476" s="38" t="inlineStr">
        <is>
          <t>https://numismaticapopper.com/images/983A.jpeg,https://numismaticapopper.com/images/983B.jpeg</t>
        </is>
      </c>
      <c r="F476" t="inlineStr">
        <is>
          <t>983</t>
        </is>
      </c>
      <c r="G476" s="40" t="n">
        <v>1</v>
      </c>
      <c r="H476" t="n">
        <v>24000</v>
      </c>
      <c r="I476" t="inlineStr">
        <is>
          <t>Estado de conservacion: Sin Circular
Referencia de catalogo: KM# 925
Material: Cuproníquel
Tirada: 26773600
Conmemora: Boda Real del Príncipe Carlos y Lady Diana Spencer
En blister original (variante de Blister). Conmemora la Boda Real del Príncipe Carlos y Lady Diana Spencer.</t>
        </is>
      </c>
      <c r="J476" s="31">
        <f>IF(INDIRECT(ADDRESS(ROW() + (0),COLUMN() + (1)))="Agregar cuotas", IF(("16%")="", "-", "16%"), IF(INDIRECT(ADDRESS(ROW() + (0),COLUMN() + (1)))="No agregar cuotas", IF(("16%")="", "-", "16%"), "-"))</f>
        <v/>
      </c>
      <c r="K476" s="0" t="inlineStr">
        <is>
          <t>No agregar cuotas</t>
        </is>
      </c>
      <c r="L476" s="31">
        <f>IF(INDIRECT(ADDRESS(ROW() + (0),COLUMN() + (-1)))="Agregar cuotas", IF(("13.4%")="", "Sin costo", "13.4%"), IF(INDIRECT(ADDRESS(ROW() + (0),COLUMN() + (-1)))="No agregar cuotas", IF(("")="", "Sin costo", ""), "-"))</f>
        <v/>
      </c>
      <c r="M476" s="0" t="inlineStr">
        <is>
          <t>Mercado Envíos</t>
        </is>
      </c>
      <c r="N476" s="0" t="inlineStr">
        <is>
          <t>A cargo del comprador</t>
        </is>
      </c>
      <c r="O476" s="0" t="inlineStr">
        <is>
          <t>Acepto</t>
        </is>
      </c>
      <c r="P476" s="47" t="inlineStr">
        <is>
          <t>Sin garantía</t>
        </is>
      </c>
      <c r="R476" s="0" t="inlineStr">
        <is>
          <t>Seleccionar</t>
        </is>
      </c>
      <c r="S476" s="0" t="inlineStr">
        <is>
          <t>No ofrezco</t>
        </is>
      </c>
      <c r="T476" t="n">
        <v>1981</v>
      </c>
      <c r="U476" s="0" t="inlineStr">
        <is>
          <t>Inglaterra</t>
        </is>
      </c>
      <c r="X476" s="0" t="inlineStr">
        <is>
          <t>Níquel</t>
        </is>
      </c>
      <c r="Y476" t="inlineStr">
        <is>
          <t>Boda Real del Príncipe Carlos y Lady Diana Spencer</t>
        </is>
      </c>
      <c r="Z476" t="inlineStr">
        <is>
          <t>25 New Pence</t>
        </is>
      </c>
      <c r="AA476" s="0" t="inlineStr">
        <is>
          <t>Dólar</t>
        </is>
      </c>
      <c r="AB4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6" s="53">
        <f>IF(OR(TRIM(INDIRECT("B"&amp;ROW())) &lt;&gt; "",TRIM(INDIRECT("A"&amp;ROW())) &lt;&gt; ""),AND(TRIM(INDIRECT("A"&amp;ROW())) &lt;&gt; "",TRIM(INDIRECT("D"&amp;ROW())) = "nuevo"),"")</f>
        <v/>
      </c>
    </row>
    <row r="477" ht="27.5" customHeight="1" s="62">
      <c r="B477" t="inlineStr">
        <is>
          <t>Moneda Reino Unido 25 New Pence 1981</t>
        </is>
      </c>
      <c r="C477" s="0">
        <f>LEN(INDIRECT(ADDRESS(ROW() + (0),COLUMN() + (-1))))</f>
        <v/>
      </c>
      <c r="D477" s="0" t="inlineStr">
        <is>
          <t>Usado</t>
        </is>
      </c>
      <c r="E477" s="38" t="inlineStr">
        <is>
          <t>https://numismaticapopper.com/images/984A.jpeg,https://numismaticapopper.com/images/984B.jpeg</t>
        </is>
      </c>
      <c r="F477" t="inlineStr">
        <is>
          <t>984</t>
        </is>
      </c>
      <c r="G477" s="40" t="n">
        <v>1</v>
      </c>
      <c r="H477" t="n">
        <v>16000</v>
      </c>
      <c r="I477" t="inlineStr">
        <is>
          <t>Estado de conservacion: Sin Circular
Referencia de catalogo: KM# 925
Material: Cuproníquel
Tirada: 26773600
Conmemora: Boda Real del Príncipe Carlos y Lady Diana Spencer
Conmemora la Boda Real del Príncipe Carlos y Lady Diana Spencer.</t>
        </is>
      </c>
      <c r="J477" s="31">
        <f>IF(INDIRECT(ADDRESS(ROW() + (0),COLUMN() + (1)))="Agregar cuotas", IF(("16%")="", "-", "16%"), IF(INDIRECT(ADDRESS(ROW() + (0),COLUMN() + (1)))="No agregar cuotas", IF(("16%")="", "-", "16%"), "-"))</f>
        <v/>
      </c>
      <c r="K477" s="0" t="inlineStr">
        <is>
          <t>No agregar cuotas</t>
        </is>
      </c>
      <c r="L477" s="31">
        <f>IF(INDIRECT(ADDRESS(ROW() + (0),COLUMN() + (-1)))="Agregar cuotas", IF(("13.4%")="", "Sin costo", "13.4%"), IF(INDIRECT(ADDRESS(ROW() + (0),COLUMN() + (-1)))="No agregar cuotas", IF(("")="", "Sin costo", ""), "-"))</f>
        <v/>
      </c>
      <c r="M477" s="0" t="inlineStr">
        <is>
          <t>Mercado Envíos</t>
        </is>
      </c>
      <c r="N477" s="0" t="inlineStr">
        <is>
          <t>A cargo del comprador</t>
        </is>
      </c>
      <c r="O477" s="0" t="inlineStr">
        <is>
          <t>Acepto</t>
        </is>
      </c>
      <c r="P477" s="47" t="inlineStr">
        <is>
          <t>Sin garantía</t>
        </is>
      </c>
      <c r="R477" s="0" t="inlineStr">
        <is>
          <t>Seleccionar</t>
        </is>
      </c>
      <c r="S477" s="0" t="inlineStr">
        <is>
          <t>No ofrezco</t>
        </is>
      </c>
      <c r="T477" t="n">
        <v>1981</v>
      </c>
      <c r="U477" s="0" t="inlineStr">
        <is>
          <t>Inglaterra</t>
        </is>
      </c>
      <c r="X477" s="0" t="inlineStr">
        <is>
          <t>Níquel</t>
        </is>
      </c>
      <c r="Y477" t="inlineStr">
        <is>
          <t>Boda Real del Príncipe Carlos y Lady Diana Spencer</t>
        </is>
      </c>
      <c r="Z477" t="inlineStr">
        <is>
          <t>25 New Pence</t>
        </is>
      </c>
      <c r="AA477" s="0" t="inlineStr">
        <is>
          <t>Dólar</t>
        </is>
      </c>
      <c r="AB4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7" s="53">
        <f>IF(OR(TRIM(INDIRECT("B"&amp;ROW())) &lt;&gt; "",TRIM(INDIRECT("A"&amp;ROW())) &lt;&gt; ""),AND(TRIM(INDIRECT("A"&amp;ROW())) &lt;&gt; "",TRIM(INDIRECT("D"&amp;ROW())) = "nuevo"),"")</f>
        <v/>
      </c>
    </row>
    <row r="478" ht="27.5" customHeight="1" s="62">
      <c r="B478" t="inlineStr">
        <is>
          <t>Moneda Reino Unido 25 New Pence 1980</t>
        </is>
      </c>
      <c r="C478" s="0">
        <f>LEN(INDIRECT(ADDRESS(ROW() + (0),COLUMN() + (-1))))</f>
        <v/>
      </c>
      <c r="D478" s="0" t="inlineStr">
        <is>
          <t>Usado</t>
        </is>
      </c>
      <c r="E478" s="38" t="inlineStr">
        <is>
          <t>https://numismaticapopper.com/images/985A.jpeg,https://numismaticapopper.com/images/985B.jpeg</t>
        </is>
      </c>
      <c r="F478" t="inlineStr">
        <is>
          <t>985</t>
        </is>
      </c>
      <c r="G478" s="40" t="n">
        <v>1</v>
      </c>
      <c r="H478" t="n">
        <v>26000</v>
      </c>
      <c r="I478" t="inlineStr">
        <is>
          <t>Estado de conservacion: Sin Circular
Referencia de catalogo: KM# 921
Material: Cuproníquel
Tirada: 9306000
Conmemora: 80° Cumpleaños de la Reina Madre Isabel
En blister original. Conmemora el 80° Cumpleaños de la Reina Madre Isabel.</t>
        </is>
      </c>
      <c r="J478" s="31">
        <f>IF(INDIRECT(ADDRESS(ROW() + (0),COLUMN() + (1)))="Agregar cuotas", IF(("16%")="", "-", "16%"), IF(INDIRECT(ADDRESS(ROW() + (0),COLUMN() + (1)))="No agregar cuotas", IF(("16%")="", "-", "16%"), "-"))</f>
        <v/>
      </c>
      <c r="K478" s="0" t="inlineStr">
        <is>
          <t>No agregar cuotas</t>
        </is>
      </c>
      <c r="L478" s="31">
        <f>IF(INDIRECT(ADDRESS(ROW() + (0),COLUMN() + (-1)))="Agregar cuotas", IF(("13.4%")="", "Sin costo", "13.4%"), IF(INDIRECT(ADDRESS(ROW() + (0),COLUMN() + (-1)))="No agregar cuotas", IF(("")="", "Sin costo", ""), "-"))</f>
        <v/>
      </c>
      <c r="M478" s="0" t="inlineStr">
        <is>
          <t>Mercado Envíos</t>
        </is>
      </c>
      <c r="N478" s="0" t="inlineStr">
        <is>
          <t>A cargo del comprador</t>
        </is>
      </c>
      <c r="O478" s="0" t="inlineStr">
        <is>
          <t>Acepto</t>
        </is>
      </c>
      <c r="P478" s="47" t="inlineStr">
        <is>
          <t>Sin garantía</t>
        </is>
      </c>
      <c r="R478" s="0" t="inlineStr">
        <is>
          <t>Seleccionar</t>
        </is>
      </c>
      <c r="S478" s="0" t="inlineStr">
        <is>
          <t>No ofrezco</t>
        </is>
      </c>
      <c r="T478" t="n">
        <v>1980</v>
      </c>
      <c r="U478" s="0" t="inlineStr">
        <is>
          <t>Inglaterra</t>
        </is>
      </c>
      <c r="X478" s="0" t="inlineStr">
        <is>
          <t>Níquel</t>
        </is>
      </c>
      <c r="Y478" t="inlineStr">
        <is>
          <t>80° Cumpleaños de la Reina Madre Isabel</t>
        </is>
      </c>
      <c r="Z478" t="inlineStr">
        <is>
          <t>25 New Pence</t>
        </is>
      </c>
      <c r="AA478" s="0" t="inlineStr">
        <is>
          <t>Dólar</t>
        </is>
      </c>
      <c r="AB4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8" s="53">
        <f>IF(OR(TRIM(INDIRECT("B"&amp;ROW())) &lt;&gt; "",TRIM(INDIRECT("A"&amp;ROW())) &lt;&gt; ""),AND(TRIM(INDIRECT("A"&amp;ROW())) &lt;&gt; "",TRIM(INDIRECT("D"&amp;ROW())) = "nuevo"),"")</f>
        <v/>
      </c>
    </row>
    <row r="479" ht="27.5" customHeight="1" s="62">
      <c r="B479" t="inlineStr">
        <is>
          <t>Moneda Reino Unido 25 New Pence 1980</t>
        </is>
      </c>
      <c r="C479" s="0">
        <f>LEN(INDIRECT(ADDRESS(ROW() + (0),COLUMN() + (-1))))</f>
        <v/>
      </c>
      <c r="D479" s="0" t="inlineStr">
        <is>
          <t>Usado</t>
        </is>
      </c>
      <c r="E479" s="38" t="inlineStr">
        <is>
          <t>https://numismaticapopper.com/images/986A.jpeg,https://numismaticapopper.com/images/986B.jpeg</t>
        </is>
      </c>
      <c r="F479" t="inlineStr">
        <is>
          <t>986</t>
        </is>
      </c>
      <c r="G479" s="40" t="n">
        <v>1</v>
      </c>
      <c r="H479" t="n">
        <v>18000</v>
      </c>
      <c r="I479" t="inlineStr">
        <is>
          <t>Estado de conservacion: Sin Circular
Referencia de catalogo: KM# 921
Material: Cuproníquel
Tirada: 9306000
Conmemora: 80° Cumpleaños de la Reina Madre Isabel
Conmemora el 80° Cumpleaños de la Reina Madre Isabel.</t>
        </is>
      </c>
      <c r="J479" s="31">
        <f>IF(INDIRECT(ADDRESS(ROW() + (0),COLUMN() + (1)))="Agregar cuotas", IF(("16%")="", "-", "16%"), IF(INDIRECT(ADDRESS(ROW() + (0),COLUMN() + (1)))="No agregar cuotas", IF(("16%")="", "-", "16%"), "-"))</f>
        <v/>
      </c>
      <c r="K479" s="0" t="inlineStr">
        <is>
          <t>No agregar cuotas</t>
        </is>
      </c>
      <c r="L479" s="31">
        <f>IF(INDIRECT(ADDRESS(ROW() + (0),COLUMN() + (-1)))="Agregar cuotas", IF(("13.4%")="", "Sin costo", "13.4%"), IF(INDIRECT(ADDRESS(ROW() + (0),COLUMN() + (-1)))="No agregar cuotas", IF(("")="", "Sin costo", ""), "-"))</f>
        <v/>
      </c>
      <c r="M479" s="0" t="inlineStr">
        <is>
          <t>Mercado Envíos</t>
        </is>
      </c>
      <c r="N479" s="0" t="inlineStr">
        <is>
          <t>A cargo del comprador</t>
        </is>
      </c>
      <c r="O479" s="0" t="inlineStr">
        <is>
          <t>Acepto</t>
        </is>
      </c>
      <c r="P479" s="47" t="inlineStr">
        <is>
          <t>Sin garantía</t>
        </is>
      </c>
      <c r="R479" s="0" t="inlineStr">
        <is>
          <t>Seleccionar</t>
        </is>
      </c>
      <c r="S479" s="0" t="inlineStr">
        <is>
          <t>No ofrezco</t>
        </is>
      </c>
      <c r="T479" t="n">
        <v>1980</v>
      </c>
      <c r="U479" s="0" t="inlineStr">
        <is>
          <t>Inglaterra</t>
        </is>
      </c>
      <c r="X479" s="0" t="inlineStr">
        <is>
          <t>Níquel</t>
        </is>
      </c>
      <c r="Y479" t="inlineStr">
        <is>
          <t>80° Cumpleaños de la Reina Madre Isabel</t>
        </is>
      </c>
      <c r="Z479" t="inlineStr">
        <is>
          <t>25 New Pence</t>
        </is>
      </c>
      <c r="AA479" s="0" t="inlineStr">
        <is>
          <t>Dólar</t>
        </is>
      </c>
      <c r="AB4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79" s="53">
        <f>IF(OR(TRIM(INDIRECT("B"&amp;ROW())) &lt;&gt; "",TRIM(INDIRECT("A"&amp;ROW())) &lt;&gt; ""),AND(TRIM(INDIRECT("A"&amp;ROW())) &lt;&gt; "",TRIM(INDIRECT("D"&amp;ROW())) = "nuevo"),"")</f>
        <v/>
      </c>
    </row>
    <row r="480" ht="27.5" customHeight="1" s="62">
      <c r="B480" t="inlineStr">
        <is>
          <t>Moneda Reino Unido 25 New Pence 1977</t>
        </is>
      </c>
      <c r="C480" s="0">
        <f>LEN(INDIRECT(ADDRESS(ROW() + (0),COLUMN() + (-1))))</f>
        <v/>
      </c>
      <c r="D480" s="0" t="inlineStr">
        <is>
          <t>Usado</t>
        </is>
      </c>
      <c r="E480" s="38" t="inlineStr">
        <is>
          <t>https://numismaticapopper.com/images/987A.jpeg,https://numismaticapopper.com/images/987B.jpeg</t>
        </is>
      </c>
      <c r="F480" t="inlineStr">
        <is>
          <t>987</t>
        </is>
      </c>
      <c r="G480" s="40" t="n">
        <v>1</v>
      </c>
      <c r="H480" t="n">
        <v>24000</v>
      </c>
      <c r="I480" t="inlineStr">
        <is>
          <t>Estado de conservacion: Sin Circular
Referencia de catalogo: KM# 920
Material: Cuproníquel
Tirada: 37061160
Conmemora: Jubileo de Plata de la Reina Isabel II
En blister original. Conmemora el Jubileo de Plata de la Reina Isabel II.</t>
        </is>
      </c>
      <c r="J480" s="31">
        <f>IF(INDIRECT(ADDRESS(ROW() + (0),COLUMN() + (1)))="Agregar cuotas", IF(("16%")="", "-", "16%"), IF(INDIRECT(ADDRESS(ROW() + (0),COLUMN() + (1)))="No agregar cuotas", IF(("16%")="", "-", "16%"), "-"))</f>
        <v/>
      </c>
      <c r="K480" s="0" t="inlineStr">
        <is>
          <t>No agregar cuotas</t>
        </is>
      </c>
      <c r="L480" s="31">
        <f>IF(INDIRECT(ADDRESS(ROW() + (0),COLUMN() + (-1)))="Agregar cuotas", IF(("13.4%")="", "Sin costo", "13.4%"), IF(INDIRECT(ADDRESS(ROW() + (0),COLUMN() + (-1)))="No agregar cuotas", IF(("")="", "Sin costo", ""), "-"))</f>
        <v/>
      </c>
      <c r="M480" s="0" t="inlineStr">
        <is>
          <t>Mercado Envíos</t>
        </is>
      </c>
      <c r="N480" s="0" t="inlineStr">
        <is>
          <t>A cargo del comprador</t>
        </is>
      </c>
      <c r="O480" s="0" t="inlineStr">
        <is>
          <t>Acepto</t>
        </is>
      </c>
      <c r="P480" s="47" t="inlineStr">
        <is>
          <t>Sin garantía</t>
        </is>
      </c>
      <c r="R480" s="0" t="inlineStr">
        <is>
          <t>Seleccionar</t>
        </is>
      </c>
      <c r="S480" s="0" t="inlineStr">
        <is>
          <t>No ofrezco</t>
        </is>
      </c>
      <c r="T480" t="n">
        <v>1977</v>
      </c>
      <c r="U480" s="0" t="inlineStr">
        <is>
          <t>Inglaterra</t>
        </is>
      </c>
      <c r="X480" s="0" t="inlineStr">
        <is>
          <t>Níquel</t>
        </is>
      </c>
      <c r="Y480" t="inlineStr">
        <is>
          <t>Jubileo de Plata de la Reina Isabel II</t>
        </is>
      </c>
      <c r="Z480" t="inlineStr">
        <is>
          <t>25 New Pence</t>
        </is>
      </c>
      <c r="AA480" s="0" t="inlineStr">
        <is>
          <t>Dólar</t>
        </is>
      </c>
      <c r="AB4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0" s="53">
        <f>IF(OR(TRIM(INDIRECT("B"&amp;ROW())) &lt;&gt; "",TRIM(INDIRECT("A"&amp;ROW())) &lt;&gt; ""),AND(TRIM(INDIRECT("A"&amp;ROW())) &lt;&gt; "",TRIM(INDIRECT("D"&amp;ROW())) = "nuevo"),"")</f>
        <v/>
      </c>
    </row>
    <row r="481" ht="27.5" customHeight="1" s="62">
      <c r="B481" t="inlineStr">
        <is>
          <t>Moneda Reino Unido 25 New Pence 1977</t>
        </is>
      </c>
      <c r="C481" s="0">
        <f>LEN(INDIRECT(ADDRESS(ROW() + (0),COLUMN() + (-1))))</f>
        <v/>
      </c>
      <c r="D481" s="0" t="inlineStr">
        <is>
          <t>Usado</t>
        </is>
      </c>
      <c r="E481" s="38" t="inlineStr">
        <is>
          <t>https://numismaticapopper.com/images/988A.jpeg,https://numismaticapopper.com/images/988B.jpeg</t>
        </is>
      </c>
      <c r="F481" t="inlineStr">
        <is>
          <t>988</t>
        </is>
      </c>
      <c r="G481" s="40" t="n">
        <v>1</v>
      </c>
      <c r="H481" t="n">
        <v>16000</v>
      </c>
      <c r="I481" t="inlineStr">
        <is>
          <t>Estado de conservacion: Sin Circular
Referencia de catalogo: KM# 920
Material: Cuproníquel
Tirada: 37061160
Conmemora: Jubileo de Plata de la Reina Isabel II
Conmemora el Jubileo de Plata de la Reina Isabel II.</t>
        </is>
      </c>
      <c r="J481" s="31">
        <f>IF(INDIRECT(ADDRESS(ROW() + (0),COLUMN() + (1)))="Agregar cuotas", IF(("16%")="", "-", "16%"), IF(INDIRECT(ADDRESS(ROW() + (0),COLUMN() + (1)))="No agregar cuotas", IF(("16%")="", "-", "16%"), "-"))</f>
        <v/>
      </c>
      <c r="K481" s="0" t="inlineStr">
        <is>
          <t>No agregar cuotas</t>
        </is>
      </c>
      <c r="L481" s="31">
        <f>IF(INDIRECT(ADDRESS(ROW() + (0),COLUMN() + (-1)))="Agregar cuotas", IF(("13.4%")="", "Sin costo", "13.4%"), IF(INDIRECT(ADDRESS(ROW() + (0),COLUMN() + (-1)))="No agregar cuotas", IF(("")="", "Sin costo", ""), "-"))</f>
        <v/>
      </c>
      <c r="M481" s="0" t="inlineStr">
        <is>
          <t>Mercado Envíos</t>
        </is>
      </c>
      <c r="N481" s="0" t="inlineStr">
        <is>
          <t>A cargo del comprador</t>
        </is>
      </c>
      <c r="O481" s="0" t="inlineStr">
        <is>
          <t>Acepto</t>
        </is>
      </c>
      <c r="P481" s="47" t="inlineStr">
        <is>
          <t>Sin garantía</t>
        </is>
      </c>
      <c r="R481" s="0" t="inlineStr">
        <is>
          <t>Seleccionar</t>
        </is>
      </c>
      <c r="S481" s="0" t="inlineStr">
        <is>
          <t>No ofrezco</t>
        </is>
      </c>
      <c r="T481" t="n">
        <v>1977</v>
      </c>
      <c r="U481" s="0" t="inlineStr">
        <is>
          <t>Inglaterra</t>
        </is>
      </c>
      <c r="X481" s="0" t="inlineStr">
        <is>
          <t>Níquel</t>
        </is>
      </c>
      <c r="Y481" t="inlineStr">
        <is>
          <t>Jubileo de Plata de la Reina Isabel II</t>
        </is>
      </c>
      <c r="Z481" t="inlineStr">
        <is>
          <t>25 New Pence</t>
        </is>
      </c>
      <c r="AA481" s="0" t="inlineStr">
        <is>
          <t>Dólar</t>
        </is>
      </c>
      <c r="AB4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1" s="53">
        <f>IF(OR(TRIM(INDIRECT("B"&amp;ROW())) &lt;&gt; "",TRIM(INDIRECT("A"&amp;ROW())) &lt;&gt; ""),AND(TRIM(INDIRECT("A"&amp;ROW())) &lt;&gt; "",TRIM(INDIRECT("D"&amp;ROW())) = "nuevo"),"")</f>
        <v/>
      </c>
    </row>
    <row r="482" ht="27.5" customHeight="1" s="62">
      <c r="B482" t="inlineStr">
        <is>
          <t>Moneda Reino Unido 1 Crown 1965</t>
        </is>
      </c>
      <c r="C482" s="0">
        <f>LEN(INDIRECT(ADDRESS(ROW() + (0),COLUMN() + (-1))))</f>
        <v/>
      </c>
      <c r="D482" s="0" t="inlineStr">
        <is>
          <t>Usado</t>
        </is>
      </c>
      <c r="E482" s="38" t="inlineStr">
        <is>
          <t>https://numismaticapopper.com/images/991A.jpeg,https://numismaticapopper.com/images/991B.jpeg</t>
        </is>
      </c>
      <c r="F482" t="inlineStr">
        <is>
          <t>991</t>
        </is>
      </c>
      <c r="G482" s="40" t="n">
        <v>1</v>
      </c>
      <c r="H482" t="n">
        <v>16000</v>
      </c>
      <c r="I482" t="inlineStr">
        <is>
          <t>Estado de conservacion: Sin Circular
Referencia de catalogo: KM# 910
Material: Cuproníquel
Conmemora: Sir Winston Churchill
Conmemora a Sir Winston Churchill.</t>
        </is>
      </c>
      <c r="J482" s="31">
        <f>IF(INDIRECT(ADDRESS(ROW() + (0),COLUMN() + (1)))="Agregar cuotas", IF(("16%")="", "-", "16%"), IF(INDIRECT(ADDRESS(ROW() + (0),COLUMN() + (1)))="No agregar cuotas", IF(("16%")="", "-", "16%"), "-"))</f>
        <v/>
      </c>
      <c r="K482" s="0" t="inlineStr">
        <is>
          <t>No agregar cuotas</t>
        </is>
      </c>
      <c r="L482" s="31">
        <f>IF(INDIRECT(ADDRESS(ROW() + (0),COLUMN() + (-1)))="Agregar cuotas", IF(("13.4%")="", "Sin costo", "13.4%"), IF(INDIRECT(ADDRESS(ROW() + (0),COLUMN() + (-1)))="No agregar cuotas", IF(("")="", "Sin costo", ""), "-"))</f>
        <v/>
      </c>
      <c r="M482" s="0" t="inlineStr">
        <is>
          <t>Mercado Envíos</t>
        </is>
      </c>
      <c r="N482" s="0" t="inlineStr">
        <is>
          <t>A cargo del comprador</t>
        </is>
      </c>
      <c r="O482" s="0" t="inlineStr">
        <is>
          <t>Acepto</t>
        </is>
      </c>
      <c r="P482" s="47" t="inlineStr">
        <is>
          <t>Sin garantía</t>
        </is>
      </c>
      <c r="R482" s="0" t="inlineStr">
        <is>
          <t>Seleccionar</t>
        </is>
      </c>
      <c r="S482" s="0" t="inlineStr">
        <is>
          <t>No ofrezco</t>
        </is>
      </c>
      <c r="T482" t="n">
        <v>1965</v>
      </c>
      <c r="U482" s="0" t="inlineStr">
        <is>
          <t>Inglaterra</t>
        </is>
      </c>
      <c r="X482" s="0" t="inlineStr">
        <is>
          <t>Níquel</t>
        </is>
      </c>
      <c r="Y482" t="inlineStr">
        <is>
          <t>Sir Winston Churchill</t>
        </is>
      </c>
      <c r="Z482" t="inlineStr">
        <is>
          <t>1 Crown</t>
        </is>
      </c>
      <c r="AA482" s="0" t="inlineStr">
        <is>
          <t>Dólar</t>
        </is>
      </c>
      <c r="AB4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2" s="53">
        <f>IF(OR(TRIM(INDIRECT("B"&amp;ROW())) &lt;&gt; "",TRIM(INDIRECT("A"&amp;ROW())) &lt;&gt; ""),AND(TRIM(INDIRECT("A"&amp;ROW())) &lt;&gt; "",TRIM(INDIRECT("D"&amp;ROW())) = "nuevo"),"")</f>
        <v/>
      </c>
    </row>
    <row r="483" ht="27.5" customHeight="1" s="62">
      <c r="B483" t="inlineStr">
        <is>
          <t>Moneda Reino Unido 1 Crown 1965</t>
        </is>
      </c>
      <c r="C483" s="0">
        <f>LEN(INDIRECT(ADDRESS(ROW() + (0),COLUMN() + (-1))))</f>
        <v/>
      </c>
      <c r="D483" s="0" t="inlineStr">
        <is>
          <t>Usado</t>
        </is>
      </c>
      <c r="E483" s="38" t="inlineStr">
        <is>
          <t>https://numismaticapopper.com/images/992A.jpeg,https://numismaticapopper.com/images/992B.jpeg</t>
        </is>
      </c>
      <c r="F483" t="inlineStr">
        <is>
          <t>992</t>
        </is>
      </c>
      <c r="G483" s="40" t="n">
        <v>1</v>
      </c>
      <c r="H483" t="n">
        <v>16000</v>
      </c>
      <c r="I483" t="inlineStr">
        <is>
          <t>Estado de conservacion: Sin Circular
Referencia de catalogo: KM# 910
Material: Cuproníquel
Conmemora: Sir Winston Churchill
Conmemora a Sir Winston Churchill.</t>
        </is>
      </c>
      <c r="J483" s="31">
        <f>IF(INDIRECT(ADDRESS(ROW() + (0),COLUMN() + (1)))="Agregar cuotas", IF(("16%")="", "-", "16%"), IF(INDIRECT(ADDRESS(ROW() + (0),COLUMN() + (1)))="No agregar cuotas", IF(("16%")="", "-", "16%"), "-"))</f>
        <v/>
      </c>
      <c r="K483" s="0" t="inlineStr">
        <is>
          <t>No agregar cuotas</t>
        </is>
      </c>
      <c r="L483" s="31">
        <f>IF(INDIRECT(ADDRESS(ROW() + (0),COLUMN() + (-1)))="Agregar cuotas", IF(("13.4%")="", "Sin costo", "13.4%"), IF(INDIRECT(ADDRESS(ROW() + (0),COLUMN() + (-1)))="No agregar cuotas", IF(("")="", "Sin costo", ""), "-"))</f>
        <v/>
      </c>
      <c r="M483" s="0" t="inlineStr">
        <is>
          <t>Mercado Envíos</t>
        </is>
      </c>
      <c r="N483" s="0" t="inlineStr">
        <is>
          <t>A cargo del comprador</t>
        </is>
      </c>
      <c r="O483" s="0" t="inlineStr">
        <is>
          <t>Acepto</t>
        </is>
      </c>
      <c r="P483" s="47" t="inlineStr">
        <is>
          <t>Sin garantía</t>
        </is>
      </c>
      <c r="R483" s="0" t="inlineStr">
        <is>
          <t>Seleccionar</t>
        </is>
      </c>
      <c r="S483" s="0" t="inlineStr">
        <is>
          <t>No ofrezco</t>
        </is>
      </c>
      <c r="T483" t="n">
        <v>1965</v>
      </c>
      <c r="U483" s="0" t="inlineStr">
        <is>
          <t>Inglaterra</t>
        </is>
      </c>
      <c r="X483" s="0" t="inlineStr">
        <is>
          <t>Níquel</t>
        </is>
      </c>
      <c r="Y483" t="inlineStr">
        <is>
          <t>Sir Winston Churchill</t>
        </is>
      </c>
      <c r="Z483" t="inlineStr">
        <is>
          <t>1 Crown</t>
        </is>
      </c>
      <c r="AA483" s="0" t="inlineStr">
        <is>
          <t>Dólar</t>
        </is>
      </c>
      <c r="AB4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3" s="53">
        <f>IF(OR(TRIM(INDIRECT("B"&amp;ROW())) &lt;&gt; "",TRIM(INDIRECT("A"&amp;ROW())) &lt;&gt; ""),AND(TRIM(INDIRECT("A"&amp;ROW())) &lt;&gt; "",TRIM(INDIRECT("D"&amp;ROW())) = "nuevo"),"")</f>
        <v/>
      </c>
    </row>
    <row r="484" ht="27.5" customHeight="1" s="62">
      <c r="B484" t="inlineStr">
        <is>
          <t>Moneda Reino Unido Blister Primer Cono Decimal 1968</t>
        </is>
      </c>
      <c r="C484" s="0">
        <f>LEN(INDIRECT(ADDRESS(ROW() + (0),COLUMN() + (-1))))</f>
        <v/>
      </c>
      <c r="D484" s="0" t="inlineStr">
        <is>
          <t>Usado</t>
        </is>
      </c>
      <c r="E484" s="38" t="inlineStr">
        <is>
          <t>https://numismaticapopper.com/images/994A.jpeg,https://numismaticapopper.com/images/994B.jpeg</t>
        </is>
      </c>
      <c r="F484" t="inlineStr">
        <is>
          <t>994</t>
        </is>
      </c>
      <c r="G484" s="40" t="n">
        <v>1</v>
      </c>
      <c r="H484" t="n">
        <v>16000</v>
      </c>
      <c r="I484" t="inlineStr">
        <is>
          <t>Estado de conservacion: Sin Circular
Material: Cuproníquel / Bronce
En blister original. Contiene la serie completa del primer cono monetario decimal.</t>
        </is>
      </c>
      <c r="J484" s="31">
        <f>IF(INDIRECT(ADDRESS(ROW() + (0),COLUMN() + (1)))="Agregar cuotas", IF(("16%")="", "-", "16%"), IF(INDIRECT(ADDRESS(ROW() + (0),COLUMN() + (1)))="No agregar cuotas", IF(("16%")="", "-", "16%"), "-"))</f>
        <v/>
      </c>
      <c r="K484" s="0" t="inlineStr">
        <is>
          <t>No agregar cuotas</t>
        </is>
      </c>
      <c r="L484" s="31">
        <f>IF(INDIRECT(ADDRESS(ROW() + (0),COLUMN() + (-1)))="Agregar cuotas", IF(("13.4%")="", "Sin costo", "13.4%"), IF(INDIRECT(ADDRESS(ROW() + (0),COLUMN() + (-1)))="No agregar cuotas", IF(("")="", "Sin costo", ""), "-"))</f>
        <v/>
      </c>
      <c r="M484" s="0" t="inlineStr">
        <is>
          <t>Mercado Envíos</t>
        </is>
      </c>
      <c r="N484" s="0" t="inlineStr">
        <is>
          <t>A cargo del comprador</t>
        </is>
      </c>
      <c r="O484" s="0" t="inlineStr">
        <is>
          <t>Acepto</t>
        </is>
      </c>
      <c r="P484" s="47" t="inlineStr">
        <is>
          <t>Sin garantía</t>
        </is>
      </c>
      <c r="R484" s="0" t="inlineStr">
        <is>
          <t>Seleccionar</t>
        </is>
      </c>
      <c r="S484" s="0" t="inlineStr">
        <is>
          <t>No ofrezco</t>
        </is>
      </c>
      <c r="T484" t="n">
        <v>1968</v>
      </c>
      <c r="U484" s="0" t="inlineStr">
        <is>
          <t>Inglaterra</t>
        </is>
      </c>
      <c r="X484" s="0" t="inlineStr">
        <is>
          <t>Níquel</t>
        </is>
      </c>
      <c r="Z484" t="inlineStr">
        <is>
          <t>Blister Primer Cono Decimal</t>
        </is>
      </c>
      <c r="AA484" s="0" t="inlineStr">
        <is>
          <t>Dólar</t>
        </is>
      </c>
      <c r="AB4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4" s="53">
        <f>IF(OR(TRIM(INDIRECT("B"&amp;ROW())) &lt;&gt; "",TRIM(INDIRECT("A"&amp;ROW())) &lt;&gt; ""),AND(TRIM(INDIRECT("A"&amp;ROW())) &lt;&gt; "",TRIM(INDIRECT("D"&amp;ROW())) = "nuevo"),"")</f>
        <v/>
      </c>
    </row>
    <row r="485" ht="27.5" customHeight="1" s="62">
      <c r="B485" t="inlineStr">
        <is>
          <t>Moneda Canadá Blister 25 Cents 2008</t>
        </is>
      </c>
      <c r="C485" s="0">
        <f>LEN(INDIRECT(ADDRESS(ROW() + (0),COLUMN() + (-1))))</f>
        <v/>
      </c>
      <c r="D485" s="0" t="inlineStr">
        <is>
          <t>Usado</t>
        </is>
      </c>
      <c r="E485" s="38" t="inlineStr">
        <is>
          <t>https://numismaticapopper.com/images/996A.jpeg,https://numismaticapopper.com/images/996B.jpeg,https://numismaticapopper.com/images/996C.jpeg,https://numismaticapopper.com/images/996D.jpeg</t>
        </is>
      </c>
      <c r="F485" t="inlineStr">
        <is>
          <t>996</t>
        </is>
      </c>
      <c r="G485" s="40" t="n">
        <v>1</v>
      </c>
      <c r="H485" t="n">
        <v>16000</v>
      </c>
      <c r="I485" t="inlineStr">
        <is>
          <t>Estado de conservacion: Sin Circular
Referencia de catalogo: KM# 775
Material: Níquel
Conmemora: Día del Armisticio
En blister original. Acuñado en Windsor.</t>
        </is>
      </c>
      <c r="J485" s="31">
        <f>IF(INDIRECT(ADDRESS(ROW() + (0),COLUMN() + (1)))="Agregar cuotas", IF(("16%")="", "-", "16%"), IF(INDIRECT(ADDRESS(ROW() + (0),COLUMN() + (1)))="No agregar cuotas", IF(("16%")="", "-", "16%"), "-"))</f>
        <v/>
      </c>
      <c r="K485" s="0" t="inlineStr">
        <is>
          <t>No agregar cuotas</t>
        </is>
      </c>
      <c r="L485" s="31">
        <f>IF(INDIRECT(ADDRESS(ROW() + (0),COLUMN() + (-1)))="Agregar cuotas", IF(("13.4%")="", "Sin costo", "13.4%"), IF(INDIRECT(ADDRESS(ROW() + (0),COLUMN() + (-1)))="No agregar cuotas", IF(("")="", "Sin costo", ""), "-"))</f>
        <v/>
      </c>
      <c r="M485" s="0" t="inlineStr">
        <is>
          <t>Mercado Envíos</t>
        </is>
      </c>
      <c r="N485" s="0" t="inlineStr">
        <is>
          <t>A cargo del comprador</t>
        </is>
      </c>
      <c r="O485" s="0" t="inlineStr">
        <is>
          <t>Acepto</t>
        </is>
      </c>
      <c r="P485" s="47" t="inlineStr">
        <is>
          <t>Sin garantía</t>
        </is>
      </c>
      <c r="R485" s="0" t="inlineStr">
        <is>
          <t>Seleccionar</t>
        </is>
      </c>
      <c r="S485" s="0" t="inlineStr">
        <is>
          <t>No ofrezco</t>
        </is>
      </c>
      <c r="T485" t="n">
        <v>2008</v>
      </c>
      <c r="U485" s="0" t="inlineStr">
        <is>
          <t>Canadá</t>
        </is>
      </c>
      <c r="X485" s="0" t="inlineStr">
        <is>
          <t>Níquel</t>
        </is>
      </c>
      <c r="Y485" t="inlineStr">
        <is>
          <t>Día del Armisticio</t>
        </is>
      </c>
      <c r="Z485" t="inlineStr">
        <is>
          <t>Blister 25 Cents</t>
        </is>
      </c>
      <c r="AA485" s="0" t="inlineStr">
        <is>
          <t>Dólar</t>
        </is>
      </c>
      <c r="AB4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5" s="53">
        <f>IF(OR(TRIM(INDIRECT("B"&amp;ROW())) &lt;&gt; "",TRIM(INDIRECT("A"&amp;ROW())) &lt;&gt; ""),AND(TRIM(INDIRECT("A"&amp;ROW())) &lt;&gt; "",TRIM(INDIRECT("D"&amp;ROW())) = "nuevo"),"")</f>
        <v/>
      </c>
    </row>
    <row r="486" ht="27.5" customHeight="1" s="62">
      <c r="B486" t="inlineStr">
        <is>
          <t>Moneda Reino Unido Farthing 1938</t>
        </is>
      </c>
      <c r="C486" s="0">
        <f>LEN(INDIRECT(ADDRESS(ROW() + (0),COLUMN() + (-1))))</f>
        <v/>
      </c>
      <c r="D486" s="0" t="inlineStr">
        <is>
          <t>Usado</t>
        </is>
      </c>
      <c r="E486" s="38" t="inlineStr">
        <is>
          <t>https://numismaticapopper.com/images/1011A.jpeg,https://numismaticapopper.com/images/1011B.jpeg</t>
        </is>
      </c>
      <c r="F486" t="inlineStr">
        <is>
          <t>1011</t>
        </is>
      </c>
      <c r="G486" s="40" t="n">
        <v>1</v>
      </c>
      <c r="H486" t="n">
        <v>11000</v>
      </c>
      <c r="I486" t="inlineStr">
        <is>
          <t>Estado de conservacion: Excelente +
Referencia de catalogo: KM# 843
Material: Bronce</t>
        </is>
      </c>
      <c r="J486" s="31">
        <f>IF(INDIRECT(ADDRESS(ROW() + (0),COLUMN() + (1)))="Agregar cuotas", IF(("16%")="", "-", "16%"), IF(INDIRECT(ADDRESS(ROW() + (0),COLUMN() + (1)))="No agregar cuotas", IF(("16%")="", "-", "16%"), "-"))</f>
        <v/>
      </c>
      <c r="K486" s="0" t="inlineStr">
        <is>
          <t>No agregar cuotas</t>
        </is>
      </c>
      <c r="L486" s="31">
        <f>IF(INDIRECT(ADDRESS(ROW() + (0),COLUMN() + (-1)))="Agregar cuotas", IF(("13.4%")="", "Sin costo", "13.4%"), IF(INDIRECT(ADDRESS(ROW() + (0),COLUMN() + (-1)))="No agregar cuotas", IF(("")="", "Sin costo", ""), "-"))</f>
        <v/>
      </c>
      <c r="M486" s="0" t="inlineStr">
        <is>
          <t>Mercado Envíos</t>
        </is>
      </c>
      <c r="N486" s="0" t="inlineStr">
        <is>
          <t>A cargo del comprador</t>
        </is>
      </c>
      <c r="O486" s="0" t="inlineStr">
        <is>
          <t>Acepto</t>
        </is>
      </c>
      <c r="P486" s="47" t="inlineStr">
        <is>
          <t>Sin garantía</t>
        </is>
      </c>
      <c r="R486" s="0" t="inlineStr">
        <is>
          <t>Seleccionar</t>
        </is>
      </c>
      <c r="S486" s="0" t="inlineStr">
        <is>
          <t>No ofrezco</t>
        </is>
      </c>
      <c r="T486" t="n">
        <v>1938</v>
      </c>
      <c r="U486" s="0" t="inlineStr">
        <is>
          <t>Inglaterra</t>
        </is>
      </c>
      <c r="X486" s="0" t="inlineStr">
        <is>
          <t>Bronce</t>
        </is>
      </c>
      <c r="Z486" t="inlineStr">
        <is>
          <t>Farthing</t>
        </is>
      </c>
      <c r="AA486" s="0" t="inlineStr">
        <is>
          <t>Dólar</t>
        </is>
      </c>
      <c r="AB4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6" s="53">
        <f>IF(OR(TRIM(INDIRECT("B"&amp;ROW())) &lt;&gt; "",TRIM(INDIRECT("A"&amp;ROW())) &lt;&gt; ""),AND(TRIM(INDIRECT("A"&amp;ROW())) &lt;&gt; "",TRIM(INDIRECT("D"&amp;ROW())) = "nuevo"),"")</f>
        <v/>
      </c>
    </row>
    <row r="487" ht="27.5" customHeight="1" s="62">
      <c r="B487" t="inlineStr">
        <is>
          <t>Moneda Reino Unido Farthing 1946</t>
        </is>
      </c>
      <c r="C487" s="0">
        <f>LEN(INDIRECT(ADDRESS(ROW() + (0),COLUMN() + (-1))))</f>
        <v/>
      </c>
      <c r="D487" s="0" t="inlineStr">
        <is>
          <t>Usado</t>
        </is>
      </c>
      <c r="E487" s="38" t="inlineStr">
        <is>
          <t>https://numismaticapopper.com/images/1013A.jpeg,https://numismaticapopper.com/images/1013B.jpeg</t>
        </is>
      </c>
      <c r="F487" t="inlineStr">
        <is>
          <t>1013</t>
        </is>
      </c>
      <c r="G487" s="40" t="n">
        <v>1</v>
      </c>
      <c r="H487" t="n">
        <v>10000</v>
      </c>
      <c r="I487" t="inlineStr">
        <is>
          <t>Estado de conservacion: Excelente
Referencia de catalogo: KM# 843
Material: Bronce</t>
        </is>
      </c>
      <c r="J487" s="31">
        <f>IF(INDIRECT(ADDRESS(ROW() + (0),COLUMN() + (1)))="Agregar cuotas", IF(("16%")="", "-", "16%"), IF(INDIRECT(ADDRESS(ROW() + (0),COLUMN() + (1)))="No agregar cuotas", IF(("16%")="", "-", "16%"), "-"))</f>
        <v/>
      </c>
      <c r="K487" s="0" t="inlineStr">
        <is>
          <t>No agregar cuotas</t>
        </is>
      </c>
      <c r="L487" s="31">
        <f>IF(INDIRECT(ADDRESS(ROW() + (0),COLUMN() + (-1)))="Agregar cuotas", IF(("13.4%")="", "Sin costo", "13.4%"), IF(INDIRECT(ADDRESS(ROW() + (0),COLUMN() + (-1)))="No agregar cuotas", IF(("")="", "Sin costo", ""), "-"))</f>
        <v/>
      </c>
      <c r="M487" s="0" t="inlineStr">
        <is>
          <t>Mercado Envíos</t>
        </is>
      </c>
      <c r="N487" s="0" t="inlineStr">
        <is>
          <t>A cargo del comprador</t>
        </is>
      </c>
      <c r="O487" s="0" t="inlineStr">
        <is>
          <t>Acepto</t>
        </is>
      </c>
      <c r="P487" s="47" t="inlineStr">
        <is>
          <t>Sin garantía</t>
        </is>
      </c>
      <c r="R487" s="0" t="inlineStr">
        <is>
          <t>Seleccionar</t>
        </is>
      </c>
      <c r="S487" s="0" t="inlineStr">
        <is>
          <t>No ofrezco</t>
        </is>
      </c>
      <c r="T487" t="n">
        <v>1946</v>
      </c>
      <c r="U487" s="0" t="inlineStr">
        <is>
          <t>Inglaterra</t>
        </is>
      </c>
      <c r="X487" s="0" t="inlineStr">
        <is>
          <t>Bronce</t>
        </is>
      </c>
      <c r="Z487" t="inlineStr">
        <is>
          <t>Farthing</t>
        </is>
      </c>
      <c r="AA487" s="0" t="inlineStr">
        <is>
          <t>Dólar</t>
        </is>
      </c>
      <c r="AB4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7" s="53">
        <f>IF(OR(TRIM(INDIRECT("B"&amp;ROW())) &lt;&gt; "",TRIM(INDIRECT("A"&amp;ROW())) &lt;&gt; ""),AND(TRIM(INDIRECT("A"&amp;ROW())) &lt;&gt; "",TRIM(INDIRECT("D"&amp;ROW())) = "nuevo"),"")</f>
        <v/>
      </c>
    </row>
    <row r="488" ht="27.5" customHeight="1" s="62">
      <c r="B488" t="inlineStr">
        <is>
          <t>Moneda Reino Unido Farthing 1951</t>
        </is>
      </c>
      <c r="C488" s="0">
        <f>LEN(INDIRECT(ADDRESS(ROW() + (0),COLUMN() + (-1))))</f>
        <v/>
      </c>
      <c r="D488" s="0" t="inlineStr">
        <is>
          <t>Usado</t>
        </is>
      </c>
      <c r="E488" s="38" t="inlineStr">
        <is>
          <t>https://numismaticapopper.com/images/1014A.jpeg,https://numismaticapopper.com/images/1014B.jpeg</t>
        </is>
      </c>
      <c r="F488" t="inlineStr">
        <is>
          <t>1014</t>
        </is>
      </c>
      <c r="G488" s="40" t="n">
        <v>1</v>
      </c>
      <c r="H488" t="n">
        <v>12000</v>
      </c>
      <c r="I488" t="inlineStr">
        <is>
          <t>Estado de conservacion: Sin Circular
Referencia de catalogo: KM# 867
Material: Bronce</t>
        </is>
      </c>
      <c r="J488" s="31">
        <f>IF(INDIRECT(ADDRESS(ROW() + (0),COLUMN() + (1)))="Agregar cuotas", IF(("16%")="", "-", "16%"), IF(INDIRECT(ADDRESS(ROW() + (0),COLUMN() + (1)))="No agregar cuotas", IF(("16%")="", "-", "16%"), "-"))</f>
        <v/>
      </c>
      <c r="K488" s="0" t="inlineStr">
        <is>
          <t>No agregar cuotas</t>
        </is>
      </c>
      <c r="L488" s="31">
        <f>IF(INDIRECT(ADDRESS(ROW() + (0),COLUMN() + (-1)))="Agregar cuotas", IF(("13.4%")="", "Sin costo", "13.4%"), IF(INDIRECT(ADDRESS(ROW() + (0),COLUMN() + (-1)))="No agregar cuotas", IF(("")="", "Sin costo", ""), "-"))</f>
        <v/>
      </c>
      <c r="M488" s="0" t="inlineStr">
        <is>
          <t>Mercado Envíos</t>
        </is>
      </c>
      <c r="N488" s="0" t="inlineStr">
        <is>
          <t>A cargo del comprador</t>
        </is>
      </c>
      <c r="O488" s="0" t="inlineStr">
        <is>
          <t>Acepto</t>
        </is>
      </c>
      <c r="P488" s="47" t="inlineStr">
        <is>
          <t>Sin garantía</t>
        </is>
      </c>
      <c r="R488" s="0" t="inlineStr">
        <is>
          <t>Seleccionar</t>
        </is>
      </c>
      <c r="S488" s="0" t="inlineStr">
        <is>
          <t>No ofrezco</t>
        </is>
      </c>
      <c r="T488" t="n">
        <v>1951</v>
      </c>
      <c r="U488" s="0" t="inlineStr">
        <is>
          <t>Inglaterra</t>
        </is>
      </c>
      <c r="X488" s="0" t="inlineStr">
        <is>
          <t>Bronce</t>
        </is>
      </c>
      <c r="Z488" t="inlineStr">
        <is>
          <t>Farthing</t>
        </is>
      </c>
      <c r="AA488" s="0" t="inlineStr">
        <is>
          <t>Dólar</t>
        </is>
      </c>
      <c r="AB4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8" s="53">
        <f>IF(OR(TRIM(INDIRECT("B"&amp;ROW())) &lt;&gt; "",TRIM(INDIRECT("A"&amp;ROW())) &lt;&gt; ""),AND(TRIM(INDIRECT("A"&amp;ROW())) &lt;&gt; "",TRIM(INDIRECT("D"&amp;ROW())) = "nuevo"),"")</f>
        <v/>
      </c>
    </row>
    <row r="489" ht="27.5" customHeight="1" s="62">
      <c r="B489" t="inlineStr">
        <is>
          <t>Moneda Reino Unido 1 Penny 1891</t>
        </is>
      </c>
      <c r="C489" s="0">
        <f>LEN(INDIRECT(ADDRESS(ROW() + (0),COLUMN() + (-1))))</f>
        <v/>
      </c>
      <c r="D489" s="0" t="inlineStr">
        <is>
          <t>Usado</t>
        </is>
      </c>
      <c r="E489" s="38" t="inlineStr">
        <is>
          <t>https://numismaticapopper.com/images/1022A.jpeg,https://numismaticapopper.com/images/1022B.jpeg</t>
        </is>
      </c>
      <c r="F489" t="inlineStr">
        <is>
          <t>1022</t>
        </is>
      </c>
      <c r="G489" s="40" t="n">
        <v>1</v>
      </c>
      <c r="H489" t="n">
        <v>31000</v>
      </c>
      <c r="I489" t="inlineStr">
        <is>
          <t>Estado de conservacion: Muy Buena
Referencia de catalogo: KM# 754
Material: Bronce</t>
        </is>
      </c>
      <c r="J489" s="31">
        <f>IF(INDIRECT(ADDRESS(ROW() + (0),COLUMN() + (1)))="Agregar cuotas", IF(("16%")="", "-", "16%"), IF(INDIRECT(ADDRESS(ROW() + (0),COLUMN() + (1)))="No agregar cuotas", IF(("16%")="", "-", "16%"), "-"))</f>
        <v/>
      </c>
      <c r="K489" s="0" t="inlineStr">
        <is>
          <t>No agregar cuotas</t>
        </is>
      </c>
      <c r="L489" s="31">
        <f>IF(INDIRECT(ADDRESS(ROW() + (0),COLUMN() + (-1)))="Agregar cuotas", IF(("13.4%")="", "Sin costo", "13.4%"), IF(INDIRECT(ADDRESS(ROW() + (0),COLUMN() + (-1)))="No agregar cuotas", IF(("")="", "Sin costo", ""), "-"))</f>
        <v/>
      </c>
      <c r="M489" s="0" t="inlineStr">
        <is>
          <t>Mercado Envíos</t>
        </is>
      </c>
      <c r="N489" s="0" t="inlineStr">
        <is>
          <t>A cargo del comprador</t>
        </is>
      </c>
      <c r="O489" s="0" t="inlineStr">
        <is>
          <t>Acepto</t>
        </is>
      </c>
      <c r="P489" s="47" t="inlineStr">
        <is>
          <t>Sin garantía</t>
        </is>
      </c>
      <c r="R489" s="0" t="inlineStr">
        <is>
          <t>Seleccionar</t>
        </is>
      </c>
      <c r="S489" s="0" t="inlineStr">
        <is>
          <t>No ofrezco</t>
        </is>
      </c>
      <c r="T489" t="n">
        <v>1891</v>
      </c>
      <c r="U489" s="0" t="inlineStr">
        <is>
          <t>Inglaterra</t>
        </is>
      </c>
      <c r="X489" s="0" t="inlineStr">
        <is>
          <t>Bronce</t>
        </is>
      </c>
      <c r="Z489" t="inlineStr">
        <is>
          <t>1 Penny</t>
        </is>
      </c>
      <c r="AA489" s="0" t="inlineStr">
        <is>
          <t>Dólar</t>
        </is>
      </c>
      <c r="AB4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89" s="53">
        <f>IF(OR(TRIM(INDIRECT("B"&amp;ROW())) &lt;&gt; "",TRIM(INDIRECT("A"&amp;ROW())) &lt;&gt; ""),AND(TRIM(INDIRECT("A"&amp;ROW())) &lt;&gt; "",TRIM(INDIRECT("D"&amp;ROW())) = "nuevo"),"")</f>
        <v/>
      </c>
    </row>
    <row r="490" ht="27.5" customHeight="1" s="62">
      <c r="B490" t="inlineStr">
        <is>
          <t>Moneda Alemania 2 Reichspfennig A 1924</t>
        </is>
      </c>
      <c r="C490" s="0">
        <f>LEN(INDIRECT(ADDRESS(ROW() + (0),COLUMN() + (-1))))</f>
        <v/>
      </c>
      <c r="D490" s="0" t="inlineStr">
        <is>
          <t>Usado</t>
        </is>
      </c>
      <c r="E490" s="38" t="inlineStr">
        <is>
          <t>https://numismaticapopper.com/images/1023A.jpeg,https://numismaticapopper.com/images/1023B.jpeg</t>
        </is>
      </c>
      <c r="F490" t="inlineStr">
        <is>
          <t>1023</t>
        </is>
      </c>
      <c r="G490" s="40" t="n">
        <v>1</v>
      </c>
      <c r="H490" t="n">
        <v>12000</v>
      </c>
      <c r="I490" t="inlineStr">
        <is>
          <t>Estado de conservacion: Excelente -
Referencia de catalogo: KM# 37
Material: Bronce</t>
        </is>
      </c>
      <c r="J490" s="31">
        <f>IF(INDIRECT(ADDRESS(ROW() + (0),COLUMN() + (1)))="Agregar cuotas", IF(("16%")="", "-", "16%"), IF(INDIRECT(ADDRESS(ROW() + (0),COLUMN() + (1)))="No agregar cuotas", IF(("16%")="", "-", "16%"), "-"))</f>
        <v/>
      </c>
      <c r="K490" s="0" t="inlineStr">
        <is>
          <t>No agregar cuotas</t>
        </is>
      </c>
      <c r="L490" s="31">
        <f>IF(INDIRECT(ADDRESS(ROW() + (0),COLUMN() + (-1)))="Agregar cuotas", IF(("13.4%")="", "Sin costo", "13.4%"), IF(INDIRECT(ADDRESS(ROW() + (0),COLUMN() + (-1)))="No agregar cuotas", IF(("")="", "Sin costo", ""), "-"))</f>
        <v/>
      </c>
      <c r="M490" s="0" t="inlineStr">
        <is>
          <t>Mercado Envíos</t>
        </is>
      </c>
      <c r="N490" s="0" t="inlineStr">
        <is>
          <t>A cargo del comprador</t>
        </is>
      </c>
      <c r="O490" s="0" t="inlineStr">
        <is>
          <t>Acepto</t>
        </is>
      </c>
      <c r="P490" s="47" t="inlineStr">
        <is>
          <t>Sin garantía</t>
        </is>
      </c>
      <c r="R490" s="0" t="inlineStr">
        <is>
          <t>Seleccionar</t>
        </is>
      </c>
      <c r="S490" s="0" t="inlineStr">
        <is>
          <t>No ofrezco</t>
        </is>
      </c>
      <c r="T490" t="n">
        <v>1924</v>
      </c>
      <c r="U490" s="0" t="inlineStr">
        <is>
          <t>Alemania</t>
        </is>
      </c>
      <c r="X490" s="0" t="inlineStr">
        <is>
          <t>Bronce</t>
        </is>
      </c>
      <c r="Z490" t="inlineStr">
        <is>
          <t>2 Reichspfennig A</t>
        </is>
      </c>
      <c r="AA490" s="0" t="inlineStr">
        <is>
          <t>Euro</t>
        </is>
      </c>
      <c r="AB4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0" s="53">
        <f>IF(OR(TRIM(INDIRECT("B"&amp;ROW())) &lt;&gt; "",TRIM(INDIRECT("A"&amp;ROW())) &lt;&gt; ""),AND(TRIM(INDIRECT("A"&amp;ROW())) &lt;&gt; "",TRIM(INDIRECT("D"&amp;ROW())) = "nuevo"),"")</f>
        <v/>
      </c>
    </row>
    <row r="491" ht="27.5" customHeight="1" s="62">
      <c r="B491" t="inlineStr">
        <is>
          <t>Moneda Reino Unido Farthing 1923</t>
        </is>
      </c>
      <c r="C491" s="0">
        <f>LEN(INDIRECT(ADDRESS(ROW() + (0),COLUMN() + (-1))))</f>
        <v/>
      </c>
      <c r="D491" s="0" t="inlineStr">
        <is>
          <t>Usado</t>
        </is>
      </c>
      <c r="E491" s="38" t="inlineStr">
        <is>
          <t>https://numismaticapopper.com/images/1025A.jpeg,https://numismaticapopper.com/images/1025B.jpeg</t>
        </is>
      </c>
      <c r="F491" t="inlineStr">
        <is>
          <t>1025</t>
        </is>
      </c>
      <c r="G491" s="40" t="n">
        <v>1</v>
      </c>
      <c r="H491" t="n">
        <v>13000</v>
      </c>
      <c r="I491" t="inlineStr">
        <is>
          <t>Estado de conservacion: Muy Buena +
Referencia de catalogo: KM# 825
Material: Bronce</t>
        </is>
      </c>
      <c r="J491" s="31">
        <f>IF(INDIRECT(ADDRESS(ROW() + (0),COLUMN() + (1)))="Agregar cuotas", IF(("16%")="", "-", "16%"), IF(INDIRECT(ADDRESS(ROW() + (0),COLUMN() + (1)))="No agregar cuotas", IF(("16%")="", "-", "16%"), "-"))</f>
        <v/>
      </c>
      <c r="K491" s="0" t="inlineStr">
        <is>
          <t>No agregar cuotas</t>
        </is>
      </c>
      <c r="L491" s="31">
        <f>IF(INDIRECT(ADDRESS(ROW() + (0),COLUMN() + (-1)))="Agregar cuotas", IF(("13.4%")="", "Sin costo", "13.4%"), IF(INDIRECT(ADDRESS(ROW() + (0),COLUMN() + (-1)))="No agregar cuotas", IF(("")="", "Sin costo", ""), "-"))</f>
        <v/>
      </c>
      <c r="M491" s="0" t="inlineStr">
        <is>
          <t>Mercado Envíos</t>
        </is>
      </c>
      <c r="N491" s="0" t="inlineStr">
        <is>
          <t>A cargo del comprador</t>
        </is>
      </c>
      <c r="O491" s="0" t="inlineStr">
        <is>
          <t>Acepto</t>
        </is>
      </c>
      <c r="P491" s="47" t="inlineStr">
        <is>
          <t>Sin garantía</t>
        </is>
      </c>
      <c r="R491" s="0" t="inlineStr">
        <is>
          <t>Seleccionar</t>
        </is>
      </c>
      <c r="S491" s="0" t="inlineStr">
        <is>
          <t>No ofrezco</t>
        </is>
      </c>
      <c r="T491" t="n">
        <v>1923</v>
      </c>
      <c r="U491" s="0" t="inlineStr">
        <is>
          <t>Inglaterra</t>
        </is>
      </c>
      <c r="X491" s="0" t="inlineStr">
        <is>
          <t>Bronce</t>
        </is>
      </c>
      <c r="Z491" t="inlineStr">
        <is>
          <t>Farthing</t>
        </is>
      </c>
      <c r="AA491" s="0" t="inlineStr">
        <is>
          <t>Dólar</t>
        </is>
      </c>
      <c r="AB4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1" s="53">
        <f>IF(OR(TRIM(INDIRECT("B"&amp;ROW())) &lt;&gt; "",TRIM(INDIRECT("A"&amp;ROW())) &lt;&gt; ""),AND(TRIM(INDIRECT("A"&amp;ROW())) &lt;&gt; "",TRIM(INDIRECT("D"&amp;ROW())) = "nuevo"),"")</f>
        <v/>
      </c>
    </row>
    <row r="492" ht="27.5" customHeight="1" s="62">
      <c r="B492" t="inlineStr">
        <is>
          <t>Moneda Alemania 5 Euro G 2019</t>
        </is>
      </c>
      <c r="C492" s="0">
        <f>LEN(INDIRECT(ADDRESS(ROW() + (0),COLUMN() + (-1))))</f>
        <v/>
      </c>
      <c r="D492" s="0" t="inlineStr">
        <is>
          <t>Usado</t>
        </is>
      </c>
      <c r="E492" s="38" t="inlineStr">
        <is>
          <t>https://numismaticapopper.com/images/1026A.jpeg,https://numismaticapopper.com/images/1026B.jpeg</t>
        </is>
      </c>
      <c r="F492" t="inlineStr">
        <is>
          <t>1026</t>
        </is>
      </c>
      <c r="G492" s="40" t="n">
        <v>1</v>
      </c>
      <c r="H492" t="n">
        <v>50000</v>
      </c>
      <c r="I492" t="inlineStr">
        <is>
          <t>Estado de conservacion: Sin Circular
Referencia de catalogo: KM# 380
Material: Cuproníquel (con polímero)
Tirada: 600000
Conmemora: Zonas climáticas de la Tierra: Zona templada
Zonas climáticas de la Tierra: Zona templada. Escasa.</t>
        </is>
      </c>
      <c r="J492" s="31">
        <f>IF(INDIRECT(ADDRESS(ROW() + (0),COLUMN() + (1)))="Agregar cuotas", IF(("16%")="", "-", "16%"), IF(INDIRECT(ADDRESS(ROW() + (0),COLUMN() + (1)))="No agregar cuotas", IF(("16%")="", "-", "16%"), "-"))</f>
        <v/>
      </c>
      <c r="K492" s="0" t="inlineStr">
        <is>
          <t>No agregar cuotas</t>
        </is>
      </c>
      <c r="L492" s="31">
        <f>IF(INDIRECT(ADDRESS(ROW() + (0),COLUMN() + (-1)))="Agregar cuotas", IF(("13.4%")="", "Sin costo", "13.4%"), IF(INDIRECT(ADDRESS(ROW() + (0),COLUMN() + (-1)))="No agregar cuotas", IF(("")="", "Sin costo", ""), "-"))</f>
        <v/>
      </c>
      <c r="M492" s="0" t="inlineStr">
        <is>
          <t>Mercado Envíos</t>
        </is>
      </c>
      <c r="N492" s="0" t="inlineStr">
        <is>
          <t>A cargo del comprador</t>
        </is>
      </c>
      <c r="O492" s="0" t="inlineStr">
        <is>
          <t>Acepto</t>
        </is>
      </c>
      <c r="P492" s="47" t="inlineStr">
        <is>
          <t>Sin garantía</t>
        </is>
      </c>
      <c r="R492" s="0" t="inlineStr">
        <is>
          <t>Seleccionar</t>
        </is>
      </c>
      <c r="S492" s="0" t="inlineStr">
        <is>
          <t>No ofrezco</t>
        </is>
      </c>
      <c r="T492" t="n">
        <v>2019</v>
      </c>
      <c r="U492" s="0" t="inlineStr">
        <is>
          <t>Alemania</t>
        </is>
      </c>
      <c r="X492" s="0" t="inlineStr">
        <is>
          <t>Níquel</t>
        </is>
      </c>
      <c r="Y492" t="inlineStr">
        <is>
          <t>Zonas climáticas de la Tierra: Zona templada</t>
        </is>
      </c>
      <c r="Z492" t="inlineStr">
        <is>
          <t>5 Euro G</t>
        </is>
      </c>
      <c r="AA492" s="0" t="inlineStr">
        <is>
          <t>Euro</t>
        </is>
      </c>
      <c r="AB4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2" s="53">
        <f>IF(OR(TRIM(INDIRECT("B"&amp;ROW())) &lt;&gt; "",TRIM(INDIRECT("A"&amp;ROW())) &lt;&gt; ""),AND(TRIM(INDIRECT("A"&amp;ROW())) &lt;&gt; "",TRIM(INDIRECT("D"&amp;ROW())) = "nuevo"),"")</f>
        <v/>
      </c>
    </row>
    <row r="493" ht="27.5" customHeight="1" s="62">
      <c r="B493" t="inlineStr">
        <is>
          <t>Moneda Reino Unido 1/2 Penny 1920</t>
        </is>
      </c>
      <c r="C493" s="0">
        <f>LEN(INDIRECT(ADDRESS(ROW() + (0),COLUMN() + (-1))))</f>
        <v/>
      </c>
      <c r="D493" s="0" t="inlineStr">
        <is>
          <t>Usado</t>
        </is>
      </c>
      <c r="E493" s="38" t="inlineStr">
        <is>
          <t>https://numismaticapopper.com/images/1029A.jpeg,https://numismaticapopper.com/images/1029B.jpeg</t>
        </is>
      </c>
      <c r="F493" t="inlineStr">
        <is>
          <t>1029</t>
        </is>
      </c>
      <c r="G493" s="40" t="n">
        <v>1</v>
      </c>
      <c r="H493" t="n">
        <v>15000</v>
      </c>
      <c r="I493" t="inlineStr">
        <is>
          <t>Estado de conservacion: Muy Buena
Referencia de catalogo: KM# 815
Material: Bronce</t>
        </is>
      </c>
      <c r="J493" s="31">
        <f>IF(INDIRECT(ADDRESS(ROW() + (0),COLUMN() + (1)))="Agregar cuotas", IF(("16%")="", "-", "16%"), IF(INDIRECT(ADDRESS(ROW() + (0),COLUMN() + (1)))="No agregar cuotas", IF(("16%")="", "-", "16%"), "-"))</f>
        <v/>
      </c>
      <c r="K493" s="0" t="inlineStr">
        <is>
          <t>No agregar cuotas</t>
        </is>
      </c>
      <c r="L493" s="31">
        <f>IF(INDIRECT(ADDRESS(ROW() + (0),COLUMN() + (-1)))="Agregar cuotas", IF(("13.4%")="", "Sin costo", "13.4%"), IF(INDIRECT(ADDRESS(ROW() + (0),COLUMN() + (-1)))="No agregar cuotas", IF(("")="", "Sin costo", ""), "-"))</f>
        <v/>
      </c>
      <c r="M493" s="0" t="inlineStr">
        <is>
          <t>Mercado Envíos</t>
        </is>
      </c>
      <c r="N493" s="0" t="inlineStr">
        <is>
          <t>A cargo del comprador</t>
        </is>
      </c>
      <c r="O493" s="0" t="inlineStr">
        <is>
          <t>Acepto</t>
        </is>
      </c>
      <c r="P493" s="47" t="inlineStr">
        <is>
          <t>Sin garantía</t>
        </is>
      </c>
      <c r="R493" s="0" t="inlineStr">
        <is>
          <t>Seleccionar</t>
        </is>
      </c>
      <c r="S493" s="0" t="inlineStr">
        <is>
          <t>No ofrezco</t>
        </is>
      </c>
      <c r="T493" t="n">
        <v>1920</v>
      </c>
      <c r="U493" s="0" t="inlineStr">
        <is>
          <t>Inglaterra</t>
        </is>
      </c>
      <c r="X493" s="0" t="inlineStr">
        <is>
          <t>Bronce</t>
        </is>
      </c>
      <c r="Z493" t="inlineStr">
        <is>
          <t>1/2 Penny</t>
        </is>
      </c>
      <c r="AA493" s="0" t="inlineStr">
        <is>
          <t>Dólar</t>
        </is>
      </c>
      <c r="AB4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3" s="53">
        <f>IF(OR(TRIM(INDIRECT("B"&amp;ROW())) &lt;&gt; "",TRIM(INDIRECT("A"&amp;ROW())) &lt;&gt; ""),AND(TRIM(INDIRECT("A"&amp;ROW())) &lt;&gt; "",TRIM(INDIRECT("D"&amp;ROW())) = "nuevo"),"")</f>
        <v/>
      </c>
    </row>
    <row r="494" ht="27.5" customHeight="1" s="62">
      <c r="B494" t="inlineStr">
        <is>
          <t>Moneda Congo Belga 1 Franco 1946</t>
        </is>
      </c>
      <c r="C494" s="0">
        <f>LEN(INDIRECT(ADDRESS(ROW() + (0),COLUMN() + (-1))))</f>
        <v/>
      </c>
      <c r="D494" s="0" t="inlineStr">
        <is>
          <t>Usado</t>
        </is>
      </c>
      <c r="E494" s="38" t="inlineStr">
        <is>
          <t>https://numismaticapopper.com/images/1031A.jpeg,https://numismaticapopper.com/images/1031B.jpeg</t>
        </is>
      </c>
      <c r="F494" t="inlineStr">
        <is>
          <t>1031</t>
        </is>
      </c>
      <c r="G494" s="40" t="n">
        <v>1</v>
      </c>
      <c r="H494" t="n">
        <v>22000</v>
      </c>
      <c r="I494" t="inlineStr">
        <is>
          <t>Estado de conservacion: Excelente -
Referencia de catalogo: KM# 26
Material: Latón
Tirada: 15000000</t>
        </is>
      </c>
      <c r="J494" s="31">
        <f>IF(INDIRECT(ADDRESS(ROW() + (0),COLUMN() + (1)))="Agregar cuotas", IF(("16%")="", "-", "16%"), IF(INDIRECT(ADDRESS(ROW() + (0),COLUMN() + (1)))="No agregar cuotas", IF(("16%")="", "-", "16%"), "-"))</f>
        <v/>
      </c>
      <c r="K494" s="0" t="inlineStr">
        <is>
          <t>No agregar cuotas</t>
        </is>
      </c>
      <c r="L494" s="31">
        <f>IF(INDIRECT(ADDRESS(ROW() + (0),COLUMN() + (-1)))="Agregar cuotas", IF(("13.4%")="", "Sin costo", "13.4%"), IF(INDIRECT(ADDRESS(ROW() + (0),COLUMN() + (-1)))="No agregar cuotas", IF(("")="", "Sin costo", ""), "-"))</f>
        <v/>
      </c>
      <c r="M494" s="0" t="inlineStr">
        <is>
          <t>Mercado Envíos</t>
        </is>
      </c>
      <c r="N494" s="0" t="inlineStr">
        <is>
          <t>A cargo del comprador</t>
        </is>
      </c>
      <c r="O494" s="0" t="inlineStr">
        <is>
          <t>Acepto</t>
        </is>
      </c>
      <c r="P494" s="47" t="inlineStr">
        <is>
          <t>Sin garantía</t>
        </is>
      </c>
      <c r="R494" s="0" t="inlineStr">
        <is>
          <t>Seleccionar</t>
        </is>
      </c>
      <c r="S494" s="0" t="inlineStr">
        <is>
          <t>No ofrezco</t>
        </is>
      </c>
      <c r="T494" t="n">
        <v>1946</v>
      </c>
      <c r="U494" s="0" t="inlineStr">
        <is>
          <t>Bélgica</t>
        </is>
      </c>
      <c r="X494" s="0" t="inlineStr">
        <is>
          <t>Bronce</t>
        </is>
      </c>
      <c r="Z494" t="inlineStr">
        <is>
          <t>1 Franco</t>
        </is>
      </c>
      <c r="AA494" s="0" t="inlineStr">
        <is>
          <t>Euro</t>
        </is>
      </c>
      <c r="AB4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4" s="53">
        <f>IF(OR(TRIM(INDIRECT("B"&amp;ROW())) &lt;&gt; "",TRIM(INDIRECT("A"&amp;ROW())) &lt;&gt; ""),AND(TRIM(INDIRECT("A"&amp;ROW())) &lt;&gt; "",TRIM(INDIRECT("D"&amp;ROW())) = "nuevo"),"")</f>
        <v/>
      </c>
    </row>
    <row r="495" ht="27.5" customHeight="1" s="62">
      <c r="B495" t="inlineStr">
        <is>
          <t>Moneda Ruanda 50 Francos 1977</t>
        </is>
      </c>
      <c r="C495" s="0">
        <f>LEN(INDIRECT(ADDRESS(ROW() + (0),COLUMN() + (-1))))</f>
        <v/>
      </c>
      <c r="D495" s="0" t="inlineStr">
        <is>
          <t>Usado</t>
        </is>
      </c>
      <c r="E495" s="38" t="inlineStr">
        <is>
          <t>https://numismaticapopper.com/images/1032A.jpeg,https://numismaticapopper.com/images/1032B.jpeg</t>
        </is>
      </c>
      <c r="F495" t="inlineStr">
        <is>
          <t>1032</t>
        </is>
      </c>
      <c r="G495" s="40" t="n">
        <v>1</v>
      </c>
      <c r="H495" t="n">
        <v>18000</v>
      </c>
      <c r="I495" t="inlineStr">
        <is>
          <t>Estado de conservacion: Muy Buena +
Referencia de catalogo: KM# 16
Material: Latón
Tirada: 9000000</t>
        </is>
      </c>
      <c r="J495" s="31">
        <f>IF(INDIRECT(ADDRESS(ROW() + (0),COLUMN() + (1)))="Agregar cuotas", IF(("16%")="", "-", "16%"), IF(INDIRECT(ADDRESS(ROW() + (0),COLUMN() + (1)))="No agregar cuotas", IF(("16%")="", "-", "16%"), "-"))</f>
        <v/>
      </c>
      <c r="K495" s="0" t="inlineStr">
        <is>
          <t>No agregar cuotas</t>
        </is>
      </c>
      <c r="L495" s="31">
        <f>IF(INDIRECT(ADDRESS(ROW() + (0),COLUMN() + (-1)))="Agregar cuotas", IF(("13.4%")="", "Sin costo", "13.4%"), IF(INDIRECT(ADDRESS(ROW() + (0),COLUMN() + (-1)))="No agregar cuotas", IF(("")="", "Sin costo", ""), "-"))</f>
        <v/>
      </c>
      <c r="M495" s="0" t="inlineStr">
        <is>
          <t>Mercado Envíos</t>
        </is>
      </c>
      <c r="N495" s="0" t="inlineStr">
        <is>
          <t>A cargo del comprador</t>
        </is>
      </c>
      <c r="O495" s="0" t="inlineStr">
        <is>
          <t>Acepto</t>
        </is>
      </c>
      <c r="P495" s="47" t="inlineStr">
        <is>
          <t>Sin garantía</t>
        </is>
      </c>
      <c r="R495" s="0" t="inlineStr">
        <is>
          <t>Seleccionar</t>
        </is>
      </c>
      <c r="S495" s="0" t="inlineStr">
        <is>
          <t>No ofrezco</t>
        </is>
      </c>
      <c r="T495" t="n">
        <v>1977</v>
      </c>
      <c r="U495" s="0" t="inlineStr">
        <is>
          <t>Bélgica</t>
        </is>
      </c>
      <c r="X495" s="0" t="inlineStr">
        <is>
          <t>Bronce</t>
        </is>
      </c>
      <c r="Z495" t="inlineStr">
        <is>
          <t>50 Francos</t>
        </is>
      </c>
      <c r="AA495" s="0" t="inlineStr">
        <is>
          <t>Euro</t>
        </is>
      </c>
      <c r="AB4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5" s="53">
        <f>IF(OR(TRIM(INDIRECT("B"&amp;ROW())) &lt;&gt; "",TRIM(INDIRECT("A"&amp;ROW())) &lt;&gt; ""),AND(TRIM(INDIRECT("A"&amp;ROW())) &lt;&gt; "",TRIM(INDIRECT("D"&amp;ROW())) = "nuevo"),"")</f>
        <v/>
      </c>
    </row>
    <row r="496" ht="27.5" customHeight="1" s="62">
      <c r="B496" t="inlineStr">
        <is>
          <t>Moneda Congo Belga y Ruanda-Urundi 1 Franco 1959</t>
        </is>
      </c>
      <c r="C496" s="0">
        <f>LEN(INDIRECT(ADDRESS(ROW() + (0),COLUMN() + (-1))))</f>
        <v/>
      </c>
      <c r="D496" s="0" t="inlineStr">
        <is>
          <t>Usado</t>
        </is>
      </c>
      <c r="E496" s="38" t="inlineStr">
        <is>
          <t>https://numismaticapopper.com/images/1040A.jpeg,https://numismaticapopper.com/images/1040B.jpeg</t>
        </is>
      </c>
      <c r="F496" t="inlineStr">
        <is>
          <t>1040</t>
        </is>
      </c>
      <c r="G496" s="40" t="n">
        <v>1</v>
      </c>
      <c r="H496" t="n">
        <v>24000</v>
      </c>
      <c r="I496" t="inlineStr">
        <is>
          <t>Estado de conservacion: Muy Buena -
Referencia de catalogo: KM# 4
Material: Aluminio
Tirada: 20000000</t>
        </is>
      </c>
      <c r="J496" s="31">
        <f>IF(INDIRECT(ADDRESS(ROW() + (0),COLUMN() + (1)))="Agregar cuotas", IF(("16%")="", "-", "16%"), IF(INDIRECT(ADDRESS(ROW() + (0),COLUMN() + (1)))="No agregar cuotas", IF(("16%")="", "-", "16%"), "-"))</f>
        <v/>
      </c>
      <c r="K496" s="0" t="inlineStr">
        <is>
          <t>No agregar cuotas</t>
        </is>
      </c>
      <c r="L496" s="31">
        <f>IF(INDIRECT(ADDRESS(ROW() + (0),COLUMN() + (-1)))="Agregar cuotas", IF(("13.4%")="", "Sin costo", "13.4%"), IF(INDIRECT(ADDRESS(ROW() + (0),COLUMN() + (-1)))="No agregar cuotas", IF(("")="", "Sin costo", ""), "-"))</f>
        <v/>
      </c>
      <c r="M496" s="0" t="inlineStr">
        <is>
          <t>Mercado Envíos</t>
        </is>
      </c>
      <c r="N496" s="0" t="inlineStr">
        <is>
          <t>A cargo del comprador</t>
        </is>
      </c>
      <c r="O496" s="0" t="inlineStr">
        <is>
          <t>Acepto</t>
        </is>
      </c>
      <c r="P496" s="47" t="inlineStr">
        <is>
          <t>Sin garantía</t>
        </is>
      </c>
      <c r="R496" s="0" t="inlineStr">
        <is>
          <t>Seleccionar</t>
        </is>
      </c>
      <c r="S496" s="0" t="inlineStr">
        <is>
          <t>No ofrezco</t>
        </is>
      </c>
      <c r="T496" t="n">
        <v>1959</v>
      </c>
      <c r="U496" s="0" t="inlineStr">
        <is>
          <t>Bélgica</t>
        </is>
      </c>
      <c r="X496" s="0" t="inlineStr">
        <is>
          <t>Níquel</t>
        </is>
      </c>
      <c r="Z496" t="inlineStr">
        <is>
          <t>1 Franco</t>
        </is>
      </c>
      <c r="AA496" s="0" t="inlineStr">
        <is>
          <t>Euro</t>
        </is>
      </c>
      <c r="AB4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6" s="53">
        <f>IF(OR(TRIM(INDIRECT("B"&amp;ROW())) &lt;&gt; "",TRIM(INDIRECT("A"&amp;ROW())) &lt;&gt; ""),AND(TRIM(INDIRECT("A"&amp;ROW())) &lt;&gt; "",TRIM(INDIRECT("D"&amp;ROW())) = "nuevo"),"")</f>
        <v/>
      </c>
    </row>
    <row r="497" ht="27.5" customHeight="1" s="62">
      <c r="B497" t="inlineStr">
        <is>
          <t>Moneda Luxemburgo 25 Centimes 1946</t>
        </is>
      </c>
      <c r="C497" s="0">
        <f>LEN(INDIRECT(ADDRESS(ROW() + (0),COLUMN() + (-1))))</f>
        <v/>
      </c>
      <c r="D497" s="0" t="inlineStr">
        <is>
          <t>Usado</t>
        </is>
      </c>
      <c r="E497" s="38" t="inlineStr">
        <is>
          <t>https://numismaticapopper.com/images/1050A.jpeg,https://numismaticapopper.com/images/1050B.jpeg</t>
        </is>
      </c>
      <c r="F497" t="inlineStr">
        <is>
          <t>1050</t>
        </is>
      </c>
      <c r="G497" s="40" t="n">
        <v>1</v>
      </c>
      <c r="H497" t="n">
        <v>31000</v>
      </c>
      <c r="I497" t="inlineStr">
        <is>
          <t>Estado de conservacion: Excelente
Referencia de catalogo: KM# E43
Material: Bronce
Tirada: 500
Post Guerra, Escasa</t>
        </is>
      </c>
      <c r="J497" s="31">
        <f>IF(INDIRECT(ADDRESS(ROW() + (0),COLUMN() + (1)))="Agregar cuotas", IF(("16%")="", "-", "16%"), IF(INDIRECT(ADDRESS(ROW() + (0),COLUMN() + (1)))="No agregar cuotas", IF(("16%")="", "-", "16%"), "-"))</f>
        <v/>
      </c>
      <c r="K497" s="0" t="inlineStr">
        <is>
          <t>No agregar cuotas</t>
        </is>
      </c>
      <c r="L497" s="31">
        <f>IF(INDIRECT(ADDRESS(ROW() + (0),COLUMN() + (-1)))="Agregar cuotas", IF(("13.4%")="", "Sin costo", "13.4%"), IF(INDIRECT(ADDRESS(ROW() + (0),COLUMN() + (-1)))="No agregar cuotas", IF(("")="", "Sin costo", ""), "-"))</f>
        <v/>
      </c>
      <c r="M497" s="0" t="inlineStr">
        <is>
          <t>Mercado Envíos</t>
        </is>
      </c>
      <c r="N497" s="0" t="inlineStr">
        <is>
          <t>A cargo del comprador</t>
        </is>
      </c>
      <c r="O497" s="0" t="inlineStr">
        <is>
          <t>Acepto</t>
        </is>
      </c>
      <c r="P497" s="47" t="inlineStr">
        <is>
          <t>Sin garantía</t>
        </is>
      </c>
      <c r="R497" s="0" t="inlineStr">
        <is>
          <t>Seleccionar</t>
        </is>
      </c>
      <c r="S497" s="0" t="inlineStr">
        <is>
          <t>No ofrezco</t>
        </is>
      </c>
      <c r="T497" t="n">
        <v>1946</v>
      </c>
      <c r="U497" s="0" t="inlineStr">
        <is>
          <t>Bélgica</t>
        </is>
      </c>
      <c r="X497" s="0" t="inlineStr">
        <is>
          <t>Bronce</t>
        </is>
      </c>
      <c r="Z497" t="inlineStr">
        <is>
          <t>25 Centimes</t>
        </is>
      </c>
      <c r="AA497" s="0" t="inlineStr">
        <is>
          <t>Euro</t>
        </is>
      </c>
      <c r="AB4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7" s="53">
        <f>IF(OR(TRIM(INDIRECT("B"&amp;ROW())) &lt;&gt; "",TRIM(INDIRECT("A"&amp;ROW())) &lt;&gt; ""),AND(TRIM(INDIRECT("A"&amp;ROW())) &lt;&gt; "",TRIM(INDIRECT("D"&amp;ROW())) = "nuevo"),"")</f>
        <v/>
      </c>
    </row>
    <row r="498" ht="27.5" customHeight="1" s="62">
      <c r="B498" t="inlineStr">
        <is>
          <t>Moneda Alemania 1 Reichspfennig 1941</t>
        </is>
      </c>
      <c r="C498" s="0">
        <f>LEN(INDIRECT(ADDRESS(ROW() + (0),COLUMN() + (-1))))</f>
        <v/>
      </c>
      <c r="D498" s="0" t="inlineStr">
        <is>
          <t>Usado</t>
        </is>
      </c>
      <c r="E498" s="38" t="inlineStr">
        <is>
          <t>https://numismaticapopper.com/images/1054A.jpeg,https://numismaticapopper.com/images/1054B.jpeg</t>
        </is>
      </c>
      <c r="F498" t="inlineStr">
        <is>
          <t>1054</t>
        </is>
      </c>
      <c r="G498" s="40" t="n">
        <v>1</v>
      </c>
      <c r="H498" t="n">
        <v>16000</v>
      </c>
      <c r="I498" t="inlineStr">
        <is>
          <t>Estado de conservacion: Muy Buena
Referencia de catalogo: KM# 97
Material: Zinc</t>
        </is>
      </c>
      <c r="J498" s="31">
        <f>IF(INDIRECT(ADDRESS(ROW() + (0),COLUMN() + (1)))="Agregar cuotas", IF(("16%")="", "-", "16%"), IF(INDIRECT(ADDRESS(ROW() + (0),COLUMN() + (1)))="No agregar cuotas", IF(("16%")="", "-", "16%"), "-"))</f>
        <v/>
      </c>
      <c r="K498" s="0" t="inlineStr">
        <is>
          <t>No agregar cuotas</t>
        </is>
      </c>
      <c r="L498" s="31">
        <f>IF(INDIRECT(ADDRESS(ROW() + (0),COLUMN() + (-1)))="Agregar cuotas", IF(("13.4%")="", "Sin costo", "13.4%"), IF(INDIRECT(ADDRESS(ROW() + (0),COLUMN() + (-1)))="No agregar cuotas", IF(("")="", "Sin costo", ""), "-"))</f>
        <v/>
      </c>
      <c r="M498" s="0" t="inlineStr">
        <is>
          <t>Mercado Envíos</t>
        </is>
      </c>
      <c r="N498" s="0" t="inlineStr">
        <is>
          <t>A cargo del comprador</t>
        </is>
      </c>
      <c r="O498" s="0" t="inlineStr">
        <is>
          <t>Acepto</t>
        </is>
      </c>
      <c r="P498" s="47" t="inlineStr">
        <is>
          <t>Sin garantía</t>
        </is>
      </c>
      <c r="R498" s="0" t="inlineStr">
        <is>
          <t>Seleccionar</t>
        </is>
      </c>
      <c r="S498" s="0" t="inlineStr">
        <is>
          <t>No ofrezco</t>
        </is>
      </c>
      <c r="T498" t="n">
        <v>1941</v>
      </c>
      <c r="U498" s="0" t="inlineStr">
        <is>
          <t>Alemania</t>
        </is>
      </c>
      <c r="X498" s="0" t="inlineStr">
        <is>
          <t>Níquel</t>
        </is>
      </c>
      <c r="Z498" t="inlineStr">
        <is>
          <t>1 Reichspfennig</t>
        </is>
      </c>
      <c r="AA498" s="0" t="inlineStr">
        <is>
          <t>Euro</t>
        </is>
      </c>
      <c r="AB4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8" s="53">
        <f>IF(OR(TRIM(INDIRECT("B"&amp;ROW())) &lt;&gt; "",TRIM(INDIRECT("A"&amp;ROW())) &lt;&gt; ""),AND(TRIM(INDIRECT("A"&amp;ROW())) &lt;&gt; "",TRIM(INDIRECT("D"&amp;ROW())) = "nuevo"),"")</f>
        <v/>
      </c>
    </row>
    <row r="499" ht="27.5" customHeight="1" s="62">
      <c r="B499" t="inlineStr">
        <is>
          <t>Moneda Alemania 5 Reichspfennig 1941</t>
        </is>
      </c>
      <c r="C499" s="0">
        <f>LEN(INDIRECT(ADDRESS(ROW() + (0),COLUMN() + (-1))))</f>
        <v/>
      </c>
      <c r="D499" s="0" t="inlineStr">
        <is>
          <t>Usado</t>
        </is>
      </c>
      <c r="E499" s="38" t="inlineStr">
        <is>
          <t>https://numismaticapopper.com/images/1055A.jpeg,https://numismaticapopper.com/images/1055B.jpeg</t>
        </is>
      </c>
      <c r="F499" t="inlineStr">
        <is>
          <t>1055</t>
        </is>
      </c>
      <c r="G499" s="40" t="n">
        <v>1</v>
      </c>
      <c r="H499" t="n">
        <v>16000</v>
      </c>
      <c r="I499" t="inlineStr">
        <is>
          <t>Estado de conservacion: Muy Buena
Referencia de catalogo: KM# 100
Material: Zinc</t>
        </is>
      </c>
      <c r="J499" s="31">
        <f>IF(INDIRECT(ADDRESS(ROW() + (0),COLUMN() + (1)))="Agregar cuotas", IF(("16%")="", "-", "16%"), IF(INDIRECT(ADDRESS(ROW() + (0),COLUMN() + (1)))="No agregar cuotas", IF(("16%")="", "-", "16%"), "-"))</f>
        <v/>
      </c>
      <c r="K499" s="0" t="inlineStr">
        <is>
          <t>No agregar cuotas</t>
        </is>
      </c>
      <c r="L499" s="31">
        <f>IF(INDIRECT(ADDRESS(ROW() + (0),COLUMN() + (-1)))="Agregar cuotas", IF(("13.4%")="", "Sin costo", "13.4%"), IF(INDIRECT(ADDRESS(ROW() + (0),COLUMN() + (-1)))="No agregar cuotas", IF(("")="", "Sin costo", ""), "-"))</f>
        <v/>
      </c>
      <c r="M499" s="0" t="inlineStr">
        <is>
          <t>Mercado Envíos</t>
        </is>
      </c>
      <c r="N499" s="0" t="inlineStr">
        <is>
          <t>A cargo del comprador</t>
        </is>
      </c>
      <c r="O499" s="0" t="inlineStr">
        <is>
          <t>Acepto</t>
        </is>
      </c>
      <c r="P499" s="47" t="inlineStr">
        <is>
          <t>Sin garantía</t>
        </is>
      </c>
      <c r="R499" s="0" t="inlineStr">
        <is>
          <t>Seleccionar</t>
        </is>
      </c>
      <c r="S499" s="0" t="inlineStr">
        <is>
          <t>No ofrezco</t>
        </is>
      </c>
      <c r="T499" t="n">
        <v>1941</v>
      </c>
      <c r="U499" s="0" t="inlineStr">
        <is>
          <t>Alemania</t>
        </is>
      </c>
      <c r="X499" s="0" t="inlineStr">
        <is>
          <t>Níquel</t>
        </is>
      </c>
      <c r="Z499" t="inlineStr">
        <is>
          <t>5 Reichspfennig</t>
        </is>
      </c>
      <c r="AA499" s="0" t="inlineStr">
        <is>
          <t>Euro</t>
        </is>
      </c>
      <c r="AB4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499" s="53">
        <f>IF(OR(TRIM(INDIRECT("B"&amp;ROW())) &lt;&gt; "",TRIM(INDIRECT("A"&amp;ROW())) &lt;&gt; ""),AND(TRIM(INDIRECT("A"&amp;ROW())) &lt;&gt; "",TRIM(INDIRECT("D"&amp;ROW())) = "nuevo"),"")</f>
        <v/>
      </c>
    </row>
    <row r="500" ht="27.5" customHeight="1" s="62">
      <c r="B500" t="inlineStr">
        <is>
          <t>Moneda Alemania 10 Reichspfennig 1940</t>
        </is>
      </c>
      <c r="C500" s="0">
        <f>LEN(INDIRECT(ADDRESS(ROW() + (0),COLUMN() + (-1))))</f>
        <v/>
      </c>
      <c r="D500" s="0" t="inlineStr">
        <is>
          <t>Usado</t>
        </is>
      </c>
      <c r="E500" s="38" t="inlineStr">
        <is>
          <t>https://numismaticapopper.com/images/1056A.jpeg,https://numismaticapopper.com/images/1056B.jpeg</t>
        </is>
      </c>
      <c r="F500" t="inlineStr">
        <is>
          <t>1056</t>
        </is>
      </c>
      <c r="G500" s="40" t="n">
        <v>1</v>
      </c>
      <c r="H500" t="n">
        <v>16000</v>
      </c>
      <c r="I500" t="inlineStr">
        <is>
          <t>Estado de conservacion: Muy Buena
Referencia de catalogo: KM# 101
Material: Zinc</t>
        </is>
      </c>
      <c r="J500" s="31">
        <f>IF(INDIRECT(ADDRESS(ROW() + (0),COLUMN() + (1)))="Agregar cuotas", IF(("16%")="", "-", "16%"), IF(INDIRECT(ADDRESS(ROW() + (0),COLUMN() + (1)))="No agregar cuotas", IF(("16%")="", "-", "16%"), "-"))</f>
        <v/>
      </c>
      <c r="K500" s="0" t="inlineStr">
        <is>
          <t>No agregar cuotas</t>
        </is>
      </c>
      <c r="L500" s="31">
        <f>IF(INDIRECT(ADDRESS(ROW() + (0),COLUMN() + (-1)))="Agregar cuotas", IF(("13.4%")="", "Sin costo", "13.4%"), IF(INDIRECT(ADDRESS(ROW() + (0),COLUMN() + (-1)))="No agregar cuotas", IF(("")="", "Sin costo", ""), "-"))</f>
        <v/>
      </c>
      <c r="M500" s="0" t="inlineStr">
        <is>
          <t>Mercado Envíos</t>
        </is>
      </c>
      <c r="N500" s="0" t="inlineStr">
        <is>
          <t>A cargo del comprador</t>
        </is>
      </c>
      <c r="O500" s="0" t="inlineStr">
        <is>
          <t>Acepto</t>
        </is>
      </c>
      <c r="P500" s="47" t="inlineStr">
        <is>
          <t>Sin garantía</t>
        </is>
      </c>
      <c r="R500" s="0" t="inlineStr">
        <is>
          <t>Seleccionar</t>
        </is>
      </c>
      <c r="S500" s="0" t="inlineStr">
        <is>
          <t>No ofrezco</t>
        </is>
      </c>
      <c r="T500" t="n">
        <v>1940</v>
      </c>
      <c r="U500" s="0" t="inlineStr">
        <is>
          <t>Alemania</t>
        </is>
      </c>
      <c r="X500" s="0" t="inlineStr">
        <is>
          <t>Níquel</t>
        </is>
      </c>
      <c r="Z500" t="inlineStr">
        <is>
          <t>10 Reichspfennig</t>
        </is>
      </c>
      <c r="AA500" s="0" t="inlineStr">
        <is>
          <t>Euro</t>
        </is>
      </c>
      <c r="AB5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0" s="53">
        <f>IF(OR(TRIM(INDIRECT("B"&amp;ROW())) &lt;&gt; "",TRIM(INDIRECT("A"&amp;ROW())) &lt;&gt; ""),AND(TRIM(INDIRECT("A"&amp;ROW())) &lt;&gt; "",TRIM(INDIRECT("D"&amp;ROW())) = "nuevo"),"")</f>
        <v/>
      </c>
    </row>
    <row r="501" ht="27.5" customHeight="1" s="62">
      <c r="B501" t="inlineStr">
        <is>
          <t>Moneda Alemania 1 Reichspfennig 1937</t>
        </is>
      </c>
      <c r="C501" s="0">
        <f>LEN(INDIRECT(ADDRESS(ROW() + (0),COLUMN() + (-1))))</f>
        <v/>
      </c>
      <c r="D501" s="0" t="inlineStr">
        <is>
          <t>Usado</t>
        </is>
      </c>
      <c r="E501" s="38" t="inlineStr">
        <is>
          <t>https://numismaticapopper.com/images/1057A.jpeg,https://numismaticapopper.com/images/1057B.jpeg</t>
        </is>
      </c>
      <c r="F501" t="inlineStr">
        <is>
          <t>1057</t>
        </is>
      </c>
      <c r="G501" s="40" t="n">
        <v>1</v>
      </c>
      <c r="H501" t="n">
        <v>22000</v>
      </c>
      <c r="I501" t="inlineStr">
        <is>
          <t>Estado de conservacion: Muy Buena +
Referencia de catalogo: KM# 89
Material: Bronce</t>
        </is>
      </c>
      <c r="J501" s="31">
        <f>IF(INDIRECT(ADDRESS(ROW() + (0),COLUMN() + (1)))="Agregar cuotas", IF(("16%")="", "-", "16%"), IF(INDIRECT(ADDRESS(ROW() + (0),COLUMN() + (1)))="No agregar cuotas", IF(("16%")="", "-", "16%"), "-"))</f>
        <v/>
      </c>
      <c r="K501" s="0" t="inlineStr">
        <is>
          <t>No agregar cuotas</t>
        </is>
      </c>
      <c r="L501" s="31">
        <f>IF(INDIRECT(ADDRESS(ROW() + (0),COLUMN() + (-1)))="Agregar cuotas", IF(("13.4%")="", "Sin costo", "13.4%"), IF(INDIRECT(ADDRESS(ROW() + (0),COLUMN() + (-1)))="No agregar cuotas", IF(("")="", "Sin costo", ""), "-"))</f>
        <v/>
      </c>
      <c r="M501" s="0" t="inlineStr">
        <is>
          <t>Mercado Envíos</t>
        </is>
      </c>
      <c r="N501" s="0" t="inlineStr">
        <is>
          <t>A cargo del comprador</t>
        </is>
      </c>
      <c r="O501" s="0" t="inlineStr">
        <is>
          <t>Acepto</t>
        </is>
      </c>
      <c r="P501" s="47" t="inlineStr">
        <is>
          <t>Sin garantía</t>
        </is>
      </c>
      <c r="R501" s="0" t="inlineStr">
        <is>
          <t>Seleccionar</t>
        </is>
      </c>
      <c r="S501" s="0" t="inlineStr">
        <is>
          <t>No ofrezco</t>
        </is>
      </c>
      <c r="T501" t="n">
        <v>1937</v>
      </c>
      <c r="U501" s="0" t="inlineStr">
        <is>
          <t>Alemania</t>
        </is>
      </c>
      <c r="X501" s="0" t="inlineStr">
        <is>
          <t>Bronce</t>
        </is>
      </c>
      <c r="Z501" t="inlineStr">
        <is>
          <t>1 Reichspfennig</t>
        </is>
      </c>
      <c r="AA501" s="0" t="inlineStr">
        <is>
          <t>Euro</t>
        </is>
      </c>
      <c r="AB5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1" s="53">
        <f>IF(OR(TRIM(INDIRECT("B"&amp;ROW())) &lt;&gt; "",TRIM(INDIRECT("A"&amp;ROW())) &lt;&gt; ""),AND(TRIM(INDIRECT("A"&amp;ROW())) &lt;&gt; "",TRIM(INDIRECT("D"&amp;ROW())) = "nuevo"),"")</f>
        <v/>
      </c>
    </row>
    <row r="502" ht="27.5" customHeight="1" s="62">
      <c r="B502" t="inlineStr">
        <is>
          <t>Moneda Francia 20 Francos 1994</t>
        </is>
      </c>
      <c r="C502" s="0">
        <f>LEN(INDIRECT(ADDRESS(ROW() + (0),COLUMN() + (-1))))</f>
        <v/>
      </c>
      <c r="D502" s="0" t="inlineStr">
        <is>
          <t>Usado</t>
        </is>
      </c>
      <c r="E502" s="38" t="inlineStr">
        <is>
          <t>https://numismaticapopper.com/images/1064A.jpeg,https://numismaticapopper.com/images/1064B.jpeg</t>
        </is>
      </c>
      <c r="F502" t="inlineStr">
        <is>
          <t>1064</t>
        </is>
      </c>
      <c r="G502" s="40" t="n">
        <v>1</v>
      </c>
      <c r="H502" t="n">
        <v>31000</v>
      </c>
      <c r="I502" t="inlineStr">
        <is>
          <t>Estado de conservacion: Sin Circular
Referencia de catalogo: KM# 1036
Material: Trimetálica
Centenario del Comité Olímpico Internacional (Pierre de Coubertin)</t>
        </is>
      </c>
      <c r="J502" s="31">
        <f>IF(INDIRECT(ADDRESS(ROW() + (0),COLUMN() + (1)))="Agregar cuotas", IF(("16%")="", "-", "16%"), IF(INDIRECT(ADDRESS(ROW() + (0),COLUMN() + (1)))="No agregar cuotas", IF(("16%")="", "-", "16%"), "-"))</f>
        <v/>
      </c>
      <c r="K502" s="0" t="inlineStr">
        <is>
          <t>No agregar cuotas</t>
        </is>
      </c>
      <c r="L502" s="31">
        <f>IF(INDIRECT(ADDRESS(ROW() + (0),COLUMN() + (-1)))="Agregar cuotas", IF(("13.4%")="", "Sin costo", "13.4%"), IF(INDIRECT(ADDRESS(ROW() + (0),COLUMN() + (-1)))="No agregar cuotas", IF(("")="", "Sin costo", ""), "-"))</f>
        <v/>
      </c>
      <c r="M502" s="0" t="inlineStr">
        <is>
          <t>Mercado Envíos</t>
        </is>
      </c>
      <c r="N502" s="0" t="inlineStr">
        <is>
          <t>A cargo del comprador</t>
        </is>
      </c>
      <c r="O502" s="0" t="inlineStr">
        <is>
          <t>Acepto</t>
        </is>
      </c>
      <c r="P502" s="47" t="inlineStr">
        <is>
          <t>Sin garantía</t>
        </is>
      </c>
      <c r="R502" s="0" t="inlineStr">
        <is>
          <t>Seleccionar</t>
        </is>
      </c>
      <c r="S502" s="0" t="inlineStr">
        <is>
          <t>No ofrezco</t>
        </is>
      </c>
      <c r="T502" t="n">
        <v>1994</v>
      </c>
      <c r="U502" s="0" t="inlineStr">
        <is>
          <t>Francia</t>
        </is>
      </c>
      <c r="X502" s="0" t="inlineStr">
        <is>
          <t>Níquel</t>
        </is>
      </c>
      <c r="Z502" t="inlineStr">
        <is>
          <t>20 Francos</t>
        </is>
      </c>
      <c r="AA502" s="0" t="inlineStr">
        <is>
          <t>Euro</t>
        </is>
      </c>
      <c r="AB5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2" s="53">
        <f>IF(OR(TRIM(INDIRECT("B"&amp;ROW())) &lt;&gt; "",TRIM(INDIRECT("A"&amp;ROW())) &lt;&gt; ""),AND(TRIM(INDIRECT("A"&amp;ROW())) &lt;&gt; "",TRIM(INDIRECT("D"&amp;ROW())) = "nuevo"),"")</f>
        <v/>
      </c>
    </row>
    <row r="503" ht="27.5" customHeight="1" s="62">
      <c r="B503" t="inlineStr">
        <is>
          <t>Moneda Estados Unidos Blister 1 Dollar D 1984</t>
        </is>
      </c>
      <c r="C503" s="0">
        <f>LEN(INDIRECT(ADDRESS(ROW() + (0),COLUMN() + (-1))))</f>
        <v/>
      </c>
      <c r="D503" s="0" t="inlineStr">
        <is>
          <t>Usado</t>
        </is>
      </c>
      <c r="E503" s="38" t="inlineStr">
        <is>
          <t>https://numismaticapopper.com/images/1067A.jpeg,https://numismaticapopper.com/images/1067B.jpeg</t>
        </is>
      </c>
      <c r="F503" t="inlineStr">
        <is>
          <t>1067</t>
        </is>
      </c>
      <c r="G503" s="40" t="n">
        <v>1</v>
      </c>
      <c r="H503" t="n">
        <v>245000</v>
      </c>
      <c r="I503" t="inlineStr">
        <is>
          <t>Estado de conservacion: Sin Circular
Referencia de catalogo: KM# 210
Material: Plata .900
Tirada: 116675
Conmemora: XXIII Juegos Olímpicos Los Ángeles 1984
Escasa. Conmemorativa de los XXIII Juegos Olímpicos de Los Ángeles 1984. Ceca Denver (D).</t>
        </is>
      </c>
      <c r="J503" s="31">
        <f>IF(INDIRECT(ADDRESS(ROW() + (0),COLUMN() + (1)))="Agregar cuotas", IF(("16%")="", "-", "16%"), IF(INDIRECT(ADDRESS(ROW() + (0),COLUMN() + (1)))="No agregar cuotas", IF(("16%")="", "-", "16%"), "-"))</f>
        <v/>
      </c>
      <c r="K503" s="0" t="inlineStr">
        <is>
          <t>No agregar cuotas</t>
        </is>
      </c>
      <c r="L503" s="31">
        <f>IF(INDIRECT(ADDRESS(ROW() + (0),COLUMN() + (-1)))="Agregar cuotas", IF(("13.4%")="", "Sin costo", "13.4%"), IF(INDIRECT(ADDRESS(ROW() + (0),COLUMN() + (-1)))="No agregar cuotas", IF(("")="", "Sin costo", ""), "-"))</f>
        <v/>
      </c>
      <c r="M503" s="0" t="inlineStr">
        <is>
          <t>Mercado Envíos</t>
        </is>
      </c>
      <c r="N503" s="0" t="inlineStr">
        <is>
          <t>Ofrecés envío gratis</t>
        </is>
      </c>
      <c r="O503" s="0" t="inlineStr">
        <is>
          <t>Acepto</t>
        </is>
      </c>
      <c r="P503" s="47" t="inlineStr">
        <is>
          <t>Sin garantía</t>
        </is>
      </c>
      <c r="R503" s="0" t="inlineStr">
        <is>
          <t>Seleccionar</t>
        </is>
      </c>
      <c r="S503" s="0" t="inlineStr">
        <is>
          <t>No ofrezco</t>
        </is>
      </c>
      <c r="T503" t="n">
        <v>1984</v>
      </c>
      <c r="U503" s="0" t="inlineStr">
        <is>
          <t>Estados Unidos</t>
        </is>
      </c>
      <c r="X503" s="0" t="inlineStr">
        <is>
          <t>Plata</t>
        </is>
      </c>
      <c r="Y503" t="inlineStr">
        <is>
          <t>XXIII Juegos Olímpicos Los Ángeles 1984</t>
        </is>
      </c>
      <c r="Z503" t="inlineStr">
        <is>
          <t>Blister 1 Dollar D</t>
        </is>
      </c>
      <c r="AA503" s="0" t="inlineStr">
        <is>
          <t>Dólar</t>
        </is>
      </c>
      <c r="AB5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3" s="53">
        <f>IF(OR(TRIM(INDIRECT("B"&amp;ROW())) &lt;&gt; "",TRIM(INDIRECT("A"&amp;ROW())) &lt;&gt; ""),AND(TRIM(INDIRECT("A"&amp;ROW())) &lt;&gt; "",TRIM(INDIRECT("D"&amp;ROW())) = "nuevo"),"")</f>
        <v/>
      </c>
    </row>
    <row r="504" ht="27.5" customHeight="1" s="62">
      <c r="B504" t="inlineStr">
        <is>
          <t>Moneda Estados Unidos Blister 1 Dollar S 1983</t>
        </is>
      </c>
      <c r="C504" s="0">
        <f>LEN(INDIRECT(ADDRESS(ROW() + (0),COLUMN() + (-1))))</f>
        <v/>
      </c>
      <c r="D504" s="0" t="inlineStr">
        <is>
          <t>Usado</t>
        </is>
      </c>
      <c r="E504" s="38" t="inlineStr">
        <is>
          <t>https://numismaticapopper.com/images/1068A.jpeg,https://numismaticapopper.com/images/1068B.jpeg</t>
        </is>
      </c>
      <c r="F504" t="inlineStr">
        <is>
          <t>1068</t>
        </is>
      </c>
      <c r="G504" s="40" t="n">
        <v>1</v>
      </c>
      <c r="H504" t="n">
        <v>245000</v>
      </c>
      <c r="I504" t="inlineStr">
        <is>
          <t>Estado de conservacion: Sin Circular
Referencia de catalogo: KM# 209
Material: Plata .900
Tirada: 174014
Conmemora: XXIII Juegos Olímpicos Los Ángeles 1984
Escasa. Conmemorativa de los XXIII Juegos Olímpicos de Los Ángeles 1984 (Lanzador de disco). Ceca San Francisco (S).</t>
        </is>
      </c>
      <c r="J504" s="31">
        <f>IF(INDIRECT(ADDRESS(ROW() + (0),COLUMN() + (1)))="Agregar cuotas", IF(("16%")="", "-", "16%"), IF(INDIRECT(ADDRESS(ROW() + (0),COLUMN() + (1)))="No agregar cuotas", IF(("16%")="", "-", "16%"), "-"))</f>
        <v/>
      </c>
      <c r="K504" s="0" t="inlineStr">
        <is>
          <t>No agregar cuotas</t>
        </is>
      </c>
      <c r="L504" s="31">
        <f>IF(INDIRECT(ADDRESS(ROW() + (0),COLUMN() + (-1)))="Agregar cuotas", IF(("13.4%")="", "Sin costo", "13.4%"), IF(INDIRECT(ADDRESS(ROW() + (0),COLUMN() + (-1)))="No agregar cuotas", IF(("")="", "Sin costo", ""), "-"))</f>
        <v/>
      </c>
      <c r="M504" s="0" t="inlineStr">
        <is>
          <t>Mercado Envíos</t>
        </is>
      </c>
      <c r="N504" s="0" t="inlineStr">
        <is>
          <t>Ofrecés envío gratis</t>
        </is>
      </c>
      <c r="O504" s="0" t="inlineStr">
        <is>
          <t>Acepto</t>
        </is>
      </c>
      <c r="P504" s="47" t="inlineStr">
        <is>
          <t>Sin garantía</t>
        </is>
      </c>
      <c r="R504" s="0" t="inlineStr">
        <is>
          <t>Seleccionar</t>
        </is>
      </c>
      <c r="S504" s="0" t="inlineStr">
        <is>
          <t>No ofrezco</t>
        </is>
      </c>
      <c r="T504" t="n">
        <v>1983</v>
      </c>
      <c r="U504" s="0" t="inlineStr">
        <is>
          <t>Estados Unidos</t>
        </is>
      </c>
      <c r="X504" s="0" t="inlineStr">
        <is>
          <t>Plata</t>
        </is>
      </c>
      <c r="Y504" t="inlineStr">
        <is>
          <t>XXIII Juegos Olímpicos Los Ángeles 1984</t>
        </is>
      </c>
      <c r="Z504" t="inlineStr">
        <is>
          <t>Blister 1 Dollar S</t>
        </is>
      </c>
      <c r="AA504" s="0" t="inlineStr">
        <is>
          <t>Dólar</t>
        </is>
      </c>
      <c r="AB5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4" s="53">
        <f>IF(OR(TRIM(INDIRECT("B"&amp;ROW())) &lt;&gt; "",TRIM(INDIRECT("A"&amp;ROW())) &lt;&gt; ""),AND(TRIM(INDIRECT("A"&amp;ROW())) &lt;&gt; "",TRIM(INDIRECT("D"&amp;ROW())) = "nuevo"),"")</f>
        <v/>
      </c>
    </row>
    <row r="505" ht="27.5" customHeight="1" s="62">
      <c r="B505" t="inlineStr">
        <is>
          <t>Moneda Uruguay 1 Peso 1917</t>
        </is>
      </c>
      <c r="C505" s="0">
        <f>LEN(INDIRECT(ADDRESS(ROW() + (0),COLUMN() + (-1))))</f>
        <v/>
      </c>
      <c r="D505" s="0" t="inlineStr">
        <is>
          <t>Usado</t>
        </is>
      </c>
      <c r="E505" s="38" t="inlineStr">
        <is>
          <t>https://numismaticapopper.com/images/1086A.jpeg,https://numismaticapopper.com/images/1086B.jpeg</t>
        </is>
      </c>
      <c r="F505" t="inlineStr">
        <is>
          <t>1086</t>
        </is>
      </c>
      <c r="G505" s="40" t="n">
        <v>1</v>
      </c>
      <c r="H505" t="n">
        <v>161000</v>
      </c>
      <c r="I505" t="inlineStr">
        <is>
          <t>Estado de conservacion: Muy Buena +
Referencia de catalogo: KM# 23
Material: Plata .900
Tirada: 2000000
Efigie de José Gervasio Artigas en uniforme militar y Escudo Nacional de Uruguay. Acuñada en Plata .900 (25 g, 37 mm).</t>
        </is>
      </c>
      <c r="J505" s="31">
        <f>IF(INDIRECT(ADDRESS(ROW() + (0),COLUMN() + (1)))="Agregar cuotas", IF(("16%")="", "-", "16%"), IF(INDIRECT(ADDRESS(ROW() + (0),COLUMN() + (1)))="No agregar cuotas", IF(("16%")="", "-", "16%"), "-"))</f>
        <v/>
      </c>
      <c r="K505" s="0" t="inlineStr">
        <is>
          <t>No agregar cuotas</t>
        </is>
      </c>
      <c r="L505" s="31">
        <f>IF(INDIRECT(ADDRESS(ROW() + (0),COLUMN() + (-1)))="Agregar cuotas", IF(("13.4%")="", "Sin costo", "13.4%"), IF(INDIRECT(ADDRESS(ROW() + (0),COLUMN() + (-1)))="No agregar cuotas", IF(("")="", "Sin costo", ""), "-"))</f>
        <v/>
      </c>
      <c r="M505" s="0" t="inlineStr">
        <is>
          <t>Mercado Envíos</t>
        </is>
      </c>
      <c r="N505" s="0" t="inlineStr">
        <is>
          <t>A cargo del comprador</t>
        </is>
      </c>
      <c r="O505" s="0" t="inlineStr">
        <is>
          <t>Acepto</t>
        </is>
      </c>
      <c r="P505" s="47" t="inlineStr">
        <is>
          <t>Sin garantía</t>
        </is>
      </c>
      <c r="R505" s="0" t="inlineStr">
        <is>
          <t>Seleccionar</t>
        </is>
      </c>
      <c r="S505" s="0" t="inlineStr">
        <is>
          <t>No ofrezco</t>
        </is>
      </c>
      <c r="T505" t="n">
        <v>1917</v>
      </c>
      <c r="U505" s="0" t="inlineStr">
        <is>
          <t>Uruguay</t>
        </is>
      </c>
      <c r="X505" s="0" t="inlineStr">
        <is>
          <t>Plata</t>
        </is>
      </c>
      <c r="Z505" t="inlineStr">
        <is>
          <t>1 Peso</t>
        </is>
      </c>
      <c r="AA505" s="0" t="inlineStr">
        <is>
          <t>Peso</t>
        </is>
      </c>
      <c r="AB5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5" s="53">
        <f>IF(OR(TRIM(INDIRECT("B"&amp;ROW())) &lt;&gt; "",TRIM(INDIRECT("A"&amp;ROW())) &lt;&gt; ""),AND(TRIM(INDIRECT("A"&amp;ROW())) &lt;&gt; "",TRIM(INDIRECT("D"&amp;ROW())) = "nuevo"),"")</f>
        <v/>
      </c>
    </row>
    <row r="506" ht="27.5" customHeight="1" s="62">
      <c r="B506" t="inlineStr">
        <is>
          <t>Moneda Chile 100 Pesos 2025</t>
        </is>
      </c>
      <c r="C506" s="0">
        <f>LEN(INDIRECT(ADDRESS(ROW() + (0),COLUMN() + (-1))))</f>
        <v/>
      </c>
      <c r="D506" s="0" t="inlineStr">
        <is>
          <t>Usado</t>
        </is>
      </c>
      <c r="E506" s="38" t="inlineStr">
        <is>
          <t>https://numismaticapopper.com/images/1087A.jpeg,https://numismaticapopper.com/images/1087B.jpeg</t>
        </is>
      </c>
      <c r="F506" t="inlineStr">
        <is>
          <t>1087</t>
        </is>
      </c>
      <c r="G506" s="40" t="n">
        <v>1</v>
      </c>
      <c r="H506" t="n">
        <v>10000</v>
      </c>
      <c r="I506" t="inlineStr">
        <is>
          <t>Estado de conservacion: Sin Circular
Referencia de catalogo: KM# 241
Material: Bimetálica
Bicentenario de la República de Chile (1810-2010 / 2025). Centro de cuproníquel con anillo de bronce de aluminio.</t>
        </is>
      </c>
      <c r="J506" s="31">
        <f>IF(INDIRECT(ADDRESS(ROW() + (0),COLUMN() + (1)))="Agregar cuotas", IF(("16%")="", "-", "16%"), IF(INDIRECT(ADDRESS(ROW() + (0),COLUMN() + (1)))="No agregar cuotas", IF(("16%")="", "-", "16%"), "-"))</f>
        <v/>
      </c>
      <c r="K506" s="0" t="inlineStr">
        <is>
          <t>No agregar cuotas</t>
        </is>
      </c>
      <c r="L506" s="31">
        <f>IF(INDIRECT(ADDRESS(ROW() + (0),COLUMN() + (-1)))="Agregar cuotas", IF(("13.4%")="", "Sin costo", "13.4%"), IF(INDIRECT(ADDRESS(ROW() + (0),COLUMN() + (-1)))="No agregar cuotas", IF(("")="", "Sin costo", ""), "-"))</f>
        <v/>
      </c>
      <c r="M506" s="0" t="inlineStr">
        <is>
          <t>Mercado Envíos</t>
        </is>
      </c>
      <c r="N506" s="0" t="inlineStr">
        <is>
          <t>A cargo del comprador</t>
        </is>
      </c>
      <c r="O506" s="0" t="inlineStr">
        <is>
          <t>Acepto</t>
        </is>
      </c>
      <c r="P506" s="47" t="inlineStr">
        <is>
          <t>Sin garantía</t>
        </is>
      </c>
      <c r="R506" s="0" t="inlineStr">
        <is>
          <t>Seleccionar</t>
        </is>
      </c>
      <c r="S506" s="0" t="inlineStr">
        <is>
          <t>No ofrezco</t>
        </is>
      </c>
      <c r="T506" t="n">
        <v>2025</v>
      </c>
      <c r="U506" s="0" t="inlineStr">
        <is>
          <t>Chile</t>
        </is>
      </c>
      <c r="X506" s="0" t="inlineStr">
        <is>
          <t>Níquel</t>
        </is>
      </c>
      <c r="Z506" t="inlineStr">
        <is>
          <t>100 Pesos</t>
        </is>
      </c>
      <c r="AA506" s="0" t="inlineStr">
        <is>
          <t>Peso</t>
        </is>
      </c>
      <c r="AB5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6" s="53">
        <f>IF(OR(TRIM(INDIRECT("B"&amp;ROW())) &lt;&gt; "",TRIM(INDIRECT("A"&amp;ROW())) &lt;&gt; ""),AND(TRIM(INDIRECT("A"&amp;ROW())) &lt;&gt; "",TRIM(INDIRECT("D"&amp;ROW())) = "nuevo"),"")</f>
        <v/>
      </c>
    </row>
    <row r="507" ht="27.5" customHeight="1" s="62">
      <c r="B507" t="inlineStr">
        <is>
          <t>Moneda Argentina 25 y 50 Centavos 2013</t>
        </is>
      </c>
      <c r="C507" s="0">
        <f>LEN(INDIRECT(ADDRESS(ROW() + (0),COLUMN() + (-1))))</f>
        <v/>
      </c>
      <c r="D507" s="0" t="inlineStr">
        <is>
          <t>Usado</t>
        </is>
      </c>
      <c r="E507" s="38" t="inlineStr">
        <is>
          <t>https://numismaticapopper.com/images/1089A.jpeg,https://numismaticapopper.com/images/1089B.jpeg,https://numismaticapopper.com/images/1089C.jpeg</t>
        </is>
      </c>
      <c r="F507" t="inlineStr">
        <is>
          <t>1089</t>
        </is>
      </c>
      <c r="G507" s="40" t="n">
        <v>1</v>
      </c>
      <c r="H507" t="n">
        <v>26000</v>
      </c>
      <c r="I507" t="inlineStr">
        <is>
          <t>Estado de conservacion: Sin Circular
Referencia de catalogo: CJ# 343 / CJ# 344
Material: Cuproníquel y Latón
Set de monedas de 25 y 50 Centavos 2013 no emitidas + 2 cospeles monetarios vírgenes.</t>
        </is>
      </c>
      <c r="J507" s="31">
        <f>IF(INDIRECT(ADDRESS(ROW() + (0),COLUMN() + (1)))="Agregar cuotas", IF(("16%")="", "-", "16%"), IF(INDIRECT(ADDRESS(ROW() + (0),COLUMN() + (1)))="No agregar cuotas", IF(("16%")="", "-", "16%"), "-"))</f>
        <v/>
      </c>
      <c r="K507" s="0" t="inlineStr">
        <is>
          <t>No agregar cuotas</t>
        </is>
      </c>
      <c r="L507" s="31">
        <f>IF(INDIRECT(ADDRESS(ROW() + (0),COLUMN() + (-1)))="Agregar cuotas", IF(("13.4%")="", "Sin costo", "13.4%"), IF(INDIRECT(ADDRESS(ROW() + (0),COLUMN() + (-1)))="No agregar cuotas", IF(("")="", "Sin costo", ""), "-"))</f>
        <v/>
      </c>
      <c r="M507" s="0" t="inlineStr">
        <is>
          <t>Mercado Envíos</t>
        </is>
      </c>
      <c r="N507" s="0" t="inlineStr">
        <is>
          <t>A cargo del comprador</t>
        </is>
      </c>
      <c r="O507" s="0" t="inlineStr">
        <is>
          <t>Acepto</t>
        </is>
      </c>
      <c r="P507" s="47" t="inlineStr">
        <is>
          <t>Sin garantía</t>
        </is>
      </c>
      <c r="R507" s="0" t="inlineStr">
        <is>
          <t>Seleccionar</t>
        </is>
      </c>
      <c r="S507" s="0" t="inlineStr">
        <is>
          <t>No ofrezco</t>
        </is>
      </c>
      <c r="T507" t="n">
        <v>2013</v>
      </c>
      <c r="U507" s="0" t="inlineStr">
        <is>
          <t>Argentina</t>
        </is>
      </c>
      <c r="X507" s="0" t="inlineStr">
        <is>
          <t>Níquel</t>
        </is>
      </c>
      <c r="Z507" t="inlineStr">
        <is>
          <t>25 y 50 Centavos</t>
        </is>
      </c>
      <c r="AA507" s="0" t="inlineStr">
        <is>
          <t>Peso</t>
        </is>
      </c>
      <c r="AB5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7" s="53">
        <f>IF(OR(TRIM(INDIRECT("B"&amp;ROW())) &lt;&gt; "",TRIM(INDIRECT("A"&amp;ROW())) &lt;&gt; ""),AND(TRIM(INDIRECT("A"&amp;ROW())) &lt;&gt; "",TRIM(INDIRECT("D"&amp;ROW())) = "nuevo"),"")</f>
        <v/>
      </c>
    </row>
    <row r="508" ht="27.5" customHeight="1" s="62">
      <c r="B508" t="inlineStr">
        <is>
          <t>Moneda Canadá 1 Dólar 2025</t>
        </is>
      </c>
      <c r="C508" s="0">
        <f>LEN(INDIRECT(ADDRESS(ROW() + (0),COLUMN() + (-1))))</f>
        <v/>
      </c>
      <c r="D508" s="0" t="inlineStr">
        <is>
          <t>Usado</t>
        </is>
      </c>
      <c r="E508" s="38" t="inlineStr">
        <is>
          <t>https://numismaticapopper.com/images/1098A.jpeg,https://numismaticapopper.com/images/1098B.jpeg</t>
        </is>
      </c>
      <c r="F508" t="inlineStr">
        <is>
          <t>1098</t>
        </is>
      </c>
      <c r="G508" s="40" t="n">
        <v>1</v>
      </c>
      <c r="H508" t="n">
        <v>10000</v>
      </c>
      <c r="I508" t="inlineStr">
        <is>
          <t>Estado de conservacion: Sin Circular
Material: Acero bañado en latón
150° Aniversario de la creación de la Corte Suprema de Canadá (1875-2025).</t>
        </is>
      </c>
      <c r="J508" s="31">
        <f>IF(INDIRECT(ADDRESS(ROW() + (0),COLUMN() + (1)))="Agregar cuotas", IF(("16%")="", "-", "16%"), IF(INDIRECT(ADDRESS(ROW() + (0),COLUMN() + (1)))="No agregar cuotas", IF(("16%")="", "-", "16%"), "-"))</f>
        <v/>
      </c>
      <c r="K508" s="0" t="inlineStr">
        <is>
          <t>No agregar cuotas</t>
        </is>
      </c>
      <c r="L508" s="31">
        <f>IF(INDIRECT(ADDRESS(ROW() + (0),COLUMN() + (-1)))="Agregar cuotas", IF(("13.4%")="", "Sin costo", "13.4%"), IF(INDIRECT(ADDRESS(ROW() + (0),COLUMN() + (-1)))="No agregar cuotas", IF(("")="", "Sin costo", ""), "-"))</f>
        <v/>
      </c>
      <c r="M508" s="0" t="inlineStr">
        <is>
          <t>Mercado Envíos</t>
        </is>
      </c>
      <c r="N508" s="0" t="inlineStr">
        <is>
          <t>A cargo del comprador</t>
        </is>
      </c>
      <c r="O508" s="0" t="inlineStr">
        <is>
          <t>Acepto</t>
        </is>
      </c>
      <c r="P508" s="47" t="inlineStr">
        <is>
          <t>Sin garantía</t>
        </is>
      </c>
      <c r="R508" s="0" t="inlineStr">
        <is>
          <t>Seleccionar</t>
        </is>
      </c>
      <c r="S508" s="0" t="inlineStr">
        <is>
          <t>No ofrezco</t>
        </is>
      </c>
      <c r="T508" t="n">
        <v>2025</v>
      </c>
      <c r="U508" s="0" t="inlineStr">
        <is>
          <t>Canadá</t>
        </is>
      </c>
      <c r="X508" s="0" t="inlineStr">
        <is>
          <t>Bronce</t>
        </is>
      </c>
      <c r="Z508" t="inlineStr">
        <is>
          <t>1 Dólar</t>
        </is>
      </c>
      <c r="AA508" s="0" t="inlineStr">
        <is>
          <t>Dólar</t>
        </is>
      </c>
      <c r="AB5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8" s="53">
        <f>IF(OR(TRIM(INDIRECT("B"&amp;ROW())) &lt;&gt; "",TRIM(INDIRECT("A"&amp;ROW())) &lt;&gt; ""),AND(TRIM(INDIRECT("A"&amp;ROW())) &lt;&gt; "",TRIM(INDIRECT("D"&amp;ROW())) = "nuevo"),"")</f>
        <v/>
      </c>
    </row>
    <row r="509" ht="27.5" customHeight="1" s="62">
      <c r="B509" t="inlineStr">
        <is>
          <t>Moneda Canadá 25 Cents 2004</t>
        </is>
      </c>
      <c r="C509" s="0">
        <f>LEN(INDIRECT(ADDRESS(ROW() + (0),COLUMN() + (-1))))</f>
        <v/>
      </c>
      <c r="D509" s="0" t="inlineStr">
        <is>
          <t>Usado</t>
        </is>
      </c>
      <c r="E509" s="38" t="inlineStr">
        <is>
          <t>https://numismaticapopper.com/images/1102A.jpeg,https://numismaticapopper.com/images/1102B.jpeg</t>
        </is>
      </c>
      <c r="F509" t="inlineStr">
        <is>
          <t>1102</t>
        </is>
      </c>
      <c r="G509" s="40" t="n">
        <v>1</v>
      </c>
      <c r="H509" t="n">
        <v>8000</v>
      </c>
      <c r="I509" t="inlineStr">
        <is>
          <t>Estado de conservacion: Sin Circular
Referencia de catalogo: KM# 492
Material: Acero niquelado
Día del Recuerdo / Amapola roja de la Primera Guerra Mundial (con aplicación de color).</t>
        </is>
      </c>
      <c r="J509" s="31">
        <f>IF(INDIRECT(ADDRESS(ROW() + (0),COLUMN() + (1)))="Agregar cuotas", IF(("16%")="", "-", "16%"), IF(INDIRECT(ADDRESS(ROW() + (0),COLUMN() + (1)))="No agregar cuotas", IF(("16%")="", "-", "16%"), "-"))</f>
        <v/>
      </c>
      <c r="K509" s="0" t="inlineStr">
        <is>
          <t>No agregar cuotas</t>
        </is>
      </c>
      <c r="L509" s="31">
        <f>IF(INDIRECT(ADDRESS(ROW() + (0),COLUMN() + (-1)))="Agregar cuotas", IF(("13.4%")="", "Sin costo", "13.4%"), IF(INDIRECT(ADDRESS(ROW() + (0),COLUMN() + (-1)))="No agregar cuotas", IF(("")="", "Sin costo", ""), "-"))</f>
        <v/>
      </c>
      <c r="M509" s="0" t="inlineStr">
        <is>
          <t>Mercado Envíos</t>
        </is>
      </c>
      <c r="N509" s="0" t="inlineStr">
        <is>
          <t>A cargo del comprador</t>
        </is>
      </c>
      <c r="O509" s="0" t="inlineStr">
        <is>
          <t>Acepto</t>
        </is>
      </c>
      <c r="P509" s="47" t="inlineStr">
        <is>
          <t>Sin garantía</t>
        </is>
      </c>
      <c r="R509" s="0" t="inlineStr">
        <is>
          <t>Seleccionar</t>
        </is>
      </c>
      <c r="S509" s="0" t="inlineStr">
        <is>
          <t>No ofrezco</t>
        </is>
      </c>
      <c r="T509" t="n">
        <v>2004</v>
      </c>
      <c r="U509" s="0" t="inlineStr">
        <is>
          <t>Canadá</t>
        </is>
      </c>
      <c r="X509" s="0" t="inlineStr">
        <is>
          <t>Níquel</t>
        </is>
      </c>
      <c r="Z509" t="inlineStr">
        <is>
          <t>25 Cents</t>
        </is>
      </c>
      <c r="AA509" s="0" t="inlineStr">
        <is>
          <t>Dólar</t>
        </is>
      </c>
      <c r="AB5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09" s="53">
        <f>IF(OR(TRIM(INDIRECT("B"&amp;ROW())) &lt;&gt; "",TRIM(INDIRECT("A"&amp;ROW())) &lt;&gt; ""),AND(TRIM(INDIRECT("A"&amp;ROW())) &lt;&gt; "",TRIM(INDIRECT("D"&amp;ROW())) = "nuevo"),"")</f>
        <v/>
      </c>
    </row>
    <row r="510" ht="27.5" customHeight="1" s="62">
      <c r="B510" t="inlineStr">
        <is>
          <t>Moneda Canadá 5 Cents 1967</t>
        </is>
      </c>
      <c r="C510" s="0">
        <f>LEN(INDIRECT(ADDRESS(ROW() + (0),COLUMN() + (-1))))</f>
        <v/>
      </c>
      <c r="D510" s="0" t="inlineStr">
        <is>
          <t>Usado</t>
        </is>
      </c>
      <c r="E510" s="38" t="inlineStr">
        <is>
          <t>https://numismaticapopper.com/images/1103A.jpeg,https://numismaticapopper.com/images/1103B.jpeg</t>
        </is>
      </c>
      <c r="F510" t="inlineStr">
        <is>
          <t>1103</t>
        </is>
      </c>
      <c r="G510" s="40" t="n">
        <v>1</v>
      </c>
      <c r="H510" t="n">
        <v>8000</v>
      </c>
      <c r="I510" t="inlineStr">
        <is>
          <t>Estado de conservacion: Sin Circular
Referencia de catalogo: KM# 66
Material: Níquel
Centenario de la Confederación de Canadá (1867-1967). Motivo de liebre de las nieves / conejo.</t>
        </is>
      </c>
      <c r="J510" s="31">
        <f>IF(INDIRECT(ADDRESS(ROW() + (0),COLUMN() + (1)))="Agregar cuotas", IF(("16%")="", "-", "16%"), IF(INDIRECT(ADDRESS(ROW() + (0),COLUMN() + (1)))="No agregar cuotas", IF(("16%")="", "-", "16%"), "-"))</f>
        <v/>
      </c>
      <c r="K510" s="0" t="inlineStr">
        <is>
          <t>No agregar cuotas</t>
        </is>
      </c>
      <c r="L510" s="31">
        <f>IF(INDIRECT(ADDRESS(ROW() + (0),COLUMN() + (-1)))="Agregar cuotas", IF(("13.4%")="", "Sin costo", "13.4%"), IF(INDIRECT(ADDRESS(ROW() + (0),COLUMN() + (-1)))="No agregar cuotas", IF(("")="", "Sin costo", ""), "-"))</f>
        <v/>
      </c>
      <c r="M510" s="0" t="inlineStr">
        <is>
          <t>Mercado Envíos</t>
        </is>
      </c>
      <c r="N510" s="0" t="inlineStr">
        <is>
          <t>A cargo del comprador</t>
        </is>
      </c>
      <c r="O510" s="0" t="inlineStr">
        <is>
          <t>Acepto</t>
        </is>
      </c>
      <c r="P510" s="47" t="inlineStr">
        <is>
          <t>Sin garantía</t>
        </is>
      </c>
      <c r="R510" s="0" t="inlineStr">
        <is>
          <t>Seleccionar</t>
        </is>
      </c>
      <c r="S510" s="0" t="inlineStr">
        <is>
          <t>No ofrezco</t>
        </is>
      </c>
      <c r="T510" t="n">
        <v>1967</v>
      </c>
      <c r="U510" s="0" t="inlineStr">
        <is>
          <t>Canadá</t>
        </is>
      </c>
      <c r="X510" s="0" t="inlineStr">
        <is>
          <t>Níquel</t>
        </is>
      </c>
      <c r="Z510" t="inlineStr">
        <is>
          <t>5 Cents</t>
        </is>
      </c>
      <c r="AA510" s="0" t="inlineStr">
        <is>
          <t>Dólar</t>
        </is>
      </c>
      <c r="AB5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0" s="53">
        <f>IF(OR(TRIM(INDIRECT("B"&amp;ROW())) &lt;&gt; "",TRIM(INDIRECT("A"&amp;ROW())) &lt;&gt; ""),AND(TRIM(INDIRECT("A"&amp;ROW())) &lt;&gt; "",TRIM(INDIRECT("D"&amp;ROW())) = "nuevo"),"")</f>
        <v/>
      </c>
    </row>
    <row r="511" ht="27.5" customHeight="1" s="62">
      <c r="B511" t="inlineStr">
        <is>
          <t>Moneda Líbano 1 Piastra 1955</t>
        </is>
      </c>
      <c r="C511" s="0">
        <f>LEN(INDIRECT(ADDRESS(ROW() + (0),COLUMN() + (-1))))</f>
        <v/>
      </c>
      <c r="D511" s="0" t="inlineStr">
        <is>
          <t>Usado</t>
        </is>
      </c>
      <c r="E511" s="38" t="inlineStr">
        <is>
          <t>https://numismaticapopper.com/images/1111A.jpeg,https://numismaticapopper.com/images/1111B.jpeg</t>
        </is>
      </c>
      <c r="F511" t="inlineStr">
        <is>
          <t>1111</t>
        </is>
      </c>
      <c r="G511" s="40" t="n">
        <v>1</v>
      </c>
      <c r="H511" t="n">
        <v>12000</v>
      </c>
      <c r="I511" t="inlineStr">
        <is>
          <t>Estado de conservacion: Sin Circular
Referencia de catalogo: KM# 19
Material: Aluminio
Emblemática galera fenicia navegando y Cedro del Líbano.</t>
        </is>
      </c>
      <c r="J511" s="31">
        <f>IF(INDIRECT(ADDRESS(ROW() + (0),COLUMN() + (1)))="Agregar cuotas", IF(("16%")="", "-", "16%"), IF(INDIRECT(ADDRESS(ROW() + (0),COLUMN() + (1)))="No agregar cuotas", IF(("16%")="", "-", "16%"), "-"))</f>
        <v/>
      </c>
      <c r="K511" s="0" t="inlineStr">
        <is>
          <t>No agregar cuotas</t>
        </is>
      </c>
      <c r="L511" s="31">
        <f>IF(INDIRECT(ADDRESS(ROW() + (0),COLUMN() + (-1)))="Agregar cuotas", IF(("13.4%")="", "Sin costo", "13.4%"), IF(INDIRECT(ADDRESS(ROW() + (0),COLUMN() + (-1)))="No agregar cuotas", IF(("")="", "Sin costo", ""), "-"))</f>
        <v/>
      </c>
      <c r="M511" s="0" t="inlineStr">
        <is>
          <t>Mercado Envíos</t>
        </is>
      </c>
      <c r="N511" s="0" t="inlineStr">
        <is>
          <t>A cargo del comprador</t>
        </is>
      </c>
      <c r="O511" s="0" t="inlineStr">
        <is>
          <t>Acepto</t>
        </is>
      </c>
      <c r="P511" s="47" t="inlineStr">
        <is>
          <t>Sin garantía</t>
        </is>
      </c>
      <c r="R511" s="0" t="inlineStr">
        <is>
          <t>Seleccionar</t>
        </is>
      </c>
      <c r="S511" s="0" t="inlineStr">
        <is>
          <t>No ofrezco</t>
        </is>
      </c>
      <c r="T511" t="n">
        <v>1955</v>
      </c>
      <c r="U511" s="0" t="inlineStr">
        <is>
          <t>Francia</t>
        </is>
      </c>
      <c r="X511" s="0" t="inlineStr">
        <is>
          <t>Níquel</t>
        </is>
      </c>
      <c r="Z511" t="inlineStr">
        <is>
          <t>1 Piastra</t>
        </is>
      </c>
      <c r="AA511" s="0" t="inlineStr">
        <is>
          <t>Euro</t>
        </is>
      </c>
      <c r="AB5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1" s="53">
        <f>IF(OR(TRIM(INDIRECT("B"&amp;ROW())) &lt;&gt; "",TRIM(INDIRECT("A"&amp;ROW())) &lt;&gt; ""),AND(TRIM(INDIRECT("A"&amp;ROW())) &lt;&gt; "",TRIM(INDIRECT("D"&amp;ROW())) = "nuevo"),"")</f>
        <v/>
      </c>
    </row>
    <row r="512" ht="27.5" customHeight="1" s="62">
      <c r="B512" t="inlineStr">
        <is>
          <t>Moneda Países Bajos 10 Cents 1942</t>
        </is>
      </c>
      <c r="C512" s="0">
        <f>LEN(INDIRECT(ADDRESS(ROW() + (0),COLUMN() + (-1))))</f>
        <v/>
      </c>
      <c r="D512" s="0" t="inlineStr">
        <is>
          <t>Usado</t>
        </is>
      </c>
      <c r="E512" s="38" t="inlineStr">
        <is>
          <t>https://numismaticapopper.com/images/1128A.jpeg,https://numismaticapopper.com/images/1128B.jpeg</t>
        </is>
      </c>
      <c r="F512" t="inlineStr">
        <is>
          <t>1128</t>
        </is>
      </c>
      <c r="G512" s="40" t="n">
        <v>1</v>
      </c>
      <c r="H512" t="n">
        <v>10000</v>
      </c>
      <c r="I512" t="inlineStr">
        <is>
          <t>Estado de conservacion: Muy Buena
Referencia de catalogo: KM# 173
Material: Zinc
Ocupación Alemana (Segunda Guerra Mundial) - Tres tulipanes.</t>
        </is>
      </c>
      <c r="J512" s="31">
        <f>IF(INDIRECT(ADDRESS(ROW() + (0),COLUMN() + (1)))="Agregar cuotas", IF(("16%")="", "-", "16%"), IF(INDIRECT(ADDRESS(ROW() + (0),COLUMN() + (1)))="No agregar cuotas", IF(("16%")="", "-", "16%"), "-"))</f>
        <v/>
      </c>
      <c r="K512" s="0" t="inlineStr">
        <is>
          <t>No agregar cuotas</t>
        </is>
      </c>
      <c r="L512" s="31">
        <f>IF(INDIRECT(ADDRESS(ROW() + (0),COLUMN() + (-1)))="Agregar cuotas", IF(("13.4%")="", "Sin costo", "13.4%"), IF(INDIRECT(ADDRESS(ROW() + (0),COLUMN() + (-1)))="No agregar cuotas", IF(("")="", "Sin costo", ""), "-"))</f>
        <v/>
      </c>
      <c r="M512" s="0" t="inlineStr">
        <is>
          <t>Mercado Envíos</t>
        </is>
      </c>
      <c r="N512" s="0" t="inlineStr">
        <is>
          <t>A cargo del comprador</t>
        </is>
      </c>
      <c r="O512" s="0" t="inlineStr">
        <is>
          <t>Acepto</t>
        </is>
      </c>
      <c r="P512" s="47" t="inlineStr">
        <is>
          <t>Sin garantía</t>
        </is>
      </c>
      <c r="R512" s="0" t="inlineStr">
        <is>
          <t>Seleccionar</t>
        </is>
      </c>
      <c r="S512" s="0" t="inlineStr">
        <is>
          <t>No ofrezco</t>
        </is>
      </c>
      <c r="T512" t="n">
        <v>1942</v>
      </c>
      <c r="U512" s="0" t="inlineStr">
        <is>
          <t>Holanda</t>
        </is>
      </c>
      <c r="X512" s="0" t="inlineStr">
        <is>
          <t>Níquel</t>
        </is>
      </c>
      <c r="Z512" t="inlineStr">
        <is>
          <t>10 Cents</t>
        </is>
      </c>
      <c r="AA512" s="0" t="inlineStr">
        <is>
          <t>Dólar</t>
        </is>
      </c>
      <c r="AB5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2" s="53">
        <f>IF(OR(TRIM(INDIRECT("B"&amp;ROW())) &lt;&gt; "",TRIM(INDIRECT("A"&amp;ROW())) &lt;&gt; ""),AND(TRIM(INDIRECT("A"&amp;ROW())) &lt;&gt; "",TRIM(INDIRECT("D"&amp;ROW())) = "nuevo"),"")</f>
        <v/>
      </c>
    </row>
    <row r="513" ht="27.5" customHeight="1" s="62">
      <c r="B513" t="inlineStr">
        <is>
          <t>Moneda Bangladés 25 Poisha 1980</t>
        </is>
      </c>
      <c r="C513" s="0">
        <f>LEN(INDIRECT(ADDRESS(ROW() + (0),COLUMN() + (-1))))</f>
        <v/>
      </c>
      <c r="D513" s="0" t="inlineStr">
        <is>
          <t>Usado</t>
        </is>
      </c>
      <c r="E513" s="38" t="inlineStr">
        <is>
          <t>https://numismaticapopper.com/images/1131A.jpeg,https://numismaticapopper.com/images/1131B.jpeg</t>
        </is>
      </c>
      <c r="F513" t="inlineStr">
        <is>
          <t>1131</t>
        </is>
      </c>
      <c r="G513" s="40" t="n">
        <v>1</v>
      </c>
      <c r="H513" t="n">
        <v>10000</v>
      </c>
      <c r="I513" t="inlineStr">
        <is>
          <t>Estado de conservacion: Sin Circular
Referencia de catalogo: KM# 12
Material: Acero
Tigre Real de Bengala.</t>
        </is>
      </c>
      <c r="J513" s="31">
        <f>IF(INDIRECT(ADDRESS(ROW() + (0),COLUMN() + (1)))="Agregar cuotas", IF(("16%")="", "-", "16%"), IF(INDIRECT(ADDRESS(ROW() + (0),COLUMN() + (1)))="No agregar cuotas", IF(("16%")="", "-", "16%"), "-"))</f>
        <v/>
      </c>
      <c r="K513" s="0" t="inlineStr">
        <is>
          <t>No agregar cuotas</t>
        </is>
      </c>
      <c r="L513" s="31">
        <f>IF(INDIRECT(ADDRESS(ROW() + (0),COLUMN() + (-1)))="Agregar cuotas", IF(("13.4%")="", "Sin costo", "13.4%"), IF(INDIRECT(ADDRESS(ROW() + (0),COLUMN() + (-1)))="No agregar cuotas", IF(("")="", "Sin costo", ""), "-"))</f>
        <v/>
      </c>
      <c r="M513" s="0" t="inlineStr">
        <is>
          <t>Mercado Envíos</t>
        </is>
      </c>
      <c r="N513" s="0" t="inlineStr">
        <is>
          <t>A cargo del comprador</t>
        </is>
      </c>
      <c r="O513" s="0" t="inlineStr">
        <is>
          <t>Acepto</t>
        </is>
      </c>
      <c r="P513" s="47" t="inlineStr">
        <is>
          <t>Sin garantía</t>
        </is>
      </c>
      <c r="R513" s="0" t="inlineStr">
        <is>
          <t>Seleccionar</t>
        </is>
      </c>
      <c r="S513" s="0" t="inlineStr">
        <is>
          <t>No ofrezco</t>
        </is>
      </c>
      <c r="T513" t="n">
        <v>1980</v>
      </c>
      <c r="U513" s="0" t="inlineStr">
        <is>
          <t>Inglaterra</t>
        </is>
      </c>
      <c r="X513" s="0" t="inlineStr">
        <is>
          <t>Níquel</t>
        </is>
      </c>
      <c r="Z513" t="inlineStr">
        <is>
          <t>25 Poisha</t>
        </is>
      </c>
      <c r="AA513" s="0" t="inlineStr">
        <is>
          <t>Dólar</t>
        </is>
      </c>
      <c r="AB5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3" s="53">
        <f>IF(OR(TRIM(INDIRECT("B"&amp;ROW())) &lt;&gt; "",TRIM(INDIRECT("A"&amp;ROW())) &lt;&gt; ""),AND(TRIM(INDIRECT("A"&amp;ROW())) &lt;&gt; "",TRIM(INDIRECT("D"&amp;ROW())) = "nuevo"),"")</f>
        <v/>
      </c>
    </row>
    <row r="514" ht="27.5" customHeight="1" s="62">
      <c r="B514" t="inlineStr">
        <is>
          <t>Moneda Bután 5 Chetrums 1975</t>
        </is>
      </c>
      <c r="C514" s="0">
        <f>LEN(INDIRECT(ADDRESS(ROW() + (0),COLUMN() + (-1))))</f>
        <v/>
      </c>
      <c r="D514" s="0" t="inlineStr">
        <is>
          <t>Usado</t>
        </is>
      </c>
      <c r="E514" s="38" t="inlineStr">
        <is>
          <t>https://numismaticapopper.com/images/1135A.jpeg,https://numismaticapopper.com/images/1135B.jpeg</t>
        </is>
      </c>
      <c r="F514" t="inlineStr">
        <is>
          <t>1135</t>
        </is>
      </c>
      <c r="G514" s="40" t="n">
        <v>1</v>
      </c>
      <c r="H514" t="n">
        <v>15000</v>
      </c>
      <c r="I514" t="inlineStr">
        <is>
          <t>Estado de conservacion: Sin Circular
Referencia de catalogo: KM# 37
Material: Aluminio
Moneda cuadrada de aluminio con esquinas redondeadas del Reino de Bután bajo el reinado de Jigme Singye Wangchuck.</t>
        </is>
      </c>
      <c r="J514" s="31">
        <f>IF(INDIRECT(ADDRESS(ROW() + (0),COLUMN() + (1)))="Agregar cuotas", IF(("16%")="", "-", "16%"), IF(INDIRECT(ADDRESS(ROW() + (0),COLUMN() + (1)))="No agregar cuotas", IF(("16%")="", "-", "16%"), "-"))</f>
        <v/>
      </c>
      <c r="K514" s="0" t="inlineStr">
        <is>
          <t>No agregar cuotas</t>
        </is>
      </c>
      <c r="L514" s="31">
        <f>IF(INDIRECT(ADDRESS(ROW() + (0),COLUMN() + (-1)))="Agregar cuotas", IF(("13.4%")="", "Sin costo", "13.4%"), IF(INDIRECT(ADDRESS(ROW() + (0),COLUMN() + (-1)))="No agregar cuotas", IF(("")="", "Sin costo", ""), "-"))</f>
        <v/>
      </c>
      <c r="M514" s="0" t="inlineStr">
        <is>
          <t>Mercado Envíos</t>
        </is>
      </c>
      <c r="N514" s="0" t="inlineStr">
        <is>
          <t>A cargo del comprador</t>
        </is>
      </c>
      <c r="O514" s="0" t="inlineStr">
        <is>
          <t>Acepto</t>
        </is>
      </c>
      <c r="P514" s="47" t="inlineStr">
        <is>
          <t>Sin garantía</t>
        </is>
      </c>
      <c r="R514" s="0" t="inlineStr">
        <is>
          <t>Seleccionar</t>
        </is>
      </c>
      <c r="S514" s="0" t="inlineStr">
        <is>
          <t>No ofrezco</t>
        </is>
      </c>
      <c r="T514" t="n">
        <v>1975</v>
      </c>
      <c r="U514" s="0" t="inlineStr">
        <is>
          <t>Inglaterra</t>
        </is>
      </c>
      <c r="X514" s="0" t="inlineStr">
        <is>
          <t>Níquel</t>
        </is>
      </c>
      <c r="Z514" t="inlineStr">
        <is>
          <t>5 Chetrums</t>
        </is>
      </c>
      <c r="AA514" s="0" t="inlineStr">
        <is>
          <t>Dólar</t>
        </is>
      </c>
      <c r="AB5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4" s="53">
        <f>IF(OR(TRIM(INDIRECT("B"&amp;ROW())) &lt;&gt; "",TRIM(INDIRECT("A"&amp;ROW())) &lt;&gt; ""),AND(TRIM(INDIRECT("A"&amp;ROW())) &lt;&gt; "",TRIM(INDIRECT("D"&amp;ROW())) = "nuevo"),"")</f>
        <v/>
      </c>
    </row>
    <row r="515" ht="27.5" customHeight="1" s="62">
      <c r="B515" t="inlineStr">
        <is>
          <t>Moneda Alemania 1 Deutsche Mark G 1984</t>
        </is>
      </c>
      <c r="C515" s="0">
        <f>LEN(INDIRECT(ADDRESS(ROW() + (0),COLUMN() + (-1))))</f>
        <v/>
      </c>
      <c r="D515" s="0" t="inlineStr">
        <is>
          <t>Usado</t>
        </is>
      </c>
      <c r="E515" s="38" t="inlineStr">
        <is>
          <t>https://numismaticapopper.com/images/1137A.jpeg,https://numismaticapopper.com/images/1137B.jpeg</t>
        </is>
      </c>
      <c r="F515" t="inlineStr">
        <is>
          <t>1137</t>
        </is>
      </c>
      <c r="G515" s="40" t="n">
        <v>1</v>
      </c>
      <c r="H515" t="n">
        <v>7000</v>
      </c>
      <c r="I515" t="inlineStr">
        <is>
          <t>Estado de conservacion: Excelente
Referencia de catalogo: KM# 110
Material: Cuproníquel
1 Marco alemán de la República Federal de Alemania, acuñado en la ceca G (Karlsruhe).</t>
        </is>
      </c>
      <c r="J515" s="31">
        <f>IF(INDIRECT(ADDRESS(ROW() + (0),COLUMN() + (1)))="Agregar cuotas", IF(("16%")="", "-", "16%"), IF(INDIRECT(ADDRESS(ROW() + (0),COLUMN() + (1)))="No agregar cuotas", IF(("16%")="", "-", "16%"), "-"))</f>
        <v/>
      </c>
      <c r="K515" s="0" t="inlineStr">
        <is>
          <t>No agregar cuotas</t>
        </is>
      </c>
      <c r="L515" s="31">
        <f>IF(INDIRECT(ADDRESS(ROW() + (0),COLUMN() + (-1)))="Agregar cuotas", IF(("13.4%")="", "Sin costo", "13.4%"), IF(INDIRECT(ADDRESS(ROW() + (0),COLUMN() + (-1)))="No agregar cuotas", IF(("")="", "Sin costo", ""), "-"))</f>
        <v/>
      </c>
      <c r="M515" s="0" t="inlineStr">
        <is>
          <t>Mercado Envíos</t>
        </is>
      </c>
      <c r="N515" s="0" t="inlineStr">
        <is>
          <t>A cargo del comprador</t>
        </is>
      </c>
      <c r="O515" s="0" t="inlineStr">
        <is>
          <t>Acepto</t>
        </is>
      </c>
      <c r="P515" s="47" t="inlineStr">
        <is>
          <t>Sin garantía</t>
        </is>
      </c>
      <c r="R515" s="0" t="inlineStr">
        <is>
          <t>Seleccionar</t>
        </is>
      </c>
      <c r="S515" s="0" t="inlineStr">
        <is>
          <t>No ofrezco</t>
        </is>
      </c>
      <c r="T515" t="n">
        <v>1984</v>
      </c>
      <c r="U515" s="0" t="inlineStr">
        <is>
          <t>Alemania</t>
        </is>
      </c>
      <c r="X515" s="0" t="inlineStr">
        <is>
          <t>Níquel</t>
        </is>
      </c>
      <c r="Z515" t="inlineStr">
        <is>
          <t>1 Deutsche Mark G</t>
        </is>
      </c>
      <c r="AA515" s="0" t="inlineStr">
        <is>
          <t>Euro</t>
        </is>
      </c>
      <c r="AB5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5" s="53">
        <f>IF(OR(TRIM(INDIRECT("B"&amp;ROW())) &lt;&gt; "",TRIM(INDIRECT("A"&amp;ROW())) &lt;&gt; ""),AND(TRIM(INDIRECT("A"&amp;ROW())) &lt;&gt; "",TRIM(INDIRECT("D"&amp;ROW())) = "nuevo"),"")</f>
        <v/>
      </c>
    </row>
    <row r="516" ht="27.5" customHeight="1" s="62">
      <c r="B516" t="inlineStr">
        <is>
          <t>Moneda Alemania 1 Deutsche Mark F 1991</t>
        </is>
      </c>
      <c r="C516" s="0">
        <f>LEN(INDIRECT(ADDRESS(ROW() + (0),COLUMN() + (-1))))</f>
        <v/>
      </c>
      <c r="D516" s="0" t="inlineStr">
        <is>
          <t>Usado</t>
        </is>
      </c>
      <c r="E516" s="38" t="inlineStr">
        <is>
          <t>https://numismaticapopper.com/images/1138A.jpeg,https://numismaticapopper.com/images/1138B.jpeg</t>
        </is>
      </c>
      <c r="F516" t="inlineStr">
        <is>
          <t>1138</t>
        </is>
      </c>
      <c r="G516" s="40" t="n">
        <v>1</v>
      </c>
      <c r="H516" t="n">
        <v>7000</v>
      </c>
      <c r="I516" t="inlineStr">
        <is>
          <t>Estado de conservacion: Excelente
Referencia de catalogo: KM# 110
Material: Cuproníquel
1 Marco alemán posterior a la reunificación alemana, acuñado en la ceca F (Stuttgart).</t>
        </is>
      </c>
      <c r="J516" s="31">
        <f>IF(INDIRECT(ADDRESS(ROW() + (0),COLUMN() + (1)))="Agregar cuotas", IF(("16%")="", "-", "16%"), IF(INDIRECT(ADDRESS(ROW() + (0),COLUMN() + (1)))="No agregar cuotas", IF(("16%")="", "-", "16%"), "-"))</f>
        <v/>
      </c>
      <c r="K516" s="0" t="inlineStr">
        <is>
          <t>No agregar cuotas</t>
        </is>
      </c>
      <c r="L516" s="31">
        <f>IF(INDIRECT(ADDRESS(ROW() + (0),COLUMN() + (-1)))="Agregar cuotas", IF(("13.4%")="", "Sin costo", "13.4%"), IF(INDIRECT(ADDRESS(ROW() + (0),COLUMN() + (-1)))="No agregar cuotas", IF(("")="", "Sin costo", ""), "-"))</f>
        <v/>
      </c>
      <c r="M516" s="0" t="inlineStr">
        <is>
          <t>Mercado Envíos</t>
        </is>
      </c>
      <c r="N516" s="0" t="inlineStr">
        <is>
          <t>A cargo del comprador</t>
        </is>
      </c>
      <c r="O516" s="0" t="inlineStr">
        <is>
          <t>Acepto</t>
        </is>
      </c>
      <c r="P516" s="47" t="inlineStr">
        <is>
          <t>Sin garantía</t>
        </is>
      </c>
      <c r="R516" s="0" t="inlineStr">
        <is>
          <t>Seleccionar</t>
        </is>
      </c>
      <c r="S516" s="0" t="inlineStr">
        <is>
          <t>No ofrezco</t>
        </is>
      </c>
      <c r="T516" t="n">
        <v>1991</v>
      </c>
      <c r="U516" s="0" t="inlineStr">
        <is>
          <t>Alemania</t>
        </is>
      </c>
      <c r="X516" s="0" t="inlineStr">
        <is>
          <t>Níquel</t>
        </is>
      </c>
      <c r="Z516" t="inlineStr">
        <is>
          <t>1 Deutsche Mark F</t>
        </is>
      </c>
      <c r="AA516" s="0" t="inlineStr">
        <is>
          <t>Euro</t>
        </is>
      </c>
      <c r="AB5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6" s="53">
        <f>IF(OR(TRIM(INDIRECT("B"&amp;ROW())) &lt;&gt; "",TRIM(INDIRECT("A"&amp;ROW())) &lt;&gt; ""),AND(TRIM(INDIRECT("A"&amp;ROW())) &lt;&gt; "",TRIM(INDIRECT("D"&amp;ROW())) = "nuevo"),"")</f>
        <v/>
      </c>
    </row>
    <row r="517" ht="27.5" customHeight="1" s="62">
      <c r="B517" t="inlineStr">
        <is>
          <t>Moneda Congo Belga y Ruanda-Urundi 5 Francos 1956</t>
        </is>
      </c>
      <c r="C517" s="0">
        <f>LEN(INDIRECT(ADDRESS(ROW() + (0),COLUMN() + (-1))))</f>
        <v/>
      </c>
      <c r="D517" s="0" t="inlineStr">
        <is>
          <t>Usado</t>
        </is>
      </c>
      <c r="E517" s="38" t="inlineStr">
        <is>
          <t>https://numismaticapopper.com/images/1139A.jpeg,https://numismaticapopper.com/images/1139B.jpeg</t>
        </is>
      </c>
      <c r="F517" t="inlineStr">
        <is>
          <t>1139</t>
        </is>
      </c>
      <c r="G517" s="40" t="n">
        <v>1</v>
      </c>
      <c r="H517" t="n">
        <v>18000</v>
      </c>
      <c r="I517" t="inlineStr">
        <is>
          <t>Estado de conservacion: Muy Buena
Referencia de catalogo: KM# 3
Material: Aluminio
Moneda colonial de 5 Francos con palmera africana y escudo coronado de Bélgica.</t>
        </is>
      </c>
      <c r="J517" s="31">
        <f>IF(INDIRECT(ADDRESS(ROW() + (0),COLUMN() + (1)))="Agregar cuotas", IF(("16%")="", "-", "16%"), IF(INDIRECT(ADDRESS(ROW() + (0),COLUMN() + (1)))="No agregar cuotas", IF(("16%")="", "-", "16%"), "-"))</f>
        <v/>
      </c>
      <c r="K517" s="0" t="inlineStr">
        <is>
          <t>No agregar cuotas</t>
        </is>
      </c>
      <c r="L517" s="31">
        <f>IF(INDIRECT(ADDRESS(ROW() + (0),COLUMN() + (-1)))="Agregar cuotas", IF(("13.4%")="", "Sin costo", "13.4%"), IF(INDIRECT(ADDRESS(ROW() + (0),COLUMN() + (-1)))="No agregar cuotas", IF(("")="", "Sin costo", ""), "-"))</f>
        <v/>
      </c>
      <c r="M517" s="0" t="inlineStr">
        <is>
          <t>Mercado Envíos</t>
        </is>
      </c>
      <c r="N517" s="0" t="inlineStr">
        <is>
          <t>A cargo del comprador</t>
        </is>
      </c>
      <c r="O517" s="0" t="inlineStr">
        <is>
          <t>Acepto</t>
        </is>
      </c>
      <c r="P517" s="47" t="inlineStr">
        <is>
          <t>Sin garantía</t>
        </is>
      </c>
      <c r="R517" s="0" t="inlineStr">
        <is>
          <t>Seleccionar</t>
        </is>
      </c>
      <c r="S517" s="0" t="inlineStr">
        <is>
          <t>No ofrezco</t>
        </is>
      </c>
      <c r="T517" t="n">
        <v>1956</v>
      </c>
      <c r="U517" s="0" t="inlineStr">
        <is>
          <t>Bélgica</t>
        </is>
      </c>
      <c r="X517" s="0" t="inlineStr">
        <is>
          <t>Níquel</t>
        </is>
      </c>
      <c r="Z517" t="inlineStr">
        <is>
          <t>5 Francos</t>
        </is>
      </c>
      <c r="AA517" s="0" t="inlineStr">
        <is>
          <t>Euro</t>
        </is>
      </c>
      <c r="AB5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7" s="53">
        <f>IF(OR(TRIM(INDIRECT("B"&amp;ROW())) &lt;&gt; "",TRIM(INDIRECT("A"&amp;ROW())) &lt;&gt; ""),AND(TRIM(INDIRECT("A"&amp;ROW())) &lt;&gt; "",TRIM(INDIRECT("D"&amp;ROW())) = "nuevo"),"")</f>
        <v/>
      </c>
    </row>
    <row r="518" ht="27.5" customHeight="1" s="62">
      <c r="B518" t="inlineStr">
        <is>
          <t>Moneda Serbia 2 Dinara 2009</t>
        </is>
      </c>
      <c r="C518" s="0">
        <f>LEN(INDIRECT(ADDRESS(ROW() + (0),COLUMN() + (-1))))</f>
        <v/>
      </c>
      <c r="D518" s="0" t="inlineStr">
        <is>
          <t>Usado</t>
        </is>
      </c>
      <c r="E518" s="38" t="inlineStr">
        <is>
          <t>https://numismaticapopper.com/images/1141A.jpeg,https://numismaticapopper.com/images/1141B.jpeg</t>
        </is>
      </c>
      <c r="F518" t="inlineStr">
        <is>
          <t>1141</t>
        </is>
      </c>
      <c r="G518" s="40" t="n">
        <v>1</v>
      </c>
      <c r="H518" t="n">
        <v>7000</v>
      </c>
      <c r="I518" t="inlineStr">
        <is>
          <t>Estado de conservacion: Excelente -
Referencia de catalogo: KM# 49
Material: Acero latonado
2 Dinara de la República de Serbia con la fachada del Monasterio de Gračanica y el escudo nacional.</t>
        </is>
      </c>
      <c r="J518" s="31">
        <f>IF(INDIRECT(ADDRESS(ROW() + (0),COLUMN() + (1)))="Agregar cuotas", IF(("16%")="", "-", "16%"), IF(INDIRECT(ADDRESS(ROW() + (0),COLUMN() + (1)))="No agregar cuotas", IF(("16%")="", "-", "16%"), "-"))</f>
        <v/>
      </c>
      <c r="K518" s="0" t="inlineStr">
        <is>
          <t>No agregar cuotas</t>
        </is>
      </c>
      <c r="L518" s="31">
        <f>IF(INDIRECT(ADDRESS(ROW() + (0),COLUMN() + (-1)))="Agregar cuotas", IF(("13.4%")="", "Sin costo", "13.4%"), IF(INDIRECT(ADDRESS(ROW() + (0),COLUMN() + (-1)))="No agregar cuotas", IF(("")="", "Sin costo", ""), "-"))</f>
        <v/>
      </c>
      <c r="M518" s="0" t="inlineStr">
        <is>
          <t>Mercado Envíos</t>
        </is>
      </c>
      <c r="N518" s="0" t="inlineStr">
        <is>
          <t>A cargo del comprador</t>
        </is>
      </c>
      <c r="O518" s="0" t="inlineStr">
        <is>
          <t>Acepto</t>
        </is>
      </c>
      <c r="P518" s="47" t="inlineStr">
        <is>
          <t>Sin garantía</t>
        </is>
      </c>
      <c r="R518" s="0" t="inlineStr">
        <is>
          <t>Seleccionar</t>
        </is>
      </c>
      <c r="S518" s="0" t="inlineStr">
        <is>
          <t>No ofrezco</t>
        </is>
      </c>
      <c r="T518" t="n">
        <v>2009</v>
      </c>
      <c r="U518" s="0" t="inlineStr">
        <is>
          <t>Austria</t>
        </is>
      </c>
      <c r="X518" s="0" t="inlineStr">
        <is>
          <t>Bronce</t>
        </is>
      </c>
      <c r="Z518" t="inlineStr">
        <is>
          <t>2 Dinara</t>
        </is>
      </c>
      <c r="AA518" s="0" t="inlineStr">
        <is>
          <t>Euro</t>
        </is>
      </c>
      <c r="AB5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8" s="53">
        <f>IF(OR(TRIM(INDIRECT("B"&amp;ROW())) &lt;&gt; "",TRIM(INDIRECT("A"&amp;ROW())) &lt;&gt; ""),AND(TRIM(INDIRECT("A"&amp;ROW())) &lt;&gt; "",TRIM(INDIRECT("D"&amp;ROW())) = "nuevo"),"")</f>
        <v/>
      </c>
    </row>
    <row r="519" ht="27.5" customHeight="1" s="62">
      <c r="B519" t="inlineStr">
        <is>
          <t>Moneda Italia 1 Centesimo R 1900</t>
        </is>
      </c>
      <c r="C519" s="0">
        <f>LEN(INDIRECT(ADDRESS(ROW() + (0),COLUMN() + (-1))))</f>
        <v/>
      </c>
      <c r="D519" s="0" t="inlineStr">
        <is>
          <t>Usado</t>
        </is>
      </c>
      <c r="E519" s="38" t="inlineStr">
        <is>
          <t>https://numismaticapopper.com/images/1142A.jpeg,https://numismaticapopper.com/images/1142B.jpeg</t>
        </is>
      </c>
      <c r="F519" t="inlineStr">
        <is>
          <t>1142</t>
        </is>
      </c>
      <c r="G519" s="40" t="n">
        <v>1</v>
      </c>
      <c r="H519" t="n">
        <v>9000</v>
      </c>
      <c r="I519" t="inlineStr">
        <is>
          <t>Estado de conservacion: Regular
Referencia de catalogo: KM# 29
Material: Cobre
1 Centésimo del Reino de Italia bajo el reinado de Umberto I, ceca de Roma (R).</t>
        </is>
      </c>
      <c r="J519" s="31">
        <f>IF(INDIRECT(ADDRESS(ROW() + (0),COLUMN() + (1)))="Agregar cuotas", IF(("16%")="", "-", "16%"), IF(INDIRECT(ADDRESS(ROW() + (0),COLUMN() + (1)))="No agregar cuotas", IF(("16%")="", "-", "16%"), "-"))</f>
        <v/>
      </c>
      <c r="K519" s="0" t="inlineStr">
        <is>
          <t>No agregar cuotas</t>
        </is>
      </c>
      <c r="L519" s="31">
        <f>IF(INDIRECT(ADDRESS(ROW() + (0),COLUMN() + (-1)))="Agregar cuotas", IF(("13.4%")="", "Sin costo", "13.4%"), IF(INDIRECT(ADDRESS(ROW() + (0),COLUMN() + (-1)))="No agregar cuotas", IF(("")="", "Sin costo", ""), "-"))</f>
        <v/>
      </c>
      <c r="M519" s="0" t="inlineStr">
        <is>
          <t>Mercado Envíos</t>
        </is>
      </c>
      <c r="N519" s="0" t="inlineStr">
        <is>
          <t>A cargo del comprador</t>
        </is>
      </c>
      <c r="O519" s="0" t="inlineStr">
        <is>
          <t>Acepto</t>
        </is>
      </c>
      <c r="P519" s="47" t="inlineStr">
        <is>
          <t>Sin garantía</t>
        </is>
      </c>
      <c r="R519" s="0" t="inlineStr">
        <is>
          <t>Seleccionar</t>
        </is>
      </c>
      <c r="S519" s="0" t="inlineStr">
        <is>
          <t>No ofrezco</t>
        </is>
      </c>
      <c r="T519" t="n">
        <v>1900</v>
      </c>
      <c r="U519" s="0" t="inlineStr">
        <is>
          <t>Italia</t>
        </is>
      </c>
      <c r="X519" s="0" t="inlineStr">
        <is>
          <t>Cobre</t>
        </is>
      </c>
      <c r="Z519" t="inlineStr">
        <is>
          <t>1 Centesimo R</t>
        </is>
      </c>
      <c r="AA519" s="0" t="inlineStr">
        <is>
          <t>Euro</t>
        </is>
      </c>
      <c r="AB5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19" s="53">
        <f>IF(OR(TRIM(INDIRECT("B"&amp;ROW())) &lt;&gt; "",TRIM(INDIRECT("A"&amp;ROW())) &lt;&gt; ""),AND(TRIM(INDIRECT("A"&amp;ROW())) &lt;&gt; "",TRIM(INDIRECT("D"&amp;ROW())) = "nuevo"),"")</f>
        <v/>
      </c>
    </row>
    <row r="520" ht="27.5" customHeight="1" s="62">
      <c r="B520" t="inlineStr">
        <is>
          <t>Moneda Italia 10 Centesimi R 1929</t>
        </is>
      </c>
      <c r="C520" s="0">
        <f>LEN(INDIRECT(ADDRESS(ROW() + (0),COLUMN() + (-1))))</f>
        <v/>
      </c>
      <c r="D520" s="0" t="inlineStr">
        <is>
          <t>Usado</t>
        </is>
      </c>
      <c r="E520" s="38" t="inlineStr">
        <is>
          <t>https://numismaticapopper.com/images/1143A.jpeg,https://numismaticapopper.com/images/1143B.jpeg</t>
        </is>
      </c>
      <c r="F520" t="inlineStr">
        <is>
          <t>1143</t>
        </is>
      </c>
      <c r="G520" s="40" t="n">
        <v>1</v>
      </c>
      <c r="H520" t="n">
        <v>7000</v>
      </c>
      <c r="I520" t="inlineStr">
        <is>
          <t>Estado de conservacion: Muy Buena
Referencia de catalogo: KM# 60
Material: Cobre
Clásica moneda de 10 Centesimi con el diseño de la abeja obrera sobre flor (Ape), ceca de Roma (R).</t>
        </is>
      </c>
      <c r="J520" s="31">
        <f>IF(INDIRECT(ADDRESS(ROW() + (0),COLUMN() + (1)))="Agregar cuotas", IF(("16%")="", "-", "16%"), IF(INDIRECT(ADDRESS(ROW() + (0),COLUMN() + (1)))="No agregar cuotas", IF(("16%")="", "-", "16%"), "-"))</f>
        <v/>
      </c>
      <c r="K520" s="0" t="inlineStr">
        <is>
          <t>No agregar cuotas</t>
        </is>
      </c>
      <c r="L520" s="31">
        <f>IF(INDIRECT(ADDRESS(ROW() + (0),COLUMN() + (-1)))="Agregar cuotas", IF(("13.4%")="", "Sin costo", "13.4%"), IF(INDIRECT(ADDRESS(ROW() + (0),COLUMN() + (-1)))="No agregar cuotas", IF(("")="", "Sin costo", ""), "-"))</f>
        <v/>
      </c>
      <c r="M520" s="0" t="inlineStr">
        <is>
          <t>Mercado Envíos</t>
        </is>
      </c>
      <c r="N520" s="0" t="inlineStr">
        <is>
          <t>A cargo del comprador</t>
        </is>
      </c>
      <c r="O520" s="0" t="inlineStr">
        <is>
          <t>Acepto</t>
        </is>
      </c>
      <c r="P520" s="47" t="inlineStr">
        <is>
          <t>Sin garantía</t>
        </is>
      </c>
      <c r="R520" s="0" t="inlineStr">
        <is>
          <t>Seleccionar</t>
        </is>
      </c>
      <c r="S520" s="0" t="inlineStr">
        <is>
          <t>No ofrezco</t>
        </is>
      </c>
      <c r="T520" t="n">
        <v>1929</v>
      </c>
      <c r="U520" s="0" t="inlineStr">
        <is>
          <t>Italia</t>
        </is>
      </c>
      <c r="X520" s="0" t="inlineStr">
        <is>
          <t>Cobre</t>
        </is>
      </c>
      <c r="Z520" t="inlineStr">
        <is>
          <t>10 Centesimi R</t>
        </is>
      </c>
      <c r="AA520" s="0" t="inlineStr">
        <is>
          <t>Euro</t>
        </is>
      </c>
      <c r="AB5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0" s="53">
        <f>IF(OR(TRIM(INDIRECT("B"&amp;ROW())) &lt;&gt; "",TRIM(INDIRECT("A"&amp;ROW())) &lt;&gt; ""),AND(TRIM(INDIRECT("A"&amp;ROW())) &lt;&gt; "",TRIM(INDIRECT("D"&amp;ROW())) = "nuevo"),"")</f>
        <v/>
      </c>
    </row>
    <row r="521" ht="27.5" customHeight="1" s="62">
      <c r="B521" t="inlineStr">
        <is>
          <t>Moneda Rumania 100 Lei 1991</t>
        </is>
      </c>
      <c r="C521" s="0">
        <f>LEN(INDIRECT(ADDRESS(ROW() + (0),COLUMN() + (-1))))</f>
        <v/>
      </c>
      <c r="D521" s="0" t="inlineStr">
        <is>
          <t>Usado</t>
        </is>
      </c>
      <c r="E521" s="38" t="inlineStr">
        <is>
          <t>https://numismaticapopper.com/images/1145A.jpeg,https://numismaticapopper.com/images/1145B.jpeg</t>
        </is>
      </c>
      <c r="F521" t="inlineStr">
        <is>
          <t>1145</t>
        </is>
      </c>
      <c r="G521" s="40" t="n">
        <v>1</v>
      </c>
      <c r="H521" t="n">
        <v>8000</v>
      </c>
      <c r="I521" t="inlineStr">
        <is>
          <t>Estado de conservacion: Sin Circular
Referencia de catalogo: KM# 111
Material: Acero niquelado
100 Lei conmemorativa de Mihai Viteazul (Miguel el Valiente), gobernante y unificador de Rumania.</t>
        </is>
      </c>
      <c r="J521" s="31">
        <f>IF(INDIRECT(ADDRESS(ROW() + (0),COLUMN() + (1)))="Agregar cuotas", IF(("16%")="", "-", "16%"), IF(INDIRECT(ADDRESS(ROW() + (0),COLUMN() + (1)))="No agregar cuotas", IF(("16%")="", "-", "16%"), "-"))</f>
        <v/>
      </c>
      <c r="K521" s="0" t="inlineStr">
        <is>
          <t>No agregar cuotas</t>
        </is>
      </c>
      <c r="L521" s="31">
        <f>IF(INDIRECT(ADDRESS(ROW() + (0),COLUMN() + (-1)))="Agregar cuotas", IF(("13.4%")="", "Sin costo", "13.4%"), IF(INDIRECT(ADDRESS(ROW() + (0),COLUMN() + (-1)))="No agregar cuotas", IF(("")="", "Sin costo", ""), "-"))</f>
        <v/>
      </c>
      <c r="M521" s="0" t="inlineStr">
        <is>
          <t>Mercado Envíos</t>
        </is>
      </c>
      <c r="N521" s="0" t="inlineStr">
        <is>
          <t>A cargo del comprador</t>
        </is>
      </c>
      <c r="O521" s="0" t="inlineStr">
        <is>
          <t>Acepto</t>
        </is>
      </c>
      <c r="P521" s="47" t="inlineStr">
        <is>
          <t>Sin garantía</t>
        </is>
      </c>
      <c r="R521" s="0" t="inlineStr">
        <is>
          <t>Seleccionar</t>
        </is>
      </c>
      <c r="S521" s="0" t="inlineStr">
        <is>
          <t>No ofrezco</t>
        </is>
      </c>
      <c r="T521" t="n">
        <v>1991</v>
      </c>
      <c r="U521" s="0" t="inlineStr">
        <is>
          <t>Austria</t>
        </is>
      </c>
      <c r="X521" s="0" t="inlineStr">
        <is>
          <t>Níquel</t>
        </is>
      </c>
      <c r="Z521" t="inlineStr">
        <is>
          <t>100 Lei</t>
        </is>
      </c>
      <c r="AA521" s="0" t="inlineStr">
        <is>
          <t>Euro</t>
        </is>
      </c>
      <c r="AB5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1" s="53">
        <f>IF(OR(TRIM(INDIRECT("B"&amp;ROW())) &lt;&gt; "",TRIM(INDIRECT("A"&amp;ROW())) &lt;&gt; ""),AND(TRIM(INDIRECT("A"&amp;ROW())) &lt;&gt; "",TRIM(INDIRECT("D"&amp;ROW())) = "nuevo"),"")</f>
        <v/>
      </c>
    </row>
    <row r="522" ht="27.5" customHeight="1" s="62">
      <c r="B522" t="inlineStr">
        <is>
          <t>Moneda China 5 Fen 1982</t>
        </is>
      </c>
      <c r="C522" s="0">
        <f>LEN(INDIRECT(ADDRESS(ROW() + (0),COLUMN() + (-1))))</f>
        <v/>
      </c>
      <c r="D522" s="0" t="inlineStr">
        <is>
          <t>Usado</t>
        </is>
      </c>
      <c r="E522" s="38" t="inlineStr">
        <is>
          <t>https://numismaticapopper.com/images/1146A.jpeg,https://numismaticapopper.com/images/1146B.jpeg</t>
        </is>
      </c>
      <c r="F522" t="inlineStr">
        <is>
          <t>1146</t>
        </is>
      </c>
      <c r="G522" s="40" t="n">
        <v>1</v>
      </c>
      <c r="H522" t="n">
        <v>8000</v>
      </c>
      <c r="I522" t="inlineStr">
        <is>
          <t>Estado de conservacion: Excelente +
Referencia de catalogo: KM# 3
Material: Aluminio
5 Fen de la República Popular China con espigas de arroz y el escudo nacional en la Puerta de Tiananmen.</t>
        </is>
      </c>
      <c r="J522" s="31">
        <f>IF(INDIRECT(ADDRESS(ROW() + (0),COLUMN() + (1)))="Agregar cuotas", IF(("16%")="", "-", "16%"), IF(INDIRECT(ADDRESS(ROW() + (0),COLUMN() + (1)))="No agregar cuotas", IF(("16%")="", "-", "16%"), "-"))</f>
        <v/>
      </c>
      <c r="K522" s="0" t="inlineStr">
        <is>
          <t>No agregar cuotas</t>
        </is>
      </c>
      <c r="L522" s="31">
        <f>IF(INDIRECT(ADDRESS(ROW() + (0),COLUMN() + (-1)))="Agregar cuotas", IF(("13.4%")="", "Sin costo", "13.4%"), IF(INDIRECT(ADDRESS(ROW() + (0),COLUMN() + (-1)))="No agregar cuotas", IF(("")="", "Sin costo", ""), "-"))</f>
        <v/>
      </c>
      <c r="M522" s="0" t="inlineStr">
        <is>
          <t>Mercado Envíos</t>
        </is>
      </c>
      <c r="N522" s="0" t="inlineStr">
        <is>
          <t>A cargo del comprador</t>
        </is>
      </c>
      <c r="O522" s="0" t="inlineStr">
        <is>
          <t>Acepto</t>
        </is>
      </c>
      <c r="P522" s="47" t="inlineStr">
        <is>
          <t>Sin garantía</t>
        </is>
      </c>
      <c r="R522" s="0" t="inlineStr">
        <is>
          <t>Seleccionar</t>
        </is>
      </c>
      <c r="S522" s="0" t="inlineStr">
        <is>
          <t>No ofrezco</t>
        </is>
      </c>
      <c r="T522" t="n">
        <v>1982</v>
      </c>
      <c r="U522" s="0" t="inlineStr">
        <is>
          <t>China</t>
        </is>
      </c>
      <c r="X522" s="0" t="inlineStr">
        <is>
          <t>Níquel</t>
        </is>
      </c>
      <c r="Z522" t="inlineStr">
        <is>
          <t>5 Fen</t>
        </is>
      </c>
      <c r="AA522" s="0" t="inlineStr">
        <is>
          <t>Yuan</t>
        </is>
      </c>
      <c r="AB5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2" s="53">
        <f>IF(OR(TRIM(INDIRECT("B"&amp;ROW())) &lt;&gt; "",TRIM(INDIRECT("A"&amp;ROW())) &lt;&gt; ""),AND(TRIM(INDIRECT("A"&amp;ROW())) &lt;&gt; "",TRIM(INDIRECT("D"&amp;ROW())) = "nuevo"),"")</f>
        <v/>
      </c>
    </row>
    <row r="523" ht="27.5" customHeight="1" s="62">
      <c r="B523" t="inlineStr">
        <is>
          <t>Moneda Francia 5 Francos 1994</t>
        </is>
      </c>
      <c r="C523" s="0">
        <f>LEN(INDIRECT(ADDRESS(ROW() + (0),COLUMN() + (-1))))</f>
        <v/>
      </c>
      <c r="D523" s="0" t="inlineStr">
        <is>
          <t>Usado</t>
        </is>
      </c>
      <c r="E523" s="38" t="inlineStr">
        <is>
          <t>https://numismaticapopper.com/images/1151A.jpeg,https://numismaticapopper.com/images/1151B.jpeg</t>
        </is>
      </c>
      <c r="F523" t="inlineStr">
        <is>
          <t>1151</t>
        </is>
      </c>
      <c r="G523" s="40" t="n">
        <v>1</v>
      </c>
      <c r="H523" t="n">
        <v>12000</v>
      </c>
      <c r="I523" t="inlineStr">
        <is>
          <t>Estado de conservacion: Sin Circular
Referencia de catalogo: KM# 1063
Material: Cuproníquel
Tricentenario del nacimiento de Voltaire</t>
        </is>
      </c>
      <c r="J523" s="31">
        <f>IF(INDIRECT(ADDRESS(ROW() + (0),COLUMN() + (1)))="Agregar cuotas", IF(("16%")="", "-", "16%"), IF(INDIRECT(ADDRESS(ROW() + (0),COLUMN() + (1)))="No agregar cuotas", IF(("16%")="", "-", "16%"), "-"))</f>
        <v/>
      </c>
      <c r="K523" s="0" t="inlineStr">
        <is>
          <t>No agregar cuotas</t>
        </is>
      </c>
      <c r="L523" s="31">
        <f>IF(INDIRECT(ADDRESS(ROW() + (0),COLUMN() + (-1)))="Agregar cuotas", IF(("13.4%")="", "Sin costo", "13.4%"), IF(INDIRECT(ADDRESS(ROW() + (0),COLUMN() + (-1)))="No agregar cuotas", IF(("")="", "Sin costo", ""), "-"))</f>
        <v/>
      </c>
      <c r="M523" s="0" t="inlineStr">
        <is>
          <t>Mercado Envíos</t>
        </is>
      </c>
      <c r="N523" s="0" t="inlineStr">
        <is>
          <t>A cargo del comprador</t>
        </is>
      </c>
      <c r="O523" s="0" t="inlineStr">
        <is>
          <t>Acepto</t>
        </is>
      </c>
      <c r="P523" s="47" t="inlineStr">
        <is>
          <t>Sin garantía</t>
        </is>
      </c>
      <c r="R523" s="0" t="inlineStr">
        <is>
          <t>Seleccionar</t>
        </is>
      </c>
      <c r="S523" s="0" t="inlineStr">
        <is>
          <t>No ofrezco</t>
        </is>
      </c>
      <c r="T523" t="n">
        <v>1994</v>
      </c>
      <c r="U523" s="0" t="inlineStr">
        <is>
          <t>Francia</t>
        </is>
      </c>
      <c r="X523" s="0" t="inlineStr">
        <is>
          <t>Níquel</t>
        </is>
      </c>
      <c r="Z523" t="inlineStr">
        <is>
          <t>5 Francos</t>
        </is>
      </c>
      <c r="AA523" s="0" t="inlineStr">
        <is>
          <t>Euro</t>
        </is>
      </c>
      <c r="AB5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3" s="53">
        <f>IF(OR(TRIM(INDIRECT("B"&amp;ROW())) &lt;&gt; "",TRIM(INDIRECT("A"&amp;ROW())) &lt;&gt; ""),AND(TRIM(INDIRECT("A"&amp;ROW())) &lt;&gt; "",TRIM(INDIRECT("D"&amp;ROW())) = "nuevo"),"")</f>
        <v/>
      </c>
    </row>
    <row r="524" ht="27.5" customHeight="1" s="62">
      <c r="B524" t="inlineStr">
        <is>
          <t>Moneda Francia 5 Francos 1837</t>
        </is>
      </c>
      <c r="C524" s="0">
        <f>LEN(INDIRECT(ADDRESS(ROW() + (0),COLUMN() + (-1))))</f>
        <v/>
      </c>
      <c r="D524" s="0" t="inlineStr">
        <is>
          <t>Usado</t>
        </is>
      </c>
      <c r="E524" s="38" t="inlineStr">
        <is>
          <t>https://numismaticapopper.com/images/1154A.jpeg,https://numismaticapopper.com/images/1154B.jpeg</t>
        </is>
      </c>
      <c r="F524" t="inlineStr">
        <is>
          <t>1154</t>
        </is>
      </c>
      <c r="G524" s="40" t="n">
        <v>1</v>
      </c>
      <c r="H524" t="n">
        <v>99000</v>
      </c>
      <c r="I524" t="inlineStr">
        <is>
          <t>Estado de conservacion: Muy Buena
Referencia de catalogo: KM# 749
Material: Plata .900</t>
        </is>
      </c>
      <c r="J524" s="31">
        <f>IF(INDIRECT(ADDRESS(ROW() + (0),COLUMN() + (1)))="Agregar cuotas", IF(("16%")="", "-", "16%"), IF(INDIRECT(ADDRESS(ROW() + (0),COLUMN() + (1)))="No agregar cuotas", IF(("16%")="", "-", "16%"), "-"))</f>
        <v/>
      </c>
      <c r="K524" s="0" t="inlineStr">
        <is>
          <t>No agregar cuotas</t>
        </is>
      </c>
      <c r="L524" s="31">
        <f>IF(INDIRECT(ADDRESS(ROW() + (0),COLUMN() + (-1)))="Agregar cuotas", IF(("13.4%")="", "Sin costo", "13.4%"), IF(INDIRECT(ADDRESS(ROW() + (0),COLUMN() + (-1)))="No agregar cuotas", IF(("")="", "Sin costo", ""), "-"))</f>
        <v/>
      </c>
      <c r="M524" s="0" t="inlineStr">
        <is>
          <t>Mercado Envíos</t>
        </is>
      </c>
      <c r="N524" s="0" t="inlineStr">
        <is>
          <t>A cargo del comprador</t>
        </is>
      </c>
      <c r="O524" s="0" t="inlineStr">
        <is>
          <t>Acepto</t>
        </is>
      </c>
      <c r="P524" s="47" t="inlineStr">
        <is>
          <t>Sin garantía</t>
        </is>
      </c>
      <c r="R524" s="0" t="inlineStr">
        <is>
          <t>Seleccionar</t>
        </is>
      </c>
      <c r="S524" s="0" t="inlineStr">
        <is>
          <t>No ofrezco</t>
        </is>
      </c>
      <c r="T524" t="n">
        <v>1837</v>
      </c>
      <c r="U524" s="0" t="inlineStr">
        <is>
          <t>Francia</t>
        </is>
      </c>
      <c r="X524" s="0" t="inlineStr">
        <is>
          <t>Plata</t>
        </is>
      </c>
      <c r="Z524" t="inlineStr">
        <is>
          <t>5 Francos</t>
        </is>
      </c>
      <c r="AA524" s="0" t="inlineStr">
        <is>
          <t>Euro</t>
        </is>
      </c>
      <c r="AB5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4" s="53">
        <f>IF(OR(TRIM(INDIRECT("B"&amp;ROW())) &lt;&gt; "",TRIM(INDIRECT("A"&amp;ROW())) &lt;&gt; ""),AND(TRIM(INDIRECT("A"&amp;ROW())) &lt;&gt; "",TRIM(INDIRECT("D"&amp;ROW())) = "nuevo"),"")</f>
        <v/>
      </c>
    </row>
    <row r="525" ht="27.5" customHeight="1" s="62">
      <c r="B525" t="inlineStr">
        <is>
          <t>Moneda Alemania 5 Deutsche Mark 1965</t>
        </is>
      </c>
      <c r="C525" s="0">
        <f>LEN(INDIRECT(ADDRESS(ROW() + (0),COLUMN() + (-1))))</f>
        <v/>
      </c>
      <c r="D525" s="0" t="inlineStr">
        <is>
          <t>Usado</t>
        </is>
      </c>
      <c r="E525" s="38" t="inlineStr">
        <is>
          <t>https://numismaticapopper.com/images/1156A.jpeg,https://numismaticapopper.com/images/1156B.jpeg</t>
        </is>
      </c>
      <c r="F525" t="inlineStr">
        <is>
          <t>1156</t>
        </is>
      </c>
      <c r="G525" s="40" t="n">
        <v>1</v>
      </c>
      <c r="H525" t="n">
        <v>40000</v>
      </c>
      <c r="I525" t="inlineStr">
        <is>
          <t>Estado de conservacion: Excelente
Referencia de catalogo: KM# 112.1
Material: Plata .625
Tirada: 4.050.000</t>
        </is>
      </c>
      <c r="J525" s="31">
        <f>IF(INDIRECT(ADDRESS(ROW() + (0),COLUMN() + (1)))="Agregar cuotas", IF(("16%")="", "-", "16%"), IF(INDIRECT(ADDRESS(ROW() + (0),COLUMN() + (1)))="No agregar cuotas", IF(("16%")="", "-", "16%"), "-"))</f>
        <v/>
      </c>
      <c r="K525" s="0" t="inlineStr">
        <is>
          <t>No agregar cuotas</t>
        </is>
      </c>
      <c r="L525" s="31">
        <f>IF(INDIRECT(ADDRESS(ROW() + (0),COLUMN() + (-1)))="Agregar cuotas", IF(("13.4%")="", "Sin costo", "13.4%"), IF(INDIRECT(ADDRESS(ROW() + (0),COLUMN() + (-1)))="No agregar cuotas", IF(("")="", "Sin costo", ""), "-"))</f>
        <v/>
      </c>
      <c r="M525" s="0" t="inlineStr">
        <is>
          <t>Mercado Envíos</t>
        </is>
      </c>
      <c r="N525" s="0" t="inlineStr">
        <is>
          <t>A cargo del comprador</t>
        </is>
      </c>
      <c r="O525" s="0" t="inlineStr">
        <is>
          <t>Acepto</t>
        </is>
      </c>
      <c r="P525" s="47" t="inlineStr">
        <is>
          <t>Sin garantía</t>
        </is>
      </c>
      <c r="R525" s="0" t="inlineStr">
        <is>
          <t>Seleccionar</t>
        </is>
      </c>
      <c r="S525" s="0" t="inlineStr">
        <is>
          <t>No ofrezco</t>
        </is>
      </c>
      <c r="T525" t="n">
        <v>1965</v>
      </c>
      <c r="U525" s="0" t="inlineStr">
        <is>
          <t>Alemania</t>
        </is>
      </c>
      <c r="X525" s="0" t="inlineStr">
        <is>
          <t>Plata</t>
        </is>
      </c>
      <c r="Z525" t="inlineStr">
        <is>
          <t>5 Deutsche Mark</t>
        </is>
      </c>
      <c r="AA525" s="0" t="inlineStr">
        <is>
          <t>Euro</t>
        </is>
      </c>
      <c r="AB5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5" s="53">
        <f>IF(OR(TRIM(INDIRECT("B"&amp;ROW())) &lt;&gt; "",TRIM(INDIRECT("A"&amp;ROW())) &lt;&gt; ""),AND(TRIM(INDIRECT("A"&amp;ROW())) &lt;&gt; "",TRIM(INDIRECT("D"&amp;ROW())) = "nuevo"),"")</f>
        <v/>
      </c>
    </row>
    <row r="526" ht="27.5" customHeight="1" s="62">
      <c r="B526" t="inlineStr">
        <is>
          <t>Moneda Austria 50 Schilling 1963</t>
        </is>
      </c>
      <c r="C526" s="0">
        <f>LEN(INDIRECT(ADDRESS(ROW() + (0),COLUMN() + (-1))))</f>
        <v/>
      </c>
      <c r="D526" s="0" t="inlineStr">
        <is>
          <t>Usado</t>
        </is>
      </c>
      <c r="E526" s="38" t="inlineStr">
        <is>
          <t>https://numismaticapopper.com/images/1158A.jpeg,https://numismaticapopper.com/images/1158B.jpeg</t>
        </is>
      </c>
      <c r="F526" t="inlineStr">
        <is>
          <t>1158</t>
        </is>
      </c>
      <c r="G526" s="40" t="n">
        <v>1</v>
      </c>
      <c r="H526" t="n">
        <v>77000</v>
      </c>
      <c r="I526" t="inlineStr">
        <is>
          <t>Estado de conservacion: Sin Circular
Referencia de catalogo: KM# 2894
Material: Plata .900
Tirada: 2.989.600
Conmemora: 600 Años de la Unión de Tirol con Austria
600 Años de la Unión de Tirol con Austria (1363-1963).</t>
        </is>
      </c>
      <c r="J526" s="31">
        <f>IF(INDIRECT(ADDRESS(ROW() + (0),COLUMN() + (1)))="Agregar cuotas", IF(("16%")="", "-", "16%"), IF(INDIRECT(ADDRESS(ROW() + (0),COLUMN() + (1)))="No agregar cuotas", IF(("16%")="", "-", "16%"), "-"))</f>
        <v/>
      </c>
      <c r="K526" s="0" t="inlineStr">
        <is>
          <t>No agregar cuotas</t>
        </is>
      </c>
      <c r="L526" s="31">
        <f>IF(INDIRECT(ADDRESS(ROW() + (0),COLUMN() + (-1)))="Agregar cuotas", IF(("13.4%")="", "Sin costo", "13.4%"), IF(INDIRECT(ADDRESS(ROW() + (0),COLUMN() + (-1)))="No agregar cuotas", IF(("")="", "Sin costo", ""), "-"))</f>
        <v/>
      </c>
      <c r="M526" s="0" t="inlineStr">
        <is>
          <t>Mercado Envíos</t>
        </is>
      </c>
      <c r="N526" s="0" t="inlineStr">
        <is>
          <t>A cargo del comprador</t>
        </is>
      </c>
      <c r="O526" s="0" t="inlineStr">
        <is>
          <t>Acepto</t>
        </is>
      </c>
      <c r="P526" s="47" t="inlineStr">
        <is>
          <t>Sin garantía</t>
        </is>
      </c>
      <c r="R526" s="0" t="inlineStr">
        <is>
          <t>Seleccionar</t>
        </is>
      </c>
      <c r="S526" s="0" t="inlineStr">
        <is>
          <t>No ofrezco</t>
        </is>
      </c>
      <c r="T526" t="n">
        <v>1963</v>
      </c>
      <c r="U526" s="0" t="inlineStr">
        <is>
          <t>Austria</t>
        </is>
      </c>
      <c r="X526" s="0" t="inlineStr">
        <is>
          <t>Plata</t>
        </is>
      </c>
      <c r="Y526" t="inlineStr">
        <is>
          <t>600 Años de la Unión de Tirol con Austria</t>
        </is>
      </c>
      <c r="Z526" t="inlineStr">
        <is>
          <t>50 Schilling</t>
        </is>
      </c>
      <c r="AA526" s="0" t="inlineStr">
        <is>
          <t>Euro</t>
        </is>
      </c>
      <c r="AB5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6" s="53">
        <f>IF(OR(TRIM(INDIRECT("B"&amp;ROW())) &lt;&gt; "",TRIM(INDIRECT("A"&amp;ROW())) &lt;&gt; ""),AND(TRIM(INDIRECT("A"&amp;ROW())) &lt;&gt; "",TRIM(INDIRECT("D"&amp;ROW())) = "nuevo"),"")</f>
        <v/>
      </c>
    </row>
    <row r="527" ht="27.5" customHeight="1" s="62">
      <c r="B527" t="inlineStr">
        <is>
          <t>Moneda Estados Unidos 1/2 Dólar Franklin 1958</t>
        </is>
      </c>
      <c r="C527" s="0">
        <f>LEN(INDIRECT(ADDRESS(ROW() + (0),COLUMN() + (-1))))</f>
        <v/>
      </c>
      <c r="D527" s="0" t="inlineStr">
        <is>
          <t>Usado</t>
        </is>
      </c>
      <c r="E527" s="38" t="inlineStr">
        <is>
          <t>https://numismaticapopper.com/images/1159A.jpeg,https://numismaticapopper.com/images/1159B.jpeg</t>
        </is>
      </c>
      <c r="F527" t="inlineStr">
        <is>
          <t>1159</t>
        </is>
      </c>
      <c r="G527" s="40" t="n">
        <v>1</v>
      </c>
      <c r="H527" t="n">
        <v>59000</v>
      </c>
      <c r="I527" t="inlineStr">
        <is>
          <t>Estado de conservacion: Excelente -
Referencia de catalogo: KM# 199
Material: Plata .900</t>
        </is>
      </c>
      <c r="J527" s="31">
        <f>IF(INDIRECT(ADDRESS(ROW() + (0),COLUMN() + (1)))="Agregar cuotas", IF(("16%")="", "-", "16%"), IF(INDIRECT(ADDRESS(ROW() + (0),COLUMN() + (1)))="No agregar cuotas", IF(("16%")="", "-", "16%"), "-"))</f>
        <v/>
      </c>
      <c r="K527" s="0" t="inlineStr">
        <is>
          <t>No agregar cuotas</t>
        </is>
      </c>
      <c r="L527" s="31">
        <f>IF(INDIRECT(ADDRESS(ROW() + (0),COLUMN() + (-1)))="Agregar cuotas", IF(("13.4%")="", "Sin costo", "13.4%"), IF(INDIRECT(ADDRESS(ROW() + (0),COLUMN() + (-1)))="No agregar cuotas", IF(("")="", "Sin costo", ""), "-"))</f>
        <v/>
      </c>
      <c r="M527" s="0" t="inlineStr">
        <is>
          <t>Mercado Envíos</t>
        </is>
      </c>
      <c r="N527" s="0" t="inlineStr">
        <is>
          <t>A cargo del comprador</t>
        </is>
      </c>
      <c r="O527" s="0" t="inlineStr">
        <is>
          <t>Acepto</t>
        </is>
      </c>
      <c r="P527" s="47" t="inlineStr">
        <is>
          <t>Sin garantía</t>
        </is>
      </c>
      <c r="R527" s="0" t="inlineStr">
        <is>
          <t>Seleccionar</t>
        </is>
      </c>
      <c r="S527" s="0" t="inlineStr">
        <is>
          <t>No ofrezco</t>
        </is>
      </c>
      <c r="T527" t="n">
        <v>1958</v>
      </c>
      <c r="U527" s="0" t="inlineStr">
        <is>
          <t>Estados Unidos</t>
        </is>
      </c>
      <c r="X527" s="0" t="inlineStr">
        <is>
          <t>Plata</t>
        </is>
      </c>
      <c r="Z527" t="inlineStr">
        <is>
          <t>1/2 Dólar Franklin</t>
        </is>
      </c>
      <c r="AA527" s="0" t="inlineStr">
        <is>
          <t>Dólar</t>
        </is>
      </c>
      <c r="AB5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7" s="53">
        <f>IF(OR(TRIM(INDIRECT("B"&amp;ROW())) &lt;&gt; "",TRIM(INDIRECT("A"&amp;ROW())) &lt;&gt; ""),AND(TRIM(INDIRECT("A"&amp;ROW())) &lt;&gt; "",TRIM(INDIRECT("D"&amp;ROW())) = "nuevo"),"")</f>
        <v/>
      </c>
    </row>
    <row r="528" ht="27.5" customHeight="1" s="62">
      <c r="B528" t="inlineStr">
        <is>
          <t>Moneda Austria 50 Schilling 1969</t>
        </is>
      </c>
      <c r="C528" s="0">
        <f>LEN(INDIRECT(ADDRESS(ROW() + (0),COLUMN() + (-1))))</f>
        <v/>
      </c>
      <c r="D528" s="0" t="inlineStr">
        <is>
          <t>Usado</t>
        </is>
      </c>
      <c r="E528" s="38" t="inlineStr">
        <is>
          <t>https://numismaticapopper.com/images/1160A.jpeg,https://numismaticapopper.com/images/1160B.jpeg</t>
        </is>
      </c>
      <c r="F528" t="inlineStr">
        <is>
          <t>1160</t>
        </is>
      </c>
      <c r="G528" s="40" t="n">
        <v>1</v>
      </c>
      <c r="H528" t="n">
        <v>77000</v>
      </c>
      <c r="I528" t="inlineStr">
        <is>
          <t>Estado de conservacion: Sin Circular
Referencia de catalogo: KM# 2906
Material: Plata .900
Tirada: 2.045.000
Conmemora: 450 Aniversario de la Muerte de Maximiliano I
450 Aniversario de la Muerte de Maximiliano I de Habsburgo (1493-1519).</t>
        </is>
      </c>
      <c r="J528" s="31">
        <f>IF(INDIRECT(ADDRESS(ROW() + (0),COLUMN() + (1)))="Agregar cuotas", IF(("16%")="", "-", "16%"), IF(INDIRECT(ADDRESS(ROW() + (0),COLUMN() + (1)))="No agregar cuotas", IF(("16%")="", "-", "16%"), "-"))</f>
        <v/>
      </c>
      <c r="K528" s="0" t="inlineStr">
        <is>
          <t>No agregar cuotas</t>
        </is>
      </c>
      <c r="L528" s="31">
        <f>IF(INDIRECT(ADDRESS(ROW() + (0),COLUMN() + (-1)))="Agregar cuotas", IF(("13.4%")="", "Sin costo", "13.4%"), IF(INDIRECT(ADDRESS(ROW() + (0),COLUMN() + (-1)))="No agregar cuotas", IF(("")="", "Sin costo", ""), "-"))</f>
        <v/>
      </c>
      <c r="M528" s="0" t="inlineStr">
        <is>
          <t>Mercado Envíos</t>
        </is>
      </c>
      <c r="N528" s="0" t="inlineStr">
        <is>
          <t>A cargo del comprador</t>
        </is>
      </c>
      <c r="O528" s="0" t="inlineStr">
        <is>
          <t>Acepto</t>
        </is>
      </c>
      <c r="P528" s="47" t="inlineStr">
        <is>
          <t>Sin garantía</t>
        </is>
      </c>
      <c r="R528" s="0" t="inlineStr">
        <is>
          <t>Seleccionar</t>
        </is>
      </c>
      <c r="S528" s="0" t="inlineStr">
        <is>
          <t>No ofrezco</t>
        </is>
      </c>
      <c r="T528" t="n">
        <v>1969</v>
      </c>
      <c r="U528" s="0" t="inlineStr">
        <is>
          <t>Austria</t>
        </is>
      </c>
      <c r="X528" s="0" t="inlineStr">
        <is>
          <t>Plata</t>
        </is>
      </c>
      <c r="Y528" t="inlineStr">
        <is>
          <t>450 Aniversario de la Muerte de Maximiliano I</t>
        </is>
      </c>
      <c r="Z528" t="inlineStr">
        <is>
          <t>50 Schilling</t>
        </is>
      </c>
      <c r="AA528" s="0" t="inlineStr">
        <is>
          <t>Euro</t>
        </is>
      </c>
      <c r="AB5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8" s="53">
        <f>IF(OR(TRIM(INDIRECT("B"&amp;ROW())) &lt;&gt; "",TRIM(INDIRECT("A"&amp;ROW())) &lt;&gt; ""),AND(TRIM(INDIRECT("A"&amp;ROW())) &lt;&gt; "",TRIM(INDIRECT("D"&amp;ROW())) = "nuevo"),"")</f>
        <v/>
      </c>
    </row>
    <row r="529" ht="27.5" customHeight="1" s="62">
      <c r="B529" t="inlineStr">
        <is>
          <t>Moneda Austria 25 Schilling 1957</t>
        </is>
      </c>
      <c r="C529" s="0">
        <f>LEN(INDIRECT(ADDRESS(ROW() + (0),COLUMN() + (-1))))</f>
        <v/>
      </c>
      <c r="D529" s="0" t="inlineStr">
        <is>
          <t>Usado</t>
        </is>
      </c>
      <c r="E529" s="38" t="inlineStr">
        <is>
          <t>https://numismaticapopper.com/images/1161A.jpeg,https://numismaticapopper.com/images/1161B.jpeg</t>
        </is>
      </c>
      <c r="F529" t="inlineStr">
        <is>
          <t>1161</t>
        </is>
      </c>
      <c r="G529" s="40" t="n">
        <v>1</v>
      </c>
      <c r="H529" t="n">
        <v>50000</v>
      </c>
      <c r="I529" t="inlineStr">
        <is>
          <t>Estado de conservacion: Sin Circular
Referencia de catalogo: KM# 2883
Material: Plata .800
Tirada: 4.999.000
Conmemora: 800 Años de la Basílica de Mariazell
800 Años de la Basílica de Mariazell (1157-1957).</t>
        </is>
      </c>
      <c r="J529" s="31">
        <f>IF(INDIRECT(ADDRESS(ROW() + (0),COLUMN() + (1)))="Agregar cuotas", IF(("16%")="", "-", "16%"), IF(INDIRECT(ADDRESS(ROW() + (0),COLUMN() + (1)))="No agregar cuotas", IF(("16%")="", "-", "16%"), "-"))</f>
        <v/>
      </c>
      <c r="K529" s="0" t="inlineStr">
        <is>
          <t>No agregar cuotas</t>
        </is>
      </c>
      <c r="L529" s="31">
        <f>IF(INDIRECT(ADDRESS(ROW() + (0),COLUMN() + (-1)))="Agregar cuotas", IF(("13.4%")="", "Sin costo", "13.4%"), IF(INDIRECT(ADDRESS(ROW() + (0),COLUMN() + (-1)))="No agregar cuotas", IF(("")="", "Sin costo", ""), "-"))</f>
        <v/>
      </c>
      <c r="M529" s="0" t="inlineStr">
        <is>
          <t>Mercado Envíos</t>
        </is>
      </c>
      <c r="N529" s="0" t="inlineStr">
        <is>
          <t>A cargo del comprador</t>
        </is>
      </c>
      <c r="O529" s="0" t="inlineStr">
        <is>
          <t>Acepto</t>
        </is>
      </c>
      <c r="P529" s="47" t="inlineStr">
        <is>
          <t>Sin garantía</t>
        </is>
      </c>
      <c r="R529" s="0" t="inlineStr">
        <is>
          <t>Seleccionar</t>
        </is>
      </c>
      <c r="S529" s="0" t="inlineStr">
        <is>
          <t>No ofrezco</t>
        </is>
      </c>
      <c r="T529" t="n">
        <v>1957</v>
      </c>
      <c r="U529" s="0" t="inlineStr">
        <is>
          <t>Austria</t>
        </is>
      </c>
      <c r="X529" s="0" t="inlineStr">
        <is>
          <t>Plata</t>
        </is>
      </c>
      <c r="Y529" t="inlineStr">
        <is>
          <t>800 Años de la Basílica de Mariazell</t>
        </is>
      </c>
      <c r="Z529" t="inlineStr">
        <is>
          <t>25 Schilling</t>
        </is>
      </c>
      <c r="AA529" s="0" t="inlineStr">
        <is>
          <t>Euro</t>
        </is>
      </c>
      <c r="AB5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29" s="53">
        <f>IF(OR(TRIM(INDIRECT("B"&amp;ROW())) &lt;&gt; "",TRIM(INDIRECT("A"&amp;ROW())) &lt;&gt; ""),AND(TRIM(INDIRECT("A"&amp;ROW())) &lt;&gt; "",TRIM(INDIRECT("D"&amp;ROW())) = "nuevo"),"")</f>
        <v/>
      </c>
    </row>
    <row r="530" ht="27.5" customHeight="1" s="62">
      <c r="B530" t="inlineStr">
        <is>
          <t>Moneda Dinamarca 4 Skilling 1854</t>
        </is>
      </c>
      <c r="C530" s="0">
        <f>LEN(INDIRECT(ADDRESS(ROW() + (0),COLUMN() + (-1))))</f>
        <v/>
      </c>
      <c r="D530" s="0" t="inlineStr">
        <is>
          <t>Usado</t>
        </is>
      </c>
      <c r="E530" s="38" t="inlineStr">
        <is>
          <t>https://numismaticapopper.com/images/1175A.jpeg,https://numismaticapopper.com/images/1175B.jpeg</t>
        </is>
      </c>
      <c r="F530" t="inlineStr">
        <is>
          <t>1175</t>
        </is>
      </c>
      <c r="G530" s="40" t="n">
        <v>1</v>
      </c>
      <c r="H530" t="n">
        <v>50000</v>
      </c>
      <c r="I530" t="inlineStr">
        <is>
          <t>Estado de conservacion: Muy Buena
Referencia de catalogo: KM# 758
Material: Vellón (Plata .250)
Federico VII. 32 USD de catálogo.</t>
        </is>
      </c>
      <c r="J530" s="31">
        <f>IF(INDIRECT(ADDRESS(ROW() + (0),COLUMN() + (1)))="Agregar cuotas", IF(("16%")="", "-", "16%"), IF(INDIRECT(ADDRESS(ROW() + (0),COLUMN() + (1)))="No agregar cuotas", IF(("16%")="", "-", "16%"), "-"))</f>
        <v/>
      </c>
      <c r="K530" s="0" t="inlineStr">
        <is>
          <t>No agregar cuotas</t>
        </is>
      </c>
      <c r="L530" s="31">
        <f>IF(INDIRECT(ADDRESS(ROW() + (0),COLUMN() + (-1)))="Agregar cuotas", IF(("13.4%")="", "Sin costo", "13.4%"), IF(INDIRECT(ADDRESS(ROW() + (0),COLUMN() + (-1)))="No agregar cuotas", IF(("")="", "Sin costo", ""), "-"))</f>
        <v/>
      </c>
      <c r="M530" s="0" t="inlineStr">
        <is>
          <t>Mercado Envíos</t>
        </is>
      </c>
      <c r="N530" s="0" t="inlineStr">
        <is>
          <t>A cargo del comprador</t>
        </is>
      </c>
      <c r="O530" s="0" t="inlineStr">
        <is>
          <t>Acepto</t>
        </is>
      </c>
      <c r="P530" s="47" t="inlineStr">
        <is>
          <t>Sin garantía</t>
        </is>
      </c>
      <c r="R530" s="0" t="inlineStr">
        <is>
          <t>Seleccionar</t>
        </is>
      </c>
      <c r="S530" s="0" t="inlineStr">
        <is>
          <t>No ofrezco</t>
        </is>
      </c>
      <c r="T530" t="n">
        <v>1854</v>
      </c>
      <c r="U530" s="0" t="inlineStr">
        <is>
          <t>Dinamarca</t>
        </is>
      </c>
      <c r="X530" s="0" t="inlineStr">
        <is>
          <t>Plata</t>
        </is>
      </c>
      <c r="Z530" t="inlineStr">
        <is>
          <t>4 Skilling</t>
        </is>
      </c>
      <c r="AA530" s="0" t="inlineStr">
        <is>
          <t>Euro</t>
        </is>
      </c>
      <c r="AB5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0" s="53">
        <f>IF(OR(TRIM(INDIRECT("B"&amp;ROW())) &lt;&gt; "",TRIM(INDIRECT("A"&amp;ROW())) &lt;&gt; ""),AND(TRIM(INDIRECT("A"&amp;ROW())) &lt;&gt; "",TRIM(INDIRECT("D"&amp;ROW())) = "nuevo"),"")</f>
        <v/>
      </c>
    </row>
    <row r="531" ht="27.5" customHeight="1" s="62">
      <c r="B531" t="inlineStr">
        <is>
          <t>Moneda Tristán de Acuña 1 Crown 1978</t>
        </is>
      </c>
      <c r="C531" s="0">
        <f>LEN(INDIRECT(ADDRESS(ROW() + (0),COLUMN() + (-1))))</f>
        <v/>
      </c>
      <c r="D531" s="0" t="inlineStr">
        <is>
          <t>Usado</t>
        </is>
      </c>
      <c r="E531" s="38" t="inlineStr">
        <is>
          <t>https://numismaticapopper.com/images/1178A.jpeg,https://numismaticapopper.com/images/1178B.jpeg</t>
        </is>
      </c>
      <c r="F531" t="inlineStr">
        <is>
          <t>1178</t>
        </is>
      </c>
      <c r="G531" s="40" t="n">
        <v>1</v>
      </c>
      <c r="H531" t="n">
        <v>33000</v>
      </c>
      <c r="I531" t="inlineStr">
        <is>
          <t>Estado de conservacion: Sin Circular
Referencia de catalogo: KM# 2
Material: Cuproníquel
Peso: 28.47 g g
Diametro: 38.61 mm mm
Conmemora: 25° Aniversario de la Coronación de la Reina Isabel II (1953-1978).
Conmemorativa del 25° aniversario de la coronación de la reina Isabel II (1953-1978).</t>
        </is>
      </c>
      <c r="J531" s="31">
        <f>IF(INDIRECT(ADDRESS(ROW() + (0),COLUMN() + (1)))="Agregar cuotas", IF(("16%")="", "-", "16%"), IF(INDIRECT(ADDRESS(ROW() + (0),COLUMN() + (1)))="No agregar cuotas", IF(("16%")="", "-", "16%"), "-"))</f>
        <v/>
      </c>
      <c r="K531" s="0" t="inlineStr">
        <is>
          <t>No agregar cuotas</t>
        </is>
      </c>
      <c r="L531" s="31">
        <f>IF(INDIRECT(ADDRESS(ROW() + (0),COLUMN() + (-1)))="Agregar cuotas", IF(("13.4%")="", "Sin costo", "13.4%"), IF(INDIRECT(ADDRESS(ROW() + (0),COLUMN() + (-1)))="No agregar cuotas", IF(("")="", "Sin costo", ""), "-"))</f>
        <v/>
      </c>
      <c r="M531" s="0" t="inlineStr">
        <is>
          <t>Mercado Envíos</t>
        </is>
      </c>
      <c r="N531" s="0" t="inlineStr">
        <is>
          <t>A cargo del comprador</t>
        </is>
      </c>
      <c r="O531" s="0" t="inlineStr">
        <is>
          <t>Acepto</t>
        </is>
      </c>
      <c r="P531" s="47" t="inlineStr">
        <is>
          <t>Sin garantía</t>
        </is>
      </c>
      <c r="R531" s="0" t="inlineStr">
        <is>
          <t>Seleccionar</t>
        </is>
      </c>
      <c r="S531" s="0" t="inlineStr">
        <is>
          <t>No ofrezco</t>
        </is>
      </c>
      <c r="T531" t="n">
        <v>1978</v>
      </c>
      <c r="U531" s="0" t="inlineStr">
        <is>
          <t>Inglaterra</t>
        </is>
      </c>
      <c r="X531" s="0" t="inlineStr">
        <is>
          <t>Níquel</t>
        </is>
      </c>
      <c r="Y531" t="inlineStr">
        <is>
          <t>25° Aniversario de la Coronación de la Reina Isabel II (1953-1978).</t>
        </is>
      </c>
      <c r="Z531" t="inlineStr">
        <is>
          <t>1 Crown</t>
        </is>
      </c>
      <c r="AA531" s="0" t="inlineStr">
        <is>
          <t>Dólar</t>
        </is>
      </c>
      <c r="AB5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1" s="53">
        <f>IF(OR(TRIM(INDIRECT("B"&amp;ROW())) &lt;&gt; "",TRIM(INDIRECT("A"&amp;ROW())) &lt;&gt; ""),AND(TRIM(INDIRECT("A"&amp;ROW())) &lt;&gt; "",TRIM(INDIRECT("D"&amp;ROW())) = "nuevo"),"")</f>
        <v/>
      </c>
    </row>
    <row r="532" ht="27.5" customHeight="1" s="62">
      <c r="B532" t="inlineStr">
        <is>
          <t>Moneda Tristán de Acuña 25 Pence 1980</t>
        </is>
      </c>
      <c r="C532" s="0">
        <f>LEN(INDIRECT(ADDRESS(ROW() + (0),COLUMN() + (-1))))</f>
        <v/>
      </c>
      <c r="D532" s="0" t="inlineStr">
        <is>
          <t>Usado</t>
        </is>
      </c>
      <c r="E532" s="38" t="inlineStr">
        <is>
          <t>https://numismaticapopper.com/images/1179A.jpeg,https://numismaticapopper.com/images/1179B.jpeg</t>
        </is>
      </c>
      <c r="F532" t="inlineStr">
        <is>
          <t>1179</t>
        </is>
      </c>
      <c r="G532" s="40" t="n">
        <v>1</v>
      </c>
      <c r="H532" t="n">
        <v>37000</v>
      </c>
      <c r="I532" t="inlineStr">
        <is>
          <t>Estado de conservacion: Sin Circular
Referencia de catalogo: KM# 3
Material: Cuproníquel
Peso: 28.47 g g
Diametro: 38.61 mm mm
Conmemora: 80° Cumpleaños de la Reina Madre (1900-1980).
Conmemorativa del 80° cumpleaños de la Reina Madre (4 de agosto de 1980).</t>
        </is>
      </c>
      <c r="J532" s="31">
        <f>IF(INDIRECT(ADDRESS(ROW() + (0),COLUMN() + (1)))="Agregar cuotas", IF(("16%")="", "-", "16%"), IF(INDIRECT(ADDRESS(ROW() + (0),COLUMN() + (1)))="No agregar cuotas", IF(("16%")="", "-", "16%"), "-"))</f>
        <v/>
      </c>
      <c r="K532" s="0" t="inlineStr">
        <is>
          <t>No agregar cuotas</t>
        </is>
      </c>
      <c r="L532" s="31">
        <f>IF(INDIRECT(ADDRESS(ROW() + (0),COLUMN() + (-1)))="Agregar cuotas", IF(("13.4%")="", "Sin costo", "13.4%"), IF(INDIRECT(ADDRESS(ROW() + (0),COLUMN() + (-1)))="No agregar cuotas", IF(("")="", "Sin costo", ""), "-"))</f>
        <v/>
      </c>
      <c r="M532" s="0" t="inlineStr">
        <is>
          <t>Mercado Envíos</t>
        </is>
      </c>
      <c r="N532" s="0" t="inlineStr">
        <is>
          <t>A cargo del comprador</t>
        </is>
      </c>
      <c r="O532" s="0" t="inlineStr">
        <is>
          <t>Acepto</t>
        </is>
      </c>
      <c r="P532" s="47" t="inlineStr">
        <is>
          <t>Sin garantía</t>
        </is>
      </c>
      <c r="R532" s="0" t="inlineStr">
        <is>
          <t>Seleccionar</t>
        </is>
      </c>
      <c r="S532" s="0" t="inlineStr">
        <is>
          <t>No ofrezco</t>
        </is>
      </c>
      <c r="T532" t="n">
        <v>1980</v>
      </c>
      <c r="U532" s="0" t="inlineStr">
        <is>
          <t>Inglaterra</t>
        </is>
      </c>
      <c r="X532" s="0" t="inlineStr">
        <is>
          <t>Níquel</t>
        </is>
      </c>
      <c r="Y532" t="inlineStr">
        <is>
          <t>80° Cumpleaños de la Reina Madre (1900-1980).</t>
        </is>
      </c>
      <c r="Z532" t="inlineStr">
        <is>
          <t>25 Pence</t>
        </is>
      </c>
      <c r="AA532" s="0" t="inlineStr">
        <is>
          <t>Dólar</t>
        </is>
      </c>
      <c r="AB5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2" s="53">
        <f>IF(OR(TRIM(INDIRECT("B"&amp;ROW())) &lt;&gt; "",TRIM(INDIRECT("A"&amp;ROW())) &lt;&gt; ""),AND(TRIM(INDIRECT("A"&amp;ROW())) &lt;&gt; "",TRIM(INDIRECT("D"&amp;ROW())) = "nuevo"),"")</f>
        <v/>
      </c>
    </row>
    <row r="533" ht="27.5" customHeight="1" s="62">
      <c r="B533" t="inlineStr">
        <is>
          <t>Moneda Santa Elena 25 Pence 1980</t>
        </is>
      </c>
      <c r="C533" s="0">
        <f>LEN(INDIRECT(ADDRESS(ROW() + (0),COLUMN() + (-1))))</f>
        <v/>
      </c>
      <c r="D533" s="0" t="inlineStr">
        <is>
          <t>Usado</t>
        </is>
      </c>
      <c r="E533" s="38" t="inlineStr">
        <is>
          <t>https://numismaticapopper.com/images/1180A.jpeg,https://numismaticapopper.com/images/1180B.jpeg</t>
        </is>
      </c>
      <c r="F533" t="inlineStr">
        <is>
          <t>1180</t>
        </is>
      </c>
      <c r="G533" s="40" t="n">
        <v>1</v>
      </c>
      <c r="H533" t="n">
        <v>33000</v>
      </c>
      <c r="I533" t="inlineStr">
        <is>
          <t>Estado de conservacion: Sin Circular
Referencia de catalogo: KM# 8
Material: Cuproníquel
Peso: 28.74 g g
Diametro: 38.61 mm mm
Conmemora: 80° Aniversario del nacimiento de la Reina Madre (1900-1980).
Conmemorativa del 80° aniversario del nacimiento de la Reina Madre.</t>
        </is>
      </c>
      <c r="J533" s="31">
        <f>IF(INDIRECT(ADDRESS(ROW() + (0),COLUMN() + (1)))="Agregar cuotas", IF(("16%")="", "-", "16%"), IF(INDIRECT(ADDRESS(ROW() + (0),COLUMN() + (1)))="No agregar cuotas", IF(("16%")="", "-", "16%"), "-"))</f>
        <v/>
      </c>
      <c r="K533" s="0" t="inlineStr">
        <is>
          <t>No agregar cuotas</t>
        </is>
      </c>
      <c r="L533" s="31">
        <f>IF(INDIRECT(ADDRESS(ROW() + (0),COLUMN() + (-1)))="Agregar cuotas", IF(("13.4%")="", "Sin costo", "13.4%"), IF(INDIRECT(ADDRESS(ROW() + (0),COLUMN() + (-1)))="No agregar cuotas", IF(("")="", "Sin costo", ""), "-"))</f>
        <v/>
      </c>
      <c r="M533" s="0" t="inlineStr">
        <is>
          <t>Mercado Envíos</t>
        </is>
      </c>
      <c r="N533" s="0" t="inlineStr">
        <is>
          <t>A cargo del comprador</t>
        </is>
      </c>
      <c r="O533" s="0" t="inlineStr">
        <is>
          <t>Acepto</t>
        </is>
      </c>
      <c r="P533" s="47" t="inlineStr">
        <is>
          <t>Sin garantía</t>
        </is>
      </c>
      <c r="R533" s="0" t="inlineStr">
        <is>
          <t>Seleccionar</t>
        </is>
      </c>
      <c r="S533" s="0" t="inlineStr">
        <is>
          <t>No ofrezco</t>
        </is>
      </c>
      <c r="T533" t="n">
        <v>1980</v>
      </c>
      <c r="U533" s="0" t="inlineStr">
        <is>
          <t>Inglaterra</t>
        </is>
      </c>
      <c r="X533" s="0" t="inlineStr">
        <is>
          <t>Níquel</t>
        </is>
      </c>
      <c r="Y533" t="inlineStr">
        <is>
          <t>80° Aniversario del nacimiento de la Reina Madre (1900-1980).</t>
        </is>
      </c>
      <c r="Z533" t="inlineStr">
        <is>
          <t>25 Pence</t>
        </is>
      </c>
      <c r="AA533" s="0" t="inlineStr">
        <is>
          <t>Dólar</t>
        </is>
      </c>
      <c r="AB5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3" s="53">
        <f>IF(OR(TRIM(INDIRECT("B"&amp;ROW())) &lt;&gt; "",TRIM(INDIRECT("A"&amp;ROW())) &lt;&gt; ""),AND(TRIM(INDIRECT("A"&amp;ROW())) &lt;&gt; "",TRIM(INDIRECT("D"&amp;ROW())) = "nuevo"),"")</f>
        <v/>
      </c>
    </row>
    <row r="534" ht="27.5" customHeight="1" s="62">
      <c r="B534" t="inlineStr">
        <is>
          <t>Moneda Islas Malvinas 50 Pence 1980</t>
        </is>
      </c>
      <c r="C534" s="0">
        <f>LEN(INDIRECT(ADDRESS(ROW() + (0),COLUMN() + (-1))))</f>
        <v/>
      </c>
      <c r="D534" s="0" t="inlineStr">
        <is>
          <t>Usado</t>
        </is>
      </c>
      <c r="E534" s="38" t="inlineStr">
        <is>
          <t>https://numismaticapopper.com/images/1182A.jpeg,https://numismaticapopper.com/images/1182B.jpeg</t>
        </is>
      </c>
      <c r="F534" t="inlineStr">
        <is>
          <t>1182</t>
        </is>
      </c>
      <c r="G534" s="40" t="n">
        <v>1</v>
      </c>
      <c r="H534" t="n">
        <v>40000</v>
      </c>
      <c r="I534" t="inlineStr">
        <is>
          <t>Estado de conservacion: Sin Circular
Referencia de catalogo: KM# 15
Material: Cuproníquel
Peso: 28.28 g g
Diametro: 38.61 mm mm
Conmemora: 80° Aniversario de la Reina Madre (1900-1980).
Conmemorativa del 80° aniversario de la Reina Madre (1900-1980).</t>
        </is>
      </c>
      <c r="J534" s="31">
        <f>IF(INDIRECT(ADDRESS(ROW() + (0),COLUMN() + (1)))="Agregar cuotas", IF(("16%")="", "-", "16%"), IF(INDIRECT(ADDRESS(ROW() + (0),COLUMN() + (1)))="No agregar cuotas", IF(("16%")="", "-", "16%"), "-"))</f>
        <v/>
      </c>
      <c r="K534" s="0" t="inlineStr">
        <is>
          <t>No agregar cuotas</t>
        </is>
      </c>
      <c r="L534" s="31">
        <f>IF(INDIRECT(ADDRESS(ROW() + (0),COLUMN() + (-1)))="Agregar cuotas", IF(("13.4%")="", "Sin costo", "13.4%"), IF(INDIRECT(ADDRESS(ROW() + (0),COLUMN() + (-1)))="No agregar cuotas", IF(("")="", "Sin costo", ""), "-"))</f>
        <v/>
      </c>
      <c r="M534" s="0" t="inlineStr">
        <is>
          <t>Mercado Envíos</t>
        </is>
      </c>
      <c r="N534" s="0" t="inlineStr">
        <is>
          <t>A cargo del comprador</t>
        </is>
      </c>
      <c r="O534" s="0" t="inlineStr">
        <is>
          <t>Acepto</t>
        </is>
      </c>
      <c r="P534" s="47" t="inlineStr">
        <is>
          <t>Sin garantía</t>
        </is>
      </c>
      <c r="R534" s="0" t="inlineStr">
        <is>
          <t>Seleccionar</t>
        </is>
      </c>
      <c r="S534" s="0" t="inlineStr">
        <is>
          <t>No ofrezco</t>
        </is>
      </c>
      <c r="T534" t="n">
        <v>1980</v>
      </c>
      <c r="U534" s="0" t="inlineStr">
        <is>
          <t>Inglaterra</t>
        </is>
      </c>
      <c r="X534" s="0" t="inlineStr">
        <is>
          <t>Níquel</t>
        </is>
      </c>
      <c r="Y534" t="inlineStr">
        <is>
          <t>80° Aniversario de la Reina Madre (1900-1980).</t>
        </is>
      </c>
      <c r="Z534" t="inlineStr">
        <is>
          <t>50 Pence</t>
        </is>
      </c>
      <c r="AA534" s="0" t="inlineStr">
        <is>
          <t>Dólar</t>
        </is>
      </c>
      <c r="AB5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4" s="53">
        <f>IF(OR(TRIM(INDIRECT("B"&amp;ROW())) &lt;&gt; "",TRIM(INDIRECT("A"&amp;ROW())) &lt;&gt; ""),AND(TRIM(INDIRECT("A"&amp;ROW())) &lt;&gt; "",TRIM(INDIRECT("D"&amp;ROW())) = "nuevo"),"")</f>
        <v/>
      </c>
    </row>
    <row r="535" ht="27.5" customHeight="1" s="62">
      <c r="B535" t="inlineStr">
        <is>
          <t>Moneda Gibraltar 25 New Pence 1972</t>
        </is>
      </c>
      <c r="C535" s="0">
        <f>LEN(INDIRECT(ADDRESS(ROW() + (0),COLUMN() + (-1))))</f>
        <v/>
      </c>
      <c r="D535" s="0" t="inlineStr">
        <is>
          <t>Usado</t>
        </is>
      </c>
      <c r="E535" s="38" t="inlineStr">
        <is>
          <t>https://numismaticapopper.com/images/1183A.jpeg,https://numismaticapopper.com/images/1183B.jpeg</t>
        </is>
      </c>
      <c r="F535" t="inlineStr">
        <is>
          <t>1183</t>
        </is>
      </c>
      <c r="G535" s="40" t="n">
        <v>1</v>
      </c>
      <c r="H535" t="n">
        <v>29000</v>
      </c>
      <c r="I535" t="inlineStr">
        <is>
          <t>Estado de conservacion: Sin Circular
Referencia de catalogo: KM# 6
Material: Cuproníquel
Conmemora: Bodas de Plata de la Reina Isabel II y el Príncipe Felipe</t>
        </is>
      </c>
      <c r="J535" s="31">
        <f>IF(INDIRECT(ADDRESS(ROW() + (0),COLUMN() + (1)))="Agregar cuotas", IF(("16%")="", "-", "16%"), IF(INDIRECT(ADDRESS(ROW() + (0),COLUMN() + (1)))="No agregar cuotas", IF(("16%")="", "-", "16%"), "-"))</f>
        <v/>
      </c>
      <c r="K535" s="0" t="inlineStr">
        <is>
          <t>No agregar cuotas</t>
        </is>
      </c>
      <c r="L535" s="31">
        <f>IF(INDIRECT(ADDRESS(ROW() + (0),COLUMN() + (-1)))="Agregar cuotas", IF(("13.4%")="", "Sin costo", "13.4%"), IF(INDIRECT(ADDRESS(ROW() + (0),COLUMN() + (-1)))="No agregar cuotas", IF(("")="", "Sin costo", ""), "-"))</f>
        <v/>
      </c>
      <c r="M535" s="0" t="inlineStr">
        <is>
          <t>Mercado Envíos</t>
        </is>
      </c>
      <c r="N535" s="0" t="inlineStr">
        <is>
          <t>A cargo del comprador</t>
        </is>
      </c>
      <c r="O535" s="0" t="inlineStr">
        <is>
          <t>Acepto</t>
        </is>
      </c>
      <c r="P535" s="47" t="inlineStr">
        <is>
          <t>Sin garantía</t>
        </is>
      </c>
      <c r="R535" s="0" t="inlineStr">
        <is>
          <t>Seleccionar</t>
        </is>
      </c>
      <c r="S535" s="0" t="inlineStr">
        <is>
          <t>No ofrezco</t>
        </is>
      </c>
      <c r="T535" t="n">
        <v>1972</v>
      </c>
      <c r="U535" s="0" t="inlineStr">
        <is>
          <t>Inglaterra</t>
        </is>
      </c>
      <c r="X535" s="0" t="inlineStr">
        <is>
          <t>Níquel</t>
        </is>
      </c>
      <c r="Y535" t="inlineStr">
        <is>
          <t>Bodas de Plata de la Reina Isabel II y el Príncipe Felipe</t>
        </is>
      </c>
      <c r="Z535" t="inlineStr">
        <is>
          <t>25 New Pence</t>
        </is>
      </c>
      <c r="AA535" s="0" t="inlineStr">
        <is>
          <t>Dólar</t>
        </is>
      </c>
      <c r="AB5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5" s="53">
        <f>IF(OR(TRIM(INDIRECT("B"&amp;ROW())) &lt;&gt; "",TRIM(INDIRECT("A"&amp;ROW())) &lt;&gt; ""),AND(TRIM(INDIRECT("A"&amp;ROW())) &lt;&gt; "",TRIM(INDIRECT("D"&amp;ROW())) = "nuevo"),"")</f>
        <v/>
      </c>
    </row>
    <row r="536" ht="27.5" customHeight="1" s="62">
      <c r="B536" t="inlineStr">
        <is>
          <t>Moneda Gibraltar 1 Crown 1977</t>
        </is>
      </c>
      <c r="C536" s="0">
        <f>LEN(INDIRECT(ADDRESS(ROW() + (0),COLUMN() + (-1))))</f>
        <v/>
      </c>
      <c r="D536" s="0" t="inlineStr">
        <is>
          <t>Usado</t>
        </is>
      </c>
      <c r="E536" s="38" t="inlineStr">
        <is>
          <t>https://numismaticapopper.com/images/1184A.jpeg,https://numismaticapopper.com/images/1184B.jpeg</t>
        </is>
      </c>
      <c r="F536" t="inlineStr">
        <is>
          <t>1184</t>
        </is>
      </c>
      <c r="G536" s="40" t="n">
        <v>1</v>
      </c>
      <c r="H536" t="n">
        <v>29000</v>
      </c>
      <c r="I536" t="inlineStr">
        <is>
          <t>Estado de conservacion: Sin Circular
Referencia de catalogo: KM# 12
Material: Cuproníquel
Conmemora: Almirante Lord Nelson</t>
        </is>
      </c>
      <c r="J536" s="31">
        <f>IF(INDIRECT(ADDRESS(ROW() + (0),COLUMN() + (1)))="Agregar cuotas", IF(("16%")="", "-", "16%"), IF(INDIRECT(ADDRESS(ROW() + (0),COLUMN() + (1)))="No agregar cuotas", IF(("16%")="", "-", "16%"), "-"))</f>
        <v/>
      </c>
      <c r="K536" s="0" t="inlineStr">
        <is>
          <t>No agregar cuotas</t>
        </is>
      </c>
      <c r="L536" s="31">
        <f>IF(INDIRECT(ADDRESS(ROW() + (0),COLUMN() + (-1)))="Agregar cuotas", IF(("13.4%")="", "Sin costo", "13.4%"), IF(INDIRECT(ADDRESS(ROW() + (0),COLUMN() + (-1)))="No agregar cuotas", IF(("")="", "Sin costo", ""), "-"))</f>
        <v/>
      </c>
      <c r="M536" s="0" t="inlineStr">
        <is>
          <t>Mercado Envíos</t>
        </is>
      </c>
      <c r="N536" s="0" t="inlineStr">
        <is>
          <t>A cargo del comprador</t>
        </is>
      </c>
      <c r="O536" s="0" t="inlineStr">
        <is>
          <t>Acepto</t>
        </is>
      </c>
      <c r="P536" s="47" t="inlineStr">
        <is>
          <t>Sin garantía</t>
        </is>
      </c>
      <c r="R536" s="0" t="inlineStr">
        <is>
          <t>Seleccionar</t>
        </is>
      </c>
      <c r="S536" s="0" t="inlineStr">
        <is>
          <t>No ofrezco</t>
        </is>
      </c>
      <c r="T536" t="n">
        <v>1977</v>
      </c>
      <c r="U536" s="0" t="inlineStr">
        <is>
          <t>Inglaterra</t>
        </is>
      </c>
      <c r="X536" s="0" t="inlineStr">
        <is>
          <t>Níquel</t>
        </is>
      </c>
      <c r="Y536" t="inlineStr">
        <is>
          <t>Almirante Lord Nelson</t>
        </is>
      </c>
      <c r="Z536" t="inlineStr">
        <is>
          <t>1 Crown</t>
        </is>
      </c>
      <c r="AA536" s="0" t="inlineStr">
        <is>
          <t>Dólar</t>
        </is>
      </c>
      <c r="AB5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6" s="53">
        <f>IF(OR(TRIM(INDIRECT("B"&amp;ROW())) &lt;&gt; "",TRIM(INDIRECT("A"&amp;ROW())) &lt;&gt; ""),AND(TRIM(INDIRECT("A"&amp;ROW())) &lt;&gt; "",TRIM(INDIRECT("D"&amp;ROW())) = "nuevo"),"")</f>
        <v/>
      </c>
    </row>
    <row r="537" ht="27.5" customHeight="1" s="62">
      <c r="B537" t="inlineStr">
        <is>
          <t>Moneda Gibraltar 1 Crown 1980</t>
        </is>
      </c>
      <c r="C537" s="0">
        <f>LEN(INDIRECT(ADDRESS(ROW() + (0),COLUMN() + (-1))))</f>
        <v/>
      </c>
      <c r="D537" s="0" t="inlineStr">
        <is>
          <t>Usado</t>
        </is>
      </c>
      <c r="E537" s="38" t="inlineStr">
        <is>
          <t>https://numismaticapopper.com/images/1185A.jpeg,https://numismaticapopper.com/images/1185B.jpeg</t>
        </is>
      </c>
      <c r="F537" t="inlineStr">
        <is>
          <t>1185</t>
        </is>
      </c>
      <c r="G537" s="40" t="n">
        <v>1</v>
      </c>
      <c r="H537" t="n">
        <v>29000</v>
      </c>
      <c r="I537" t="inlineStr">
        <is>
          <t>Estado de conservacion: Sin Circular
Referencia de catalogo: KM# 11
Material: Cuproníquel
Conmemora: 80° Cumpleaños de la Reina Madre</t>
        </is>
      </c>
      <c r="J537" s="31">
        <f>IF(INDIRECT(ADDRESS(ROW() + (0),COLUMN() + (1)))="Agregar cuotas", IF(("16%")="", "-", "16%"), IF(INDIRECT(ADDRESS(ROW() + (0),COLUMN() + (1)))="No agregar cuotas", IF(("16%")="", "-", "16%"), "-"))</f>
        <v/>
      </c>
      <c r="K537" s="0" t="inlineStr">
        <is>
          <t>No agregar cuotas</t>
        </is>
      </c>
      <c r="L537" s="31">
        <f>IF(INDIRECT(ADDRESS(ROW() + (0),COLUMN() + (-1)))="Agregar cuotas", IF(("13.4%")="", "Sin costo", "13.4%"), IF(INDIRECT(ADDRESS(ROW() + (0),COLUMN() + (-1)))="No agregar cuotas", IF(("")="", "Sin costo", ""), "-"))</f>
        <v/>
      </c>
      <c r="M537" s="0" t="inlineStr">
        <is>
          <t>Mercado Envíos</t>
        </is>
      </c>
      <c r="N537" s="0" t="inlineStr">
        <is>
          <t>A cargo del comprador</t>
        </is>
      </c>
      <c r="O537" s="0" t="inlineStr">
        <is>
          <t>Acepto</t>
        </is>
      </c>
      <c r="P537" s="47" t="inlineStr">
        <is>
          <t>Sin garantía</t>
        </is>
      </c>
      <c r="R537" s="0" t="inlineStr">
        <is>
          <t>Seleccionar</t>
        </is>
      </c>
      <c r="S537" s="0" t="inlineStr">
        <is>
          <t>No ofrezco</t>
        </is>
      </c>
      <c r="T537" t="n">
        <v>1980</v>
      </c>
      <c r="U537" s="0" t="inlineStr">
        <is>
          <t>Inglaterra</t>
        </is>
      </c>
      <c r="X537" s="0" t="inlineStr">
        <is>
          <t>Níquel</t>
        </is>
      </c>
      <c r="Y537" t="inlineStr">
        <is>
          <t>80° Cumpleaños de la Reina Madre</t>
        </is>
      </c>
      <c r="Z537" t="inlineStr">
        <is>
          <t>1 Crown</t>
        </is>
      </c>
      <c r="AA537" s="0" t="inlineStr">
        <is>
          <t>Dólar</t>
        </is>
      </c>
      <c r="AB5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7" s="53">
        <f>IF(OR(TRIM(INDIRECT("B"&amp;ROW())) &lt;&gt; "",TRIM(INDIRECT("A"&amp;ROW())) &lt;&gt; ""),AND(TRIM(INDIRECT("A"&amp;ROW())) &lt;&gt; "",TRIM(INDIRECT("D"&amp;ROW())) = "nuevo"),"")</f>
        <v/>
      </c>
    </row>
    <row r="538" ht="27.5" customHeight="1" s="62">
      <c r="B538" t="inlineStr">
        <is>
          <t>Moneda Gibraltar 25 New Pence 1971</t>
        </is>
      </c>
      <c r="C538" s="0">
        <f>LEN(INDIRECT(ADDRESS(ROW() + (0),COLUMN() + (-1))))</f>
        <v/>
      </c>
      <c r="D538" s="0" t="inlineStr">
        <is>
          <t>Usado</t>
        </is>
      </c>
      <c r="E538" s="38" t="inlineStr">
        <is>
          <t>https://numismaticapopper.com/images/1186A.jpeg,https://numismaticapopper.com/images/1186B.jpeg</t>
        </is>
      </c>
      <c r="F538" t="inlineStr">
        <is>
          <t>1186</t>
        </is>
      </c>
      <c r="G538" s="40" t="n">
        <v>1</v>
      </c>
      <c r="H538" t="n">
        <v>29000</v>
      </c>
      <c r="I538" t="inlineStr">
        <is>
          <t>Estado de conservacion: Sin Circular
Referencia de catalogo: KM# 5
Material: Cuproníquel</t>
        </is>
      </c>
      <c r="J538" s="31">
        <f>IF(INDIRECT(ADDRESS(ROW() + (0),COLUMN() + (1)))="Agregar cuotas", IF(("16%")="", "-", "16%"), IF(INDIRECT(ADDRESS(ROW() + (0),COLUMN() + (1)))="No agregar cuotas", IF(("16%")="", "-", "16%"), "-"))</f>
        <v/>
      </c>
      <c r="K538" s="0" t="inlineStr">
        <is>
          <t>No agregar cuotas</t>
        </is>
      </c>
      <c r="L538" s="31">
        <f>IF(INDIRECT(ADDRESS(ROW() + (0),COLUMN() + (-1)))="Agregar cuotas", IF(("13.4%")="", "Sin costo", "13.4%"), IF(INDIRECT(ADDRESS(ROW() + (0),COLUMN() + (-1)))="No agregar cuotas", IF(("")="", "Sin costo", ""), "-"))</f>
        <v/>
      </c>
      <c r="M538" s="0" t="inlineStr">
        <is>
          <t>Mercado Envíos</t>
        </is>
      </c>
      <c r="N538" s="0" t="inlineStr">
        <is>
          <t>A cargo del comprador</t>
        </is>
      </c>
      <c r="O538" s="0" t="inlineStr">
        <is>
          <t>Acepto</t>
        </is>
      </c>
      <c r="P538" s="47" t="inlineStr">
        <is>
          <t>Sin garantía</t>
        </is>
      </c>
      <c r="R538" s="0" t="inlineStr">
        <is>
          <t>Seleccionar</t>
        </is>
      </c>
      <c r="S538" s="0" t="inlineStr">
        <is>
          <t>No ofrezco</t>
        </is>
      </c>
      <c r="T538" t="n">
        <v>1971</v>
      </c>
      <c r="U538" s="0" t="inlineStr">
        <is>
          <t>Inglaterra</t>
        </is>
      </c>
      <c r="X538" s="0" t="inlineStr">
        <is>
          <t>Níquel</t>
        </is>
      </c>
      <c r="Z538" t="inlineStr">
        <is>
          <t>25 New Pence</t>
        </is>
      </c>
      <c r="AA538" s="0" t="inlineStr">
        <is>
          <t>Dólar</t>
        </is>
      </c>
      <c r="AB5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8" s="53">
        <f>IF(OR(TRIM(INDIRECT("B"&amp;ROW())) &lt;&gt; "",TRIM(INDIRECT("A"&amp;ROW())) &lt;&gt; ""),AND(TRIM(INDIRECT("A"&amp;ROW())) &lt;&gt; "",TRIM(INDIRECT("D"&amp;ROW())) = "nuevo"),"")</f>
        <v/>
      </c>
    </row>
    <row r="539" ht="27.5" customHeight="1" s="62">
      <c r="B539" t="inlineStr">
        <is>
          <t>Moneda Gibraltar 1 Crown 1967</t>
        </is>
      </c>
      <c r="C539" s="0">
        <f>LEN(INDIRECT(ADDRESS(ROW() + (0),COLUMN() + (-1))))</f>
        <v/>
      </c>
      <c r="D539" s="0" t="inlineStr">
        <is>
          <t>Usado</t>
        </is>
      </c>
      <c r="E539" s="38" t="inlineStr">
        <is>
          <t>https://numismaticapopper.com/images/1187A.jpeg,https://numismaticapopper.com/images/1187B.jpeg</t>
        </is>
      </c>
      <c r="F539" t="inlineStr">
        <is>
          <t>1187</t>
        </is>
      </c>
      <c r="G539" s="40" t="n">
        <v>1</v>
      </c>
      <c r="H539" t="n">
        <v>29000</v>
      </c>
      <c r="I539" t="inlineStr">
        <is>
          <t>Estado de conservacion: Sin Circular
Referencia de catalogo: KM# 4
Material: Cuproníquel</t>
        </is>
      </c>
      <c r="J539" s="31">
        <f>IF(INDIRECT(ADDRESS(ROW() + (0),COLUMN() + (1)))="Agregar cuotas", IF(("16%")="", "-", "16%"), IF(INDIRECT(ADDRESS(ROW() + (0),COLUMN() + (1)))="No agregar cuotas", IF(("16%")="", "-", "16%"), "-"))</f>
        <v/>
      </c>
      <c r="K539" s="0" t="inlineStr">
        <is>
          <t>No agregar cuotas</t>
        </is>
      </c>
      <c r="L539" s="31">
        <f>IF(INDIRECT(ADDRESS(ROW() + (0),COLUMN() + (-1)))="Agregar cuotas", IF(("13.4%")="", "Sin costo", "13.4%"), IF(INDIRECT(ADDRESS(ROW() + (0),COLUMN() + (-1)))="No agregar cuotas", IF(("")="", "Sin costo", ""), "-"))</f>
        <v/>
      </c>
      <c r="M539" s="0" t="inlineStr">
        <is>
          <t>Mercado Envíos</t>
        </is>
      </c>
      <c r="N539" s="0" t="inlineStr">
        <is>
          <t>A cargo del comprador</t>
        </is>
      </c>
      <c r="O539" s="0" t="inlineStr">
        <is>
          <t>Acepto</t>
        </is>
      </c>
      <c r="P539" s="47" t="inlineStr">
        <is>
          <t>Sin garantía</t>
        </is>
      </c>
      <c r="R539" s="0" t="inlineStr">
        <is>
          <t>Seleccionar</t>
        </is>
      </c>
      <c r="S539" s="0" t="inlineStr">
        <is>
          <t>No ofrezco</t>
        </is>
      </c>
      <c r="T539" t="n">
        <v>1967</v>
      </c>
      <c r="U539" s="0" t="inlineStr">
        <is>
          <t>Inglaterra</t>
        </is>
      </c>
      <c r="X539" s="0" t="inlineStr">
        <is>
          <t>Níquel</t>
        </is>
      </c>
      <c r="Z539" t="inlineStr">
        <is>
          <t>1 Crown</t>
        </is>
      </c>
      <c r="AA539" s="0" t="inlineStr">
        <is>
          <t>Dólar</t>
        </is>
      </c>
      <c r="AB5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39" s="53">
        <f>IF(OR(TRIM(INDIRECT("B"&amp;ROW())) &lt;&gt; "",TRIM(INDIRECT("A"&amp;ROW())) &lt;&gt; ""),AND(TRIM(INDIRECT("A"&amp;ROW())) &lt;&gt; "",TRIM(INDIRECT("D"&amp;ROW())) = "nuevo"),"")</f>
        <v/>
      </c>
    </row>
    <row r="540" ht="27.5" customHeight="1" s="62">
      <c r="B540" t="inlineStr">
        <is>
          <t>Moneda Gibraltar 1 Crown 1970</t>
        </is>
      </c>
      <c r="C540" s="0">
        <f>LEN(INDIRECT(ADDRESS(ROW() + (0),COLUMN() + (-1))))</f>
        <v/>
      </c>
      <c r="D540" s="0" t="inlineStr">
        <is>
          <t>Usado</t>
        </is>
      </c>
      <c r="E540" s="38" t="inlineStr">
        <is>
          <t>https://numismaticapopper.com/images/1188A.jpeg,https://numismaticapopper.com/images/1188B.jpeg</t>
        </is>
      </c>
      <c r="F540" t="inlineStr">
        <is>
          <t>1188</t>
        </is>
      </c>
      <c r="G540" s="40" t="n">
        <v>1</v>
      </c>
      <c r="H540" t="n">
        <v>37000</v>
      </c>
      <c r="I540" t="inlineStr">
        <is>
          <t>Estado de conservacion: Sin Circular
Referencia de catalogo: KM# 4
Material: Cuproníquel</t>
        </is>
      </c>
      <c r="J540" s="31">
        <f>IF(INDIRECT(ADDRESS(ROW() + (0),COLUMN() + (1)))="Agregar cuotas", IF(("16%")="", "-", "16%"), IF(INDIRECT(ADDRESS(ROW() + (0),COLUMN() + (1)))="No agregar cuotas", IF(("16%")="", "-", "16%"), "-"))</f>
        <v/>
      </c>
      <c r="K540" s="0" t="inlineStr">
        <is>
          <t>No agregar cuotas</t>
        </is>
      </c>
      <c r="L540" s="31">
        <f>IF(INDIRECT(ADDRESS(ROW() + (0),COLUMN() + (-1)))="Agregar cuotas", IF(("13.4%")="", "Sin costo", "13.4%"), IF(INDIRECT(ADDRESS(ROW() + (0),COLUMN() + (-1)))="No agregar cuotas", IF(("")="", "Sin costo", ""), "-"))</f>
        <v/>
      </c>
      <c r="M540" s="0" t="inlineStr">
        <is>
          <t>Mercado Envíos</t>
        </is>
      </c>
      <c r="N540" s="0" t="inlineStr">
        <is>
          <t>A cargo del comprador</t>
        </is>
      </c>
      <c r="O540" s="0" t="inlineStr">
        <is>
          <t>Acepto</t>
        </is>
      </c>
      <c r="P540" s="47" t="inlineStr">
        <is>
          <t>Sin garantía</t>
        </is>
      </c>
      <c r="R540" s="0" t="inlineStr">
        <is>
          <t>Seleccionar</t>
        </is>
      </c>
      <c r="S540" s="0" t="inlineStr">
        <is>
          <t>No ofrezco</t>
        </is>
      </c>
      <c r="T540" t="n">
        <v>1970</v>
      </c>
      <c r="U540" s="0" t="inlineStr">
        <is>
          <t>Inglaterra</t>
        </is>
      </c>
      <c r="X540" s="0" t="inlineStr">
        <is>
          <t>Níquel</t>
        </is>
      </c>
      <c r="Z540" t="inlineStr">
        <is>
          <t>1 Crown</t>
        </is>
      </c>
      <c r="AA540" s="0" t="inlineStr">
        <is>
          <t>Dólar</t>
        </is>
      </c>
      <c r="AB5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0" s="53">
        <f>IF(OR(TRIM(INDIRECT("B"&amp;ROW())) &lt;&gt; "",TRIM(INDIRECT("A"&amp;ROW())) &lt;&gt; ""),AND(TRIM(INDIRECT("A"&amp;ROW())) &lt;&gt; "",TRIM(INDIRECT("D"&amp;ROW())) = "nuevo"),"")</f>
        <v/>
      </c>
    </row>
    <row r="541" ht="27.5" customHeight="1" s="62">
      <c r="B541" t="inlineStr">
        <is>
          <t>Moneda Gibraltar 1 Crown 1991</t>
        </is>
      </c>
      <c r="C541" s="0">
        <f>LEN(INDIRECT(ADDRESS(ROW() + (0),COLUMN() + (-1))))</f>
        <v/>
      </c>
      <c r="D541" s="0" t="inlineStr">
        <is>
          <t>Usado</t>
        </is>
      </c>
      <c r="E541" s="38" t="inlineStr">
        <is>
          <t>https://numismaticapopper.com/images/1190A.jpeg,https://numismaticapopper.com/images/1190B.jpeg</t>
        </is>
      </c>
      <c r="F541" t="inlineStr">
        <is>
          <t>1190</t>
        </is>
      </c>
      <c r="G541" s="40" t="n">
        <v>1</v>
      </c>
      <c r="H541" t="n">
        <v>33000</v>
      </c>
      <c r="I541" t="inlineStr">
        <is>
          <t>Estado de conservacion: Sin Circular
Referencia de catalogo: KM# 85
Material: Cuproníquel
Conmemora: 10° Aniversario de Bodas de Lady Di y el Príncipe Carlos</t>
        </is>
      </c>
      <c r="J541" s="31">
        <f>IF(INDIRECT(ADDRESS(ROW() + (0),COLUMN() + (1)))="Agregar cuotas", IF(("16%")="", "-", "16%"), IF(INDIRECT(ADDRESS(ROW() + (0),COLUMN() + (1)))="No agregar cuotas", IF(("16%")="", "-", "16%"), "-"))</f>
        <v/>
      </c>
      <c r="K541" s="0" t="inlineStr">
        <is>
          <t>No agregar cuotas</t>
        </is>
      </c>
      <c r="L541" s="31">
        <f>IF(INDIRECT(ADDRESS(ROW() + (0),COLUMN() + (-1)))="Agregar cuotas", IF(("13.4%")="", "Sin costo", "13.4%"), IF(INDIRECT(ADDRESS(ROW() + (0),COLUMN() + (-1)))="No agregar cuotas", IF(("")="", "Sin costo", ""), "-"))</f>
        <v/>
      </c>
      <c r="M541" s="0" t="inlineStr">
        <is>
          <t>Mercado Envíos</t>
        </is>
      </c>
      <c r="N541" s="0" t="inlineStr">
        <is>
          <t>A cargo del comprador</t>
        </is>
      </c>
      <c r="O541" s="0" t="inlineStr">
        <is>
          <t>Acepto</t>
        </is>
      </c>
      <c r="P541" s="47" t="inlineStr">
        <is>
          <t>Sin garantía</t>
        </is>
      </c>
      <c r="R541" s="0" t="inlineStr">
        <is>
          <t>Seleccionar</t>
        </is>
      </c>
      <c r="S541" s="0" t="inlineStr">
        <is>
          <t>No ofrezco</t>
        </is>
      </c>
      <c r="T541" t="n">
        <v>1991</v>
      </c>
      <c r="U541" s="0" t="inlineStr">
        <is>
          <t>Inglaterra</t>
        </is>
      </c>
      <c r="X541" s="0" t="inlineStr">
        <is>
          <t>Níquel</t>
        </is>
      </c>
      <c r="Y541" t="inlineStr">
        <is>
          <t>10° Aniversario de Bodas de Lady Di y el Príncipe Carlos</t>
        </is>
      </c>
      <c r="Z541" t="inlineStr">
        <is>
          <t>1 Crown</t>
        </is>
      </c>
      <c r="AA541" s="0" t="inlineStr">
        <is>
          <t>Dólar</t>
        </is>
      </c>
      <c r="AB5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1" s="53">
        <f>IF(OR(TRIM(INDIRECT("B"&amp;ROW())) &lt;&gt; "",TRIM(INDIRECT("A"&amp;ROW())) &lt;&gt; ""),AND(TRIM(INDIRECT("A"&amp;ROW())) &lt;&gt; "",TRIM(INDIRECT("D"&amp;ROW())) = "nuevo"),"")</f>
        <v/>
      </c>
    </row>
    <row r="542" ht="27.5" customHeight="1" s="62">
      <c r="B542" t="inlineStr">
        <is>
          <t>Moneda Guernsey 25 New Pence 1980</t>
        </is>
      </c>
      <c r="C542" s="0">
        <f>LEN(INDIRECT(ADDRESS(ROW() + (0),COLUMN() + (-1))))</f>
        <v/>
      </c>
      <c r="D542" s="0" t="inlineStr">
        <is>
          <t>Usado</t>
        </is>
      </c>
      <c r="E542" s="38" t="inlineStr">
        <is>
          <t>https://numismaticapopper.com/images/1191A.jpeg,https://numismaticapopper.com/images/1191B.jpeg</t>
        </is>
      </c>
      <c r="F542" t="inlineStr">
        <is>
          <t>1191</t>
        </is>
      </c>
      <c r="G542" s="40" t="n">
        <v>1</v>
      </c>
      <c r="H542" t="n">
        <v>29000</v>
      </c>
      <c r="I542" t="inlineStr">
        <is>
          <t>Estado de conservacion: Sin Circular
Referencia de catalogo: KM# 35
Material: Cuproníquel
Conmemora: 80° Cumpleaños de la Reina Madre</t>
        </is>
      </c>
      <c r="J542" s="31">
        <f>IF(INDIRECT(ADDRESS(ROW() + (0),COLUMN() + (1)))="Agregar cuotas", IF(("16%")="", "-", "16%"), IF(INDIRECT(ADDRESS(ROW() + (0),COLUMN() + (1)))="No agregar cuotas", IF(("16%")="", "-", "16%"), "-"))</f>
        <v/>
      </c>
      <c r="K542" s="0" t="inlineStr">
        <is>
          <t>No agregar cuotas</t>
        </is>
      </c>
      <c r="L542" s="31">
        <f>IF(INDIRECT(ADDRESS(ROW() + (0),COLUMN() + (-1)))="Agregar cuotas", IF(("13.4%")="", "Sin costo", "13.4%"), IF(INDIRECT(ADDRESS(ROW() + (0),COLUMN() + (-1)))="No agregar cuotas", IF(("")="", "Sin costo", ""), "-"))</f>
        <v/>
      </c>
      <c r="M542" s="0" t="inlineStr">
        <is>
          <t>Mercado Envíos</t>
        </is>
      </c>
      <c r="N542" s="0" t="inlineStr">
        <is>
          <t>A cargo del comprador</t>
        </is>
      </c>
      <c r="O542" s="0" t="inlineStr">
        <is>
          <t>Acepto</t>
        </is>
      </c>
      <c r="P542" s="47" t="inlineStr">
        <is>
          <t>Sin garantía</t>
        </is>
      </c>
      <c r="R542" s="0" t="inlineStr">
        <is>
          <t>Seleccionar</t>
        </is>
      </c>
      <c r="S542" s="0" t="inlineStr">
        <is>
          <t>No ofrezco</t>
        </is>
      </c>
      <c r="T542" t="n">
        <v>1980</v>
      </c>
      <c r="U542" s="0" t="inlineStr">
        <is>
          <t>Inglaterra</t>
        </is>
      </c>
      <c r="X542" s="0" t="inlineStr">
        <is>
          <t>Níquel</t>
        </is>
      </c>
      <c r="Y542" t="inlineStr">
        <is>
          <t>80° Cumpleaños de la Reina Madre</t>
        </is>
      </c>
      <c r="Z542" t="inlineStr">
        <is>
          <t>25 New Pence</t>
        </is>
      </c>
      <c r="AA542" s="0" t="inlineStr">
        <is>
          <t>Dólar</t>
        </is>
      </c>
      <c r="AB5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2" s="53">
        <f>IF(OR(TRIM(INDIRECT("B"&amp;ROW())) &lt;&gt; "",TRIM(INDIRECT("A"&amp;ROW())) &lt;&gt; ""),AND(TRIM(INDIRECT("A"&amp;ROW())) &lt;&gt; "",TRIM(INDIRECT("D"&amp;ROW())) = "nuevo"),"")</f>
        <v/>
      </c>
    </row>
    <row r="543" ht="27.5" customHeight="1" s="62">
      <c r="B543" t="inlineStr">
        <is>
          <t>Moneda Reino Unido 20 Pence 1993</t>
        </is>
      </c>
      <c r="C543" s="0">
        <f>LEN(INDIRECT(ADDRESS(ROW() + (0),COLUMN() + (-1))))</f>
        <v/>
      </c>
      <c r="D543" s="0" t="inlineStr">
        <is>
          <t>Usado</t>
        </is>
      </c>
      <c r="E543" s="38" t="inlineStr">
        <is>
          <t>https://numismaticapopper.com/images/1193A.jpeg,https://numismaticapopper.com/images/1193B.jpeg</t>
        </is>
      </c>
      <c r="F543" t="inlineStr">
        <is>
          <t>1193</t>
        </is>
      </c>
      <c r="G543" s="40" t="n">
        <v>1</v>
      </c>
      <c r="H543" t="n">
        <v>6000</v>
      </c>
      <c r="I543" t="inlineStr">
        <is>
          <t>Estado de conservacion: Excelente
Referencia de catalogo: KM# 939
Material: Cuproníquel</t>
        </is>
      </c>
      <c r="J543" s="31">
        <f>IF(INDIRECT(ADDRESS(ROW() + (0),COLUMN() + (1)))="Agregar cuotas", IF(("16%")="", "-", "16%"), IF(INDIRECT(ADDRESS(ROW() + (0),COLUMN() + (1)))="No agregar cuotas", IF(("16%")="", "-", "16%"), "-"))</f>
        <v/>
      </c>
      <c r="K543" s="0" t="inlineStr">
        <is>
          <t>No agregar cuotas</t>
        </is>
      </c>
      <c r="L543" s="31">
        <f>IF(INDIRECT(ADDRESS(ROW() + (0),COLUMN() + (-1)))="Agregar cuotas", IF(("13.4%")="", "Sin costo", "13.4%"), IF(INDIRECT(ADDRESS(ROW() + (0),COLUMN() + (-1)))="No agregar cuotas", IF(("")="", "Sin costo", ""), "-"))</f>
        <v/>
      </c>
      <c r="M543" s="0" t="inlineStr">
        <is>
          <t>Mercado Envíos</t>
        </is>
      </c>
      <c r="N543" s="0" t="inlineStr">
        <is>
          <t>A cargo del comprador</t>
        </is>
      </c>
      <c r="O543" s="0" t="inlineStr">
        <is>
          <t>Acepto</t>
        </is>
      </c>
      <c r="P543" s="47" t="inlineStr">
        <is>
          <t>Sin garantía</t>
        </is>
      </c>
      <c r="R543" s="0" t="inlineStr">
        <is>
          <t>Seleccionar</t>
        </is>
      </c>
      <c r="S543" s="0" t="inlineStr">
        <is>
          <t>No ofrezco</t>
        </is>
      </c>
      <c r="T543" t="n">
        <v>1993</v>
      </c>
      <c r="U543" s="0" t="inlineStr">
        <is>
          <t>Inglaterra</t>
        </is>
      </c>
      <c r="X543" s="0" t="inlineStr">
        <is>
          <t>Níquel</t>
        </is>
      </c>
      <c r="Z543" t="inlineStr">
        <is>
          <t>20 Pence</t>
        </is>
      </c>
      <c r="AA543" s="0" t="inlineStr">
        <is>
          <t>Dólar</t>
        </is>
      </c>
      <c r="AB5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3" s="53">
        <f>IF(OR(TRIM(INDIRECT("B"&amp;ROW())) &lt;&gt; "",TRIM(INDIRECT("A"&amp;ROW())) &lt;&gt; ""),AND(TRIM(INDIRECT("A"&amp;ROW())) &lt;&gt; "",TRIM(INDIRECT("D"&amp;ROW())) = "nuevo"),"")</f>
        <v/>
      </c>
    </row>
    <row r="544" ht="27.5" customHeight="1" s="62">
      <c r="B544" t="inlineStr">
        <is>
          <t>Moneda Reino Unido 20 Pence 2002</t>
        </is>
      </c>
      <c r="C544" s="0">
        <f>LEN(INDIRECT(ADDRESS(ROW() + (0),COLUMN() + (-1))))</f>
        <v/>
      </c>
      <c r="D544" s="0" t="inlineStr">
        <is>
          <t>Usado</t>
        </is>
      </c>
      <c r="E544" s="38" t="inlineStr">
        <is>
          <t>https://numismaticapopper.com/images/1194A.jpeg,https://numismaticapopper.com/images/1194B.jpeg</t>
        </is>
      </c>
      <c r="F544" t="inlineStr">
        <is>
          <t>1194</t>
        </is>
      </c>
      <c r="G544" s="40" t="n">
        <v>1</v>
      </c>
      <c r="H544" t="n">
        <v>6000</v>
      </c>
      <c r="I544" t="inlineStr">
        <is>
          <t>Estado de conservacion: Excelente
Referencia de catalogo: KM# 990
Material: Cuproníquel</t>
        </is>
      </c>
      <c r="J544" s="31">
        <f>IF(INDIRECT(ADDRESS(ROW() + (0),COLUMN() + (1)))="Agregar cuotas", IF(("16%")="", "-", "16%"), IF(INDIRECT(ADDRESS(ROW() + (0),COLUMN() + (1)))="No agregar cuotas", IF(("16%")="", "-", "16%"), "-"))</f>
        <v/>
      </c>
      <c r="K544" s="0" t="inlineStr">
        <is>
          <t>No agregar cuotas</t>
        </is>
      </c>
      <c r="L544" s="31">
        <f>IF(INDIRECT(ADDRESS(ROW() + (0),COLUMN() + (-1)))="Agregar cuotas", IF(("13.4%")="", "Sin costo", "13.4%"), IF(INDIRECT(ADDRESS(ROW() + (0),COLUMN() + (-1)))="No agregar cuotas", IF(("")="", "Sin costo", ""), "-"))</f>
        <v/>
      </c>
      <c r="M544" s="0" t="inlineStr">
        <is>
          <t>Mercado Envíos</t>
        </is>
      </c>
      <c r="N544" s="0" t="inlineStr">
        <is>
          <t>A cargo del comprador</t>
        </is>
      </c>
      <c r="O544" s="0" t="inlineStr">
        <is>
          <t>Acepto</t>
        </is>
      </c>
      <c r="P544" s="47" t="inlineStr">
        <is>
          <t>Sin garantía</t>
        </is>
      </c>
      <c r="R544" s="0" t="inlineStr">
        <is>
          <t>Seleccionar</t>
        </is>
      </c>
      <c r="S544" s="0" t="inlineStr">
        <is>
          <t>No ofrezco</t>
        </is>
      </c>
      <c r="T544" t="n">
        <v>2002</v>
      </c>
      <c r="U544" s="0" t="inlineStr">
        <is>
          <t>Inglaterra</t>
        </is>
      </c>
      <c r="X544" s="0" t="inlineStr">
        <is>
          <t>Níquel</t>
        </is>
      </c>
      <c r="Z544" t="inlineStr">
        <is>
          <t>20 Pence</t>
        </is>
      </c>
      <c r="AA544" s="0" t="inlineStr">
        <is>
          <t>Dólar</t>
        </is>
      </c>
      <c r="AB5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4" s="53">
        <f>IF(OR(TRIM(INDIRECT("B"&amp;ROW())) &lt;&gt; "",TRIM(INDIRECT("A"&amp;ROW())) &lt;&gt; ""),AND(TRIM(INDIRECT("A"&amp;ROW())) &lt;&gt; "",TRIM(INDIRECT("D"&amp;ROW())) = "nuevo"),"")</f>
        <v/>
      </c>
    </row>
    <row r="545" ht="27.5" customHeight="1" s="62">
      <c r="B545" t="inlineStr">
        <is>
          <t>Moneda Reino Unido 20 Pence 2006</t>
        </is>
      </c>
      <c r="C545" s="0">
        <f>LEN(INDIRECT(ADDRESS(ROW() + (0),COLUMN() + (-1))))</f>
        <v/>
      </c>
      <c r="D545" s="0" t="inlineStr">
        <is>
          <t>Usado</t>
        </is>
      </c>
      <c r="E545" s="38" t="inlineStr">
        <is>
          <t>https://numismaticapopper.com/images/1195A.jpeg,https://numismaticapopper.com/images/1195B.jpeg</t>
        </is>
      </c>
      <c r="F545" t="inlineStr">
        <is>
          <t>1195</t>
        </is>
      </c>
      <c r="G545" s="40" t="n">
        <v>1</v>
      </c>
      <c r="H545" t="n">
        <v>6000</v>
      </c>
      <c r="I545" t="inlineStr">
        <is>
          <t>Estado de conservacion: Excelente
Referencia de catalogo: KM# 990
Material: Cuproníquel</t>
        </is>
      </c>
      <c r="J545" s="31">
        <f>IF(INDIRECT(ADDRESS(ROW() + (0),COLUMN() + (1)))="Agregar cuotas", IF(("16%")="", "-", "16%"), IF(INDIRECT(ADDRESS(ROW() + (0),COLUMN() + (1)))="No agregar cuotas", IF(("16%")="", "-", "16%"), "-"))</f>
        <v/>
      </c>
      <c r="K545" s="0" t="inlineStr">
        <is>
          <t>No agregar cuotas</t>
        </is>
      </c>
      <c r="L545" s="31">
        <f>IF(INDIRECT(ADDRESS(ROW() + (0),COLUMN() + (-1)))="Agregar cuotas", IF(("13.4%")="", "Sin costo", "13.4%"), IF(INDIRECT(ADDRESS(ROW() + (0),COLUMN() + (-1)))="No agregar cuotas", IF(("")="", "Sin costo", ""), "-"))</f>
        <v/>
      </c>
      <c r="M545" s="0" t="inlineStr">
        <is>
          <t>Mercado Envíos</t>
        </is>
      </c>
      <c r="N545" s="0" t="inlineStr">
        <is>
          <t>A cargo del comprador</t>
        </is>
      </c>
      <c r="O545" s="0" t="inlineStr">
        <is>
          <t>Acepto</t>
        </is>
      </c>
      <c r="P545" s="47" t="inlineStr">
        <is>
          <t>Sin garantía</t>
        </is>
      </c>
      <c r="R545" s="0" t="inlineStr">
        <is>
          <t>Seleccionar</t>
        </is>
      </c>
      <c r="S545" s="0" t="inlineStr">
        <is>
          <t>No ofrezco</t>
        </is>
      </c>
      <c r="T545" t="n">
        <v>2006</v>
      </c>
      <c r="U545" s="0" t="inlineStr">
        <is>
          <t>Inglaterra</t>
        </is>
      </c>
      <c r="X545" s="0" t="inlineStr">
        <is>
          <t>Níquel</t>
        </is>
      </c>
      <c r="Z545" t="inlineStr">
        <is>
          <t>20 Pence</t>
        </is>
      </c>
      <c r="AA545" s="0" t="inlineStr">
        <is>
          <t>Dólar</t>
        </is>
      </c>
      <c r="AB5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5" s="53">
        <f>IF(OR(TRIM(INDIRECT("B"&amp;ROW())) &lt;&gt; "",TRIM(INDIRECT("A"&amp;ROW())) &lt;&gt; ""),AND(TRIM(INDIRECT("A"&amp;ROW())) &lt;&gt; "",TRIM(INDIRECT("D"&amp;ROW())) = "nuevo"),"")</f>
        <v/>
      </c>
    </row>
    <row r="546" ht="27.5" customHeight="1" s="62">
      <c r="B546" t="inlineStr">
        <is>
          <t>Moneda Reino Unido 20 Pence 2008</t>
        </is>
      </c>
      <c r="C546" s="0">
        <f>LEN(INDIRECT(ADDRESS(ROW() + (0),COLUMN() + (-1))))</f>
        <v/>
      </c>
      <c r="D546" s="0" t="inlineStr">
        <is>
          <t>Usado</t>
        </is>
      </c>
      <c r="E546" s="38" t="inlineStr">
        <is>
          <t>https://numismaticapopper.com/images/1196A.jpeg,https://numismaticapopper.com/images/1196B.jpeg</t>
        </is>
      </c>
      <c r="F546" t="inlineStr">
        <is>
          <t>1196</t>
        </is>
      </c>
      <c r="G546" s="40" t="n">
        <v>1</v>
      </c>
      <c r="H546" t="n">
        <v>6000</v>
      </c>
      <c r="I546" t="inlineStr">
        <is>
          <t>Estado de conservacion: Excelente
Referencia de catalogo: KM# 1111
Material: Cuproníquel</t>
        </is>
      </c>
      <c r="J546" s="31">
        <f>IF(INDIRECT(ADDRESS(ROW() + (0),COLUMN() + (1)))="Agregar cuotas", IF(("16%")="", "-", "16%"), IF(INDIRECT(ADDRESS(ROW() + (0),COLUMN() + (1)))="No agregar cuotas", IF(("16%")="", "-", "16%"), "-"))</f>
        <v/>
      </c>
      <c r="K546" s="0" t="inlineStr">
        <is>
          <t>No agregar cuotas</t>
        </is>
      </c>
      <c r="L546" s="31">
        <f>IF(INDIRECT(ADDRESS(ROW() + (0),COLUMN() + (-1)))="Agregar cuotas", IF(("13.4%")="", "Sin costo", "13.4%"), IF(INDIRECT(ADDRESS(ROW() + (0),COLUMN() + (-1)))="No agregar cuotas", IF(("")="", "Sin costo", ""), "-"))</f>
        <v/>
      </c>
      <c r="M546" s="0" t="inlineStr">
        <is>
          <t>Mercado Envíos</t>
        </is>
      </c>
      <c r="N546" s="0" t="inlineStr">
        <is>
          <t>A cargo del comprador</t>
        </is>
      </c>
      <c r="O546" s="0" t="inlineStr">
        <is>
          <t>Acepto</t>
        </is>
      </c>
      <c r="P546" s="47" t="inlineStr">
        <is>
          <t>Sin garantía</t>
        </is>
      </c>
      <c r="R546" s="0" t="inlineStr">
        <is>
          <t>Seleccionar</t>
        </is>
      </c>
      <c r="S546" s="0" t="inlineStr">
        <is>
          <t>No ofrezco</t>
        </is>
      </c>
      <c r="T546" t="n">
        <v>2008</v>
      </c>
      <c r="U546" s="0" t="inlineStr">
        <is>
          <t>Inglaterra</t>
        </is>
      </c>
      <c r="X546" s="0" t="inlineStr">
        <is>
          <t>Níquel</t>
        </is>
      </c>
      <c r="Z546" t="inlineStr">
        <is>
          <t>20 Pence</t>
        </is>
      </c>
      <c r="AA546" s="0" t="inlineStr">
        <is>
          <t>Dólar</t>
        </is>
      </c>
      <c r="AB5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6" s="53">
        <f>IF(OR(TRIM(INDIRECT("B"&amp;ROW())) &lt;&gt; "",TRIM(INDIRECT("A"&amp;ROW())) &lt;&gt; ""),AND(TRIM(INDIRECT("A"&amp;ROW())) &lt;&gt; "",TRIM(INDIRECT("D"&amp;ROW())) = "nuevo"),"")</f>
        <v/>
      </c>
    </row>
    <row r="547" ht="27.5" customHeight="1" s="62">
      <c r="B547" t="inlineStr">
        <is>
          <t>Moneda Reino Unido 20 Pence 2010</t>
        </is>
      </c>
      <c r="C547" s="0">
        <f>LEN(INDIRECT(ADDRESS(ROW() + (0),COLUMN() + (-1))))</f>
        <v/>
      </c>
      <c r="D547" s="0" t="inlineStr">
        <is>
          <t>Usado</t>
        </is>
      </c>
      <c r="E547" s="38" t="inlineStr">
        <is>
          <t>https://numismaticapopper.com/images/1197A.jpeg,https://numismaticapopper.com/images/1197B.jpeg</t>
        </is>
      </c>
      <c r="F547" t="inlineStr">
        <is>
          <t>1197</t>
        </is>
      </c>
      <c r="G547" s="40" t="n">
        <v>1</v>
      </c>
      <c r="H547" t="n">
        <v>6000</v>
      </c>
      <c r="I547" t="inlineStr">
        <is>
          <t>Estado de conservacion: Excelente
Referencia de catalogo: KM# 1111
Material: Cuproníquel</t>
        </is>
      </c>
      <c r="J547" s="31">
        <f>IF(INDIRECT(ADDRESS(ROW() + (0),COLUMN() + (1)))="Agregar cuotas", IF(("16%")="", "-", "16%"), IF(INDIRECT(ADDRESS(ROW() + (0),COLUMN() + (1)))="No agregar cuotas", IF(("16%")="", "-", "16%"), "-"))</f>
        <v/>
      </c>
      <c r="K547" s="0" t="inlineStr">
        <is>
          <t>No agregar cuotas</t>
        </is>
      </c>
      <c r="L547" s="31">
        <f>IF(INDIRECT(ADDRESS(ROW() + (0),COLUMN() + (-1)))="Agregar cuotas", IF(("13.4%")="", "Sin costo", "13.4%"), IF(INDIRECT(ADDRESS(ROW() + (0),COLUMN() + (-1)))="No agregar cuotas", IF(("")="", "Sin costo", ""), "-"))</f>
        <v/>
      </c>
      <c r="M547" s="0" t="inlineStr">
        <is>
          <t>Mercado Envíos</t>
        </is>
      </c>
      <c r="N547" s="0" t="inlineStr">
        <is>
          <t>A cargo del comprador</t>
        </is>
      </c>
      <c r="O547" s="0" t="inlineStr">
        <is>
          <t>Acepto</t>
        </is>
      </c>
      <c r="P547" s="47" t="inlineStr">
        <is>
          <t>Sin garantía</t>
        </is>
      </c>
      <c r="R547" s="0" t="inlineStr">
        <is>
          <t>Seleccionar</t>
        </is>
      </c>
      <c r="S547" s="0" t="inlineStr">
        <is>
          <t>No ofrezco</t>
        </is>
      </c>
      <c r="T547" t="n">
        <v>2010</v>
      </c>
      <c r="U547" s="0" t="inlineStr">
        <is>
          <t>Inglaterra</t>
        </is>
      </c>
      <c r="X547" s="0" t="inlineStr">
        <is>
          <t>Níquel</t>
        </is>
      </c>
      <c r="Z547" t="inlineStr">
        <is>
          <t>20 Pence</t>
        </is>
      </c>
      <c r="AA547" s="0" t="inlineStr">
        <is>
          <t>Dólar</t>
        </is>
      </c>
      <c r="AB5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7" s="53">
        <f>IF(OR(TRIM(INDIRECT("B"&amp;ROW())) &lt;&gt; "",TRIM(INDIRECT("A"&amp;ROW())) &lt;&gt; ""),AND(TRIM(INDIRECT("A"&amp;ROW())) &lt;&gt; "",TRIM(INDIRECT("D"&amp;ROW())) = "nuevo"),"")</f>
        <v/>
      </c>
    </row>
    <row r="548" ht="27.5" customHeight="1" s="62">
      <c r="B548" t="inlineStr">
        <is>
          <t>Moneda Reino Unido 20 Pence 2011</t>
        </is>
      </c>
      <c r="C548" s="0">
        <f>LEN(INDIRECT(ADDRESS(ROW() + (0),COLUMN() + (-1))))</f>
        <v/>
      </c>
      <c r="D548" s="0" t="inlineStr">
        <is>
          <t>Usado</t>
        </is>
      </c>
      <c r="E548" s="38" t="inlineStr">
        <is>
          <t>https://numismaticapopper.com/images/1198A.jpeg,https://numismaticapopper.com/images/1198B.jpeg</t>
        </is>
      </c>
      <c r="F548" t="inlineStr">
        <is>
          <t>1198</t>
        </is>
      </c>
      <c r="G548" s="40" t="n">
        <v>1</v>
      </c>
      <c r="H548" t="n">
        <v>6000</v>
      </c>
      <c r="I548" t="inlineStr">
        <is>
          <t>Estado de conservacion: Excelente
Referencia de catalogo: KM# 1111
Material: Cuproníquel</t>
        </is>
      </c>
      <c r="J548" s="31">
        <f>IF(INDIRECT(ADDRESS(ROW() + (0),COLUMN() + (1)))="Agregar cuotas", IF(("16%")="", "-", "16%"), IF(INDIRECT(ADDRESS(ROW() + (0),COLUMN() + (1)))="No agregar cuotas", IF(("16%")="", "-", "16%"), "-"))</f>
        <v/>
      </c>
      <c r="K548" s="0" t="inlineStr">
        <is>
          <t>No agregar cuotas</t>
        </is>
      </c>
      <c r="L548" s="31">
        <f>IF(INDIRECT(ADDRESS(ROW() + (0),COLUMN() + (-1)))="Agregar cuotas", IF(("13.4%")="", "Sin costo", "13.4%"), IF(INDIRECT(ADDRESS(ROW() + (0),COLUMN() + (-1)))="No agregar cuotas", IF(("")="", "Sin costo", ""), "-"))</f>
        <v/>
      </c>
      <c r="M548" s="0" t="inlineStr">
        <is>
          <t>Mercado Envíos</t>
        </is>
      </c>
      <c r="N548" s="0" t="inlineStr">
        <is>
          <t>A cargo del comprador</t>
        </is>
      </c>
      <c r="O548" s="0" t="inlineStr">
        <is>
          <t>Acepto</t>
        </is>
      </c>
      <c r="P548" s="47" t="inlineStr">
        <is>
          <t>Sin garantía</t>
        </is>
      </c>
      <c r="R548" s="0" t="inlineStr">
        <is>
          <t>Seleccionar</t>
        </is>
      </c>
      <c r="S548" s="0" t="inlineStr">
        <is>
          <t>No ofrezco</t>
        </is>
      </c>
      <c r="T548" t="n">
        <v>2011</v>
      </c>
      <c r="U548" s="0" t="inlineStr">
        <is>
          <t>Inglaterra</t>
        </is>
      </c>
      <c r="X548" s="0" t="inlineStr">
        <is>
          <t>Níquel</t>
        </is>
      </c>
      <c r="Z548" t="inlineStr">
        <is>
          <t>20 Pence</t>
        </is>
      </c>
      <c r="AA548" s="0" t="inlineStr">
        <is>
          <t>Dólar</t>
        </is>
      </c>
      <c r="AB5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8" s="53">
        <f>IF(OR(TRIM(INDIRECT("B"&amp;ROW())) &lt;&gt; "",TRIM(INDIRECT("A"&amp;ROW())) &lt;&gt; ""),AND(TRIM(INDIRECT("A"&amp;ROW())) &lt;&gt; "",TRIM(INDIRECT("D"&amp;ROW())) = "nuevo"),"")</f>
        <v/>
      </c>
    </row>
    <row r="549" ht="27.5" customHeight="1" s="62">
      <c r="B549" t="inlineStr">
        <is>
          <t>Moneda Reino Unido 20 Pence 2015</t>
        </is>
      </c>
      <c r="C549" s="0">
        <f>LEN(INDIRECT(ADDRESS(ROW() + (0),COLUMN() + (-1))))</f>
        <v/>
      </c>
      <c r="D549" s="0" t="inlineStr">
        <is>
          <t>Usado</t>
        </is>
      </c>
      <c r="E549" s="38" t="inlineStr">
        <is>
          <t>https://numismaticapopper.com/images/1199A.jpeg,https://numismaticapopper.com/images/1199B.jpeg</t>
        </is>
      </c>
      <c r="F549" t="inlineStr">
        <is>
          <t>1199</t>
        </is>
      </c>
      <c r="G549" s="40" t="n">
        <v>1</v>
      </c>
      <c r="H549" t="n">
        <v>6000</v>
      </c>
      <c r="I549" t="inlineStr">
        <is>
          <t>Estado de conservacion: Excelente
Referencia de catalogo: KM# 1111
Material: Cuproníquel</t>
        </is>
      </c>
      <c r="J549" s="31">
        <f>IF(INDIRECT(ADDRESS(ROW() + (0),COLUMN() + (1)))="Agregar cuotas", IF(("16%")="", "-", "16%"), IF(INDIRECT(ADDRESS(ROW() + (0),COLUMN() + (1)))="No agregar cuotas", IF(("16%")="", "-", "16%"), "-"))</f>
        <v/>
      </c>
      <c r="K549" s="0" t="inlineStr">
        <is>
          <t>No agregar cuotas</t>
        </is>
      </c>
      <c r="L549" s="31">
        <f>IF(INDIRECT(ADDRESS(ROW() + (0),COLUMN() + (-1)))="Agregar cuotas", IF(("13.4%")="", "Sin costo", "13.4%"), IF(INDIRECT(ADDRESS(ROW() + (0),COLUMN() + (-1)))="No agregar cuotas", IF(("")="", "Sin costo", ""), "-"))</f>
        <v/>
      </c>
      <c r="M549" s="0" t="inlineStr">
        <is>
          <t>Mercado Envíos</t>
        </is>
      </c>
      <c r="N549" s="0" t="inlineStr">
        <is>
          <t>A cargo del comprador</t>
        </is>
      </c>
      <c r="O549" s="0" t="inlineStr">
        <is>
          <t>Acepto</t>
        </is>
      </c>
      <c r="P549" s="47" t="inlineStr">
        <is>
          <t>Sin garantía</t>
        </is>
      </c>
      <c r="R549" s="0" t="inlineStr">
        <is>
          <t>Seleccionar</t>
        </is>
      </c>
      <c r="S549" s="0" t="inlineStr">
        <is>
          <t>No ofrezco</t>
        </is>
      </c>
      <c r="T549" t="n">
        <v>2015</v>
      </c>
      <c r="U549" s="0" t="inlineStr">
        <is>
          <t>Inglaterra</t>
        </is>
      </c>
      <c r="X549" s="0" t="inlineStr">
        <is>
          <t>Níquel</t>
        </is>
      </c>
      <c r="Z549" t="inlineStr">
        <is>
          <t>20 Pence</t>
        </is>
      </c>
      <c r="AA549" s="0" t="inlineStr">
        <is>
          <t>Dólar</t>
        </is>
      </c>
      <c r="AB5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49" s="53">
        <f>IF(OR(TRIM(INDIRECT("B"&amp;ROW())) &lt;&gt; "",TRIM(INDIRECT("A"&amp;ROW())) &lt;&gt; ""),AND(TRIM(INDIRECT("A"&amp;ROW())) &lt;&gt; "",TRIM(INDIRECT("D"&amp;ROW())) = "nuevo"),"")</f>
        <v/>
      </c>
    </row>
    <row r="550" ht="27.5" customHeight="1" s="62">
      <c r="B550" t="inlineStr">
        <is>
          <t>Moneda Reino Unido 20 Pence 2016</t>
        </is>
      </c>
      <c r="C550" s="0">
        <f>LEN(INDIRECT(ADDRESS(ROW() + (0),COLUMN() + (-1))))</f>
        <v/>
      </c>
      <c r="D550" s="0" t="inlineStr">
        <is>
          <t>Usado</t>
        </is>
      </c>
      <c r="E550" s="38" t="inlineStr">
        <is>
          <t>https://numismaticapopper.com/images/1200A.jpeg,https://numismaticapopper.com/images/1200B.jpeg</t>
        </is>
      </c>
      <c r="F550" t="inlineStr">
        <is>
          <t>1200</t>
        </is>
      </c>
      <c r="G550" s="40" t="n">
        <v>1</v>
      </c>
      <c r="H550" t="n">
        <v>6000</v>
      </c>
      <c r="I550" t="inlineStr">
        <is>
          <t>Estado de conservacion: Excelente
Referencia de catalogo: KM# 1111
Material: Cuproníquel</t>
        </is>
      </c>
      <c r="J550" s="31">
        <f>IF(INDIRECT(ADDRESS(ROW() + (0),COLUMN() + (1)))="Agregar cuotas", IF(("16%")="", "-", "16%"), IF(INDIRECT(ADDRESS(ROW() + (0),COLUMN() + (1)))="No agregar cuotas", IF(("16%")="", "-", "16%"), "-"))</f>
        <v/>
      </c>
      <c r="K550" s="0" t="inlineStr">
        <is>
          <t>No agregar cuotas</t>
        </is>
      </c>
      <c r="L550" s="31">
        <f>IF(INDIRECT(ADDRESS(ROW() + (0),COLUMN() + (-1)))="Agregar cuotas", IF(("13.4%")="", "Sin costo", "13.4%"), IF(INDIRECT(ADDRESS(ROW() + (0),COLUMN() + (-1)))="No agregar cuotas", IF(("")="", "Sin costo", ""), "-"))</f>
        <v/>
      </c>
      <c r="M550" s="0" t="inlineStr">
        <is>
          <t>Mercado Envíos</t>
        </is>
      </c>
      <c r="N550" s="0" t="inlineStr">
        <is>
          <t>A cargo del comprador</t>
        </is>
      </c>
      <c r="O550" s="0" t="inlineStr">
        <is>
          <t>Acepto</t>
        </is>
      </c>
      <c r="P550" s="47" t="inlineStr">
        <is>
          <t>Sin garantía</t>
        </is>
      </c>
      <c r="R550" s="0" t="inlineStr">
        <is>
          <t>Seleccionar</t>
        </is>
      </c>
      <c r="S550" s="0" t="inlineStr">
        <is>
          <t>No ofrezco</t>
        </is>
      </c>
      <c r="T550" t="n">
        <v>2016</v>
      </c>
      <c r="U550" s="0" t="inlineStr">
        <is>
          <t>Inglaterra</t>
        </is>
      </c>
      <c r="X550" s="0" t="inlineStr">
        <is>
          <t>Níquel</t>
        </is>
      </c>
      <c r="Z550" t="inlineStr">
        <is>
          <t>20 Pence</t>
        </is>
      </c>
      <c r="AA550" s="0" t="inlineStr">
        <is>
          <t>Dólar</t>
        </is>
      </c>
      <c r="AB5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0" s="53">
        <f>IF(OR(TRIM(INDIRECT("B"&amp;ROW())) &lt;&gt; "",TRIM(INDIRECT("A"&amp;ROW())) &lt;&gt; ""),AND(TRIM(INDIRECT("A"&amp;ROW())) &lt;&gt; "",TRIM(INDIRECT("D"&amp;ROW())) = "nuevo"),"")</f>
        <v/>
      </c>
    </row>
    <row r="551" ht="27.5" customHeight="1" s="62">
      <c r="B551" t="inlineStr">
        <is>
          <t>Moneda Reino Unido 20 Pence 2020</t>
        </is>
      </c>
      <c r="C551" s="0">
        <f>LEN(INDIRECT(ADDRESS(ROW() + (0),COLUMN() + (-1))))</f>
        <v/>
      </c>
      <c r="D551" s="0" t="inlineStr">
        <is>
          <t>Usado</t>
        </is>
      </c>
      <c r="E551" s="38" t="inlineStr">
        <is>
          <t>https://numismaticapopper.com/images/1201A.jpeg,https://numismaticapopper.com/images/1201B.jpeg</t>
        </is>
      </c>
      <c r="F551" t="inlineStr">
        <is>
          <t>1201</t>
        </is>
      </c>
      <c r="G551" s="40" t="n">
        <v>1</v>
      </c>
      <c r="H551" t="n">
        <v>6000</v>
      </c>
      <c r="I551" t="inlineStr">
        <is>
          <t>Estado de conservacion: Excelente
Referencia de catalogo: KM# 1336
Material: Cuproníquel</t>
        </is>
      </c>
      <c r="J551" s="31">
        <f>IF(INDIRECT(ADDRESS(ROW() + (0),COLUMN() + (1)))="Agregar cuotas", IF(("16%")="", "-", "16%"), IF(INDIRECT(ADDRESS(ROW() + (0),COLUMN() + (1)))="No agregar cuotas", IF(("16%")="", "-", "16%"), "-"))</f>
        <v/>
      </c>
      <c r="K551" s="0" t="inlineStr">
        <is>
          <t>No agregar cuotas</t>
        </is>
      </c>
      <c r="L551" s="31">
        <f>IF(INDIRECT(ADDRESS(ROW() + (0),COLUMN() + (-1)))="Agregar cuotas", IF(("13.4%")="", "Sin costo", "13.4%"), IF(INDIRECT(ADDRESS(ROW() + (0),COLUMN() + (-1)))="No agregar cuotas", IF(("")="", "Sin costo", ""), "-"))</f>
        <v/>
      </c>
      <c r="M551" s="0" t="inlineStr">
        <is>
          <t>Mercado Envíos</t>
        </is>
      </c>
      <c r="N551" s="0" t="inlineStr">
        <is>
          <t>A cargo del comprador</t>
        </is>
      </c>
      <c r="O551" s="0" t="inlineStr">
        <is>
          <t>Acepto</t>
        </is>
      </c>
      <c r="P551" s="47" t="inlineStr">
        <is>
          <t>Sin garantía</t>
        </is>
      </c>
      <c r="R551" s="0" t="inlineStr">
        <is>
          <t>Seleccionar</t>
        </is>
      </c>
      <c r="S551" s="0" t="inlineStr">
        <is>
          <t>No ofrezco</t>
        </is>
      </c>
      <c r="T551" t="n">
        <v>2020</v>
      </c>
      <c r="U551" s="0" t="inlineStr">
        <is>
          <t>Inglaterra</t>
        </is>
      </c>
      <c r="X551" s="0" t="inlineStr">
        <is>
          <t>Níquel</t>
        </is>
      </c>
      <c r="Z551" t="inlineStr">
        <is>
          <t>20 Pence</t>
        </is>
      </c>
      <c r="AA551" s="0" t="inlineStr">
        <is>
          <t>Dólar</t>
        </is>
      </c>
      <c r="AB5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1" s="53">
        <f>IF(OR(TRIM(INDIRECT("B"&amp;ROW())) &lt;&gt; "",TRIM(INDIRECT("A"&amp;ROW())) &lt;&gt; ""),AND(TRIM(INDIRECT("A"&amp;ROW())) &lt;&gt; "",TRIM(INDIRECT("D"&amp;ROW())) = "nuevo"),"")</f>
        <v/>
      </c>
    </row>
    <row r="552" ht="27.5" customHeight="1" s="62">
      <c r="B552" t="inlineStr">
        <is>
          <t>Moneda Reino Unido 5 Pence 1991</t>
        </is>
      </c>
      <c r="C552" s="0">
        <f>LEN(INDIRECT(ADDRESS(ROW() + (0),COLUMN() + (-1))))</f>
        <v/>
      </c>
      <c r="D552" s="0" t="inlineStr">
        <is>
          <t>Usado</t>
        </is>
      </c>
      <c r="E552" s="38" t="inlineStr">
        <is>
          <t>https://numismaticapopper.com/images/1203A.jpeg,https://numismaticapopper.com/images/1203B.jpeg</t>
        </is>
      </c>
      <c r="F552" t="inlineStr">
        <is>
          <t>1203</t>
        </is>
      </c>
      <c r="G552" s="40" t="n">
        <v>1</v>
      </c>
      <c r="H552" t="n">
        <v>5000</v>
      </c>
      <c r="I552" t="inlineStr">
        <is>
          <t>Estado de conservacion: Excelente
Referencia de catalogo: KM# 937b
Material: Cuproníquel
Tirada: 74975</t>
        </is>
      </c>
      <c r="J552" s="31">
        <f>IF(INDIRECT(ADDRESS(ROW() + (0),COLUMN() + (1)))="Agregar cuotas", IF(("16%")="", "-", "16%"), IF(INDIRECT(ADDRESS(ROW() + (0),COLUMN() + (1)))="No agregar cuotas", IF(("16%")="", "-", "16%"), "-"))</f>
        <v/>
      </c>
      <c r="K552" s="0" t="inlineStr">
        <is>
          <t>No agregar cuotas</t>
        </is>
      </c>
      <c r="L552" s="31">
        <f>IF(INDIRECT(ADDRESS(ROW() + (0),COLUMN() + (-1)))="Agregar cuotas", IF(("13.4%")="", "Sin costo", "13.4%"), IF(INDIRECT(ADDRESS(ROW() + (0),COLUMN() + (-1)))="No agregar cuotas", IF(("")="", "Sin costo", ""), "-"))</f>
        <v/>
      </c>
      <c r="M552" s="0" t="inlineStr">
        <is>
          <t>Mercado Envíos</t>
        </is>
      </c>
      <c r="N552" s="0" t="inlineStr">
        <is>
          <t>A cargo del comprador</t>
        </is>
      </c>
      <c r="O552" s="0" t="inlineStr">
        <is>
          <t>Acepto</t>
        </is>
      </c>
      <c r="P552" s="47" t="inlineStr">
        <is>
          <t>Sin garantía</t>
        </is>
      </c>
      <c r="R552" s="0" t="inlineStr">
        <is>
          <t>Seleccionar</t>
        </is>
      </c>
      <c r="S552" s="0" t="inlineStr">
        <is>
          <t>No ofrezco</t>
        </is>
      </c>
      <c r="T552" t="n">
        <v>1991</v>
      </c>
      <c r="U552" s="0" t="inlineStr">
        <is>
          <t>Inglaterra</t>
        </is>
      </c>
      <c r="X552" s="0" t="inlineStr">
        <is>
          <t>Níquel</t>
        </is>
      </c>
      <c r="Z552" t="inlineStr">
        <is>
          <t>5 Pence</t>
        </is>
      </c>
      <c r="AA552" s="0" t="inlineStr">
        <is>
          <t>Dólar</t>
        </is>
      </c>
      <c r="AB5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2" s="53">
        <f>IF(OR(TRIM(INDIRECT("B"&amp;ROW())) &lt;&gt; "",TRIM(INDIRECT("A"&amp;ROW())) &lt;&gt; ""),AND(TRIM(INDIRECT("A"&amp;ROW())) &lt;&gt; "",TRIM(INDIRECT("D"&amp;ROW())) = "nuevo"),"")</f>
        <v/>
      </c>
    </row>
    <row r="553" ht="27.5" customHeight="1" s="62">
      <c r="B553" t="inlineStr">
        <is>
          <t>Moneda Reino Unido 5 Pence 2014</t>
        </is>
      </c>
      <c r="C553" s="0">
        <f>LEN(INDIRECT(ADDRESS(ROW() + (0),COLUMN() + (-1))))</f>
        <v/>
      </c>
      <c r="D553" s="0" t="inlineStr">
        <is>
          <t>Usado</t>
        </is>
      </c>
      <c r="E553" s="38" t="inlineStr">
        <is>
          <t>https://numismaticapopper.com/images/1204A.jpeg,https://numismaticapopper.com/images/1204B.jpeg</t>
        </is>
      </c>
      <c r="F553" t="inlineStr">
        <is>
          <t>1204</t>
        </is>
      </c>
      <c r="G553" s="40" t="n">
        <v>1</v>
      </c>
      <c r="H553" t="n">
        <v>5000</v>
      </c>
      <c r="I553" t="inlineStr">
        <is>
          <t>Estado de conservacion: Excelente
Referencia de catalogo: KM# 1109d
Material: Acero niquelado
Tirada: 368</t>
        </is>
      </c>
      <c r="J553" s="31">
        <f>IF(INDIRECT(ADDRESS(ROW() + (0),COLUMN() + (1)))="Agregar cuotas", IF(("16%")="", "-", "16%"), IF(INDIRECT(ADDRESS(ROW() + (0),COLUMN() + (1)))="No agregar cuotas", IF(("16%")="", "-", "16%"), "-"))</f>
        <v/>
      </c>
      <c r="K553" s="0" t="inlineStr">
        <is>
          <t>No agregar cuotas</t>
        </is>
      </c>
      <c r="L553" s="31">
        <f>IF(INDIRECT(ADDRESS(ROW() + (0),COLUMN() + (-1)))="Agregar cuotas", IF(("13.4%")="", "Sin costo", "13.4%"), IF(INDIRECT(ADDRESS(ROW() + (0),COLUMN() + (-1)))="No agregar cuotas", IF(("")="", "Sin costo", ""), "-"))</f>
        <v/>
      </c>
      <c r="M553" s="0" t="inlineStr">
        <is>
          <t>Mercado Envíos</t>
        </is>
      </c>
      <c r="N553" s="0" t="inlineStr">
        <is>
          <t>A cargo del comprador</t>
        </is>
      </c>
      <c r="O553" s="0" t="inlineStr">
        <is>
          <t>Acepto</t>
        </is>
      </c>
      <c r="P553" s="47" t="inlineStr">
        <is>
          <t>Sin garantía</t>
        </is>
      </c>
      <c r="R553" s="0" t="inlineStr">
        <is>
          <t>Seleccionar</t>
        </is>
      </c>
      <c r="S553" s="0" t="inlineStr">
        <is>
          <t>No ofrezco</t>
        </is>
      </c>
      <c r="T553" t="n">
        <v>2014</v>
      </c>
      <c r="U553" s="0" t="inlineStr">
        <is>
          <t>Inglaterra</t>
        </is>
      </c>
      <c r="X553" s="0" t="inlineStr">
        <is>
          <t>Níquel</t>
        </is>
      </c>
      <c r="Z553" t="inlineStr">
        <is>
          <t>5 Pence</t>
        </is>
      </c>
      <c r="AA553" s="0" t="inlineStr">
        <is>
          <t>Dólar</t>
        </is>
      </c>
      <c r="AB5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3" s="53">
        <f>IF(OR(TRIM(INDIRECT("B"&amp;ROW())) &lt;&gt; "",TRIM(INDIRECT("A"&amp;ROW())) &lt;&gt; ""),AND(TRIM(INDIRECT("A"&amp;ROW())) &lt;&gt; "",TRIM(INDIRECT("D"&amp;ROW())) = "nuevo"),"")</f>
        <v/>
      </c>
    </row>
    <row r="554" ht="27.5" customHeight="1" s="62">
      <c r="B554" t="inlineStr">
        <is>
          <t>Moneda Reino Unido 5 Pence 2017</t>
        </is>
      </c>
      <c r="C554" s="0">
        <f>LEN(INDIRECT(ADDRESS(ROW() + (0),COLUMN() + (-1))))</f>
        <v/>
      </c>
      <c r="D554" s="0" t="inlineStr">
        <is>
          <t>Usado</t>
        </is>
      </c>
      <c r="E554" s="38" t="inlineStr">
        <is>
          <t>https://numismaticapopper.com/images/1205A.jpeg,https://numismaticapopper.com/images/1205B.jpeg</t>
        </is>
      </c>
      <c r="F554" t="inlineStr">
        <is>
          <t>1205</t>
        </is>
      </c>
      <c r="G554" s="40" t="n">
        <v>1</v>
      </c>
      <c r="H554" t="n">
        <v>5000</v>
      </c>
      <c r="I554" t="inlineStr">
        <is>
          <t>Estado de conservacion: Excelente
Referencia de catalogo: KM# 1334
Material: Acero niquelado</t>
        </is>
      </c>
      <c r="J554" s="31">
        <f>IF(INDIRECT(ADDRESS(ROW() + (0),COLUMN() + (1)))="Agregar cuotas", IF(("16%")="", "-", "16%"), IF(INDIRECT(ADDRESS(ROW() + (0),COLUMN() + (1)))="No agregar cuotas", IF(("16%")="", "-", "16%"), "-"))</f>
        <v/>
      </c>
      <c r="K554" s="0" t="inlineStr">
        <is>
          <t>No agregar cuotas</t>
        </is>
      </c>
      <c r="L554" s="31">
        <f>IF(INDIRECT(ADDRESS(ROW() + (0),COLUMN() + (-1)))="Agregar cuotas", IF(("13.4%")="", "Sin costo", "13.4%"), IF(INDIRECT(ADDRESS(ROW() + (0),COLUMN() + (-1)))="No agregar cuotas", IF(("")="", "Sin costo", ""), "-"))</f>
        <v/>
      </c>
      <c r="M554" s="0" t="inlineStr">
        <is>
          <t>Mercado Envíos</t>
        </is>
      </c>
      <c r="N554" s="0" t="inlineStr">
        <is>
          <t>A cargo del comprador</t>
        </is>
      </c>
      <c r="O554" s="0" t="inlineStr">
        <is>
          <t>Acepto</t>
        </is>
      </c>
      <c r="P554" s="47" t="inlineStr">
        <is>
          <t>Sin garantía</t>
        </is>
      </c>
      <c r="R554" s="0" t="inlineStr">
        <is>
          <t>Seleccionar</t>
        </is>
      </c>
      <c r="S554" s="0" t="inlineStr">
        <is>
          <t>No ofrezco</t>
        </is>
      </c>
      <c r="T554" t="n">
        <v>2017</v>
      </c>
      <c r="U554" s="0" t="inlineStr">
        <is>
          <t>Inglaterra</t>
        </is>
      </c>
      <c r="X554" s="0" t="inlineStr">
        <is>
          <t>Níquel</t>
        </is>
      </c>
      <c r="Z554" t="inlineStr">
        <is>
          <t>5 Pence</t>
        </is>
      </c>
      <c r="AA554" s="0" t="inlineStr">
        <is>
          <t>Dólar</t>
        </is>
      </c>
      <c r="AB5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4" s="53">
        <f>IF(OR(TRIM(INDIRECT("B"&amp;ROW())) &lt;&gt; "",TRIM(INDIRECT("A"&amp;ROW())) &lt;&gt; ""),AND(TRIM(INDIRECT("A"&amp;ROW())) &lt;&gt; "",TRIM(INDIRECT("D"&amp;ROW())) = "nuevo"),"")</f>
        <v/>
      </c>
    </row>
    <row r="555" ht="27.5" customHeight="1" s="62">
      <c r="B555" t="inlineStr">
        <is>
          <t>Moneda Reino Unido 5 Pence 2012</t>
        </is>
      </c>
      <c r="C555" s="0">
        <f>LEN(INDIRECT(ADDRESS(ROW() + (0),COLUMN() + (-1))))</f>
        <v/>
      </c>
      <c r="D555" s="0" t="inlineStr">
        <is>
          <t>Usado</t>
        </is>
      </c>
      <c r="E555" s="38" t="inlineStr">
        <is>
          <t>https://numismaticapopper.com/images/1206A.jpeg,https://numismaticapopper.com/images/1206B.jpeg</t>
        </is>
      </c>
      <c r="F555" t="inlineStr">
        <is>
          <t>1206</t>
        </is>
      </c>
      <c r="G555" s="40" t="n">
        <v>1</v>
      </c>
      <c r="H555" t="n">
        <v>5000</v>
      </c>
      <c r="I555" t="inlineStr">
        <is>
          <t>Estado de conservacion: Excelente
Referencia de catalogo: KM# 1109d
Material: Acero niquelado
Tirada: 995</t>
        </is>
      </c>
      <c r="J555" s="31">
        <f>IF(INDIRECT(ADDRESS(ROW() + (0),COLUMN() + (1)))="Agregar cuotas", IF(("16%")="", "-", "16%"), IF(INDIRECT(ADDRESS(ROW() + (0),COLUMN() + (1)))="No agregar cuotas", IF(("16%")="", "-", "16%"), "-"))</f>
        <v/>
      </c>
      <c r="K555" s="0" t="inlineStr">
        <is>
          <t>No agregar cuotas</t>
        </is>
      </c>
      <c r="L555" s="31">
        <f>IF(INDIRECT(ADDRESS(ROW() + (0),COLUMN() + (-1)))="Agregar cuotas", IF(("13.4%")="", "Sin costo", "13.4%"), IF(INDIRECT(ADDRESS(ROW() + (0),COLUMN() + (-1)))="No agregar cuotas", IF(("")="", "Sin costo", ""), "-"))</f>
        <v/>
      </c>
      <c r="M555" s="0" t="inlineStr">
        <is>
          <t>Mercado Envíos</t>
        </is>
      </c>
      <c r="N555" s="0" t="inlineStr">
        <is>
          <t>A cargo del comprador</t>
        </is>
      </c>
      <c r="O555" s="0" t="inlineStr">
        <is>
          <t>Acepto</t>
        </is>
      </c>
      <c r="P555" s="47" t="inlineStr">
        <is>
          <t>Sin garantía</t>
        </is>
      </c>
      <c r="R555" s="0" t="inlineStr">
        <is>
          <t>Seleccionar</t>
        </is>
      </c>
      <c r="S555" s="0" t="inlineStr">
        <is>
          <t>No ofrezco</t>
        </is>
      </c>
      <c r="T555" t="n">
        <v>2012</v>
      </c>
      <c r="U555" s="0" t="inlineStr">
        <is>
          <t>Inglaterra</t>
        </is>
      </c>
      <c r="X555" s="0" t="inlineStr">
        <is>
          <t>Níquel</t>
        </is>
      </c>
      <c r="Z555" t="inlineStr">
        <is>
          <t>5 Pence</t>
        </is>
      </c>
      <c r="AA555" s="0" t="inlineStr">
        <is>
          <t>Dólar</t>
        </is>
      </c>
      <c r="AB5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5" s="53">
        <f>IF(OR(TRIM(INDIRECT("B"&amp;ROW())) &lt;&gt; "",TRIM(INDIRECT("A"&amp;ROW())) &lt;&gt; ""),AND(TRIM(INDIRECT("A"&amp;ROW())) &lt;&gt; "",TRIM(INDIRECT("D"&amp;ROW())) = "nuevo"),"")</f>
        <v/>
      </c>
    </row>
    <row r="556" ht="27.5" customHeight="1" s="62">
      <c r="B556" t="inlineStr">
        <is>
          <t>Moneda Reino Unido 10 Pence 2012</t>
        </is>
      </c>
      <c r="C556" s="0">
        <f>LEN(INDIRECT(ADDRESS(ROW() + (0),COLUMN() + (-1))))</f>
        <v/>
      </c>
      <c r="D556" s="0" t="inlineStr">
        <is>
          <t>Usado</t>
        </is>
      </c>
      <c r="E556" s="38" t="inlineStr">
        <is>
          <t>https://numismaticapopper.com/images/1208A.jpeg,https://numismaticapopper.com/images/1208B.jpeg</t>
        </is>
      </c>
      <c r="F556" t="inlineStr">
        <is>
          <t>1208</t>
        </is>
      </c>
      <c r="G556" s="40" t="n">
        <v>1</v>
      </c>
      <c r="H556" t="n">
        <v>6000</v>
      </c>
      <c r="I556" t="inlineStr">
        <is>
          <t>Estado de conservacion: Excelente
Referencia de catalogo: KM# 1110d
Material: Acero</t>
        </is>
      </c>
      <c r="J556" s="31">
        <f>IF(INDIRECT(ADDRESS(ROW() + (0),COLUMN() + (1)))="Agregar cuotas", IF(("16%")="", "-", "16%"), IF(INDIRECT(ADDRESS(ROW() + (0),COLUMN() + (1)))="No agregar cuotas", IF(("16%")="", "-", "16%"), "-"))</f>
        <v/>
      </c>
      <c r="K556" s="0" t="inlineStr">
        <is>
          <t>No agregar cuotas</t>
        </is>
      </c>
      <c r="L556" s="31">
        <f>IF(INDIRECT(ADDRESS(ROW() + (0),COLUMN() + (-1)))="Agregar cuotas", IF(("13.4%")="", "Sin costo", "13.4%"), IF(INDIRECT(ADDRESS(ROW() + (0),COLUMN() + (-1)))="No agregar cuotas", IF(("")="", "Sin costo", ""), "-"))</f>
        <v/>
      </c>
      <c r="M556" s="0" t="inlineStr">
        <is>
          <t>Mercado Envíos</t>
        </is>
      </c>
      <c r="N556" s="0" t="inlineStr">
        <is>
          <t>A cargo del comprador</t>
        </is>
      </c>
      <c r="O556" s="0" t="inlineStr">
        <is>
          <t>Acepto</t>
        </is>
      </c>
      <c r="P556" s="47" t="inlineStr">
        <is>
          <t>Sin garantía</t>
        </is>
      </c>
      <c r="R556" s="0" t="inlineStr">
        <is>
          <t>Seleccionar</t>
        </is>
      </c>
      <c r="S556" s="0" t="inlineStr">
        <is>
          <t>No ofrezco</t>
        </is>
      </c>
      <c r="T556" t="n">
        <v>2012</v>
      </c>
      <c r="U556" s="0" t="inlineStr">
        <is>
          <t>Inglaterra</t>
        </is>
      </c>
      <c r="X556" s="0" t="inlineStr">
        <is>
          <t>Níquel</t>
        </is>
      </c>
      <c r="Z556" t="inlineStr">
        <is>
          <t>10 Pence</t>
        </is>
      </c>
      <c r="AA556" s="0" t="inlineStr">
        <is>
          <t>Dólar</t>
        </is>
      </c>
      <c r="AB5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6" s="53">
        <f>IF(OR(TRIM(INDIRECT("B"&amp;ROW())) &lt;&gt; "",TRIM(INDIRECT("A"&amp;ROW())) &lt;&gt; ""),AND(TRIM(INDIRECT("A"&amp;ROW())) &lt;&gt; "",TRIM(INDIRECT("D"&amp;ROW())) = "nuevo"),"")</f>
        <v/>
      </c>
    </row>
    <row r="557" ht="27.5" customHeight="1" s="62">
      <c r="B557" t="inlineStr">
        <is>
          <t>Moneda Reino Unido 1 Penny 2002</t>
        </is>
      </c>
      <c r="C557" s="0">
        <f>LEN(INDIRECT(ADDRESS(ROW() + (0),COLUMN() + (-1))))</f>
        <v/>
      </c>
      <c r="D557" s="0" t="inlineStr">
        <is>
          <t>Usado</t>
        </is>
      </c>
      <c r="E557" s="38" t="inlineStr">
        <is>
          <t>https://numismaticapopper.com/images/1213A.jpeg,https://numismaticapopper.com/images/1213B.jpeg</t>
        </is>
      </c>
      <c r="F557" t="inlineStr">
        <is>
          <t>1213</t>
        </is>
      </c>
      <c r="G557" s="40" t="n">
        <v>1</v>
      </c>
      <c r="H557" t="n">
        <v>4000</v>
      </c>
      <c r="I557" t="inlineStr">
        <is>
          <t>Estado de conservacion: Excelente
Referencia de catalogo: KM# 986
Material: Acero</t>
        </is>
      </c>
      <c r="J557" s="31">
        <f>IF(INDIRECT(ADDRESS(ROW() + (0),COLUMN() + (1)))="Agregar cuotas", IF(("16%")="", "-", "16%"), IF(INDIRECT(ADDRESS(ROW() + (0),COLUMN() + (1)))="No agregar cuotas", IF(("16%")="", "-", "16%"), "-"))</f>
        <v/>
      </c>
      <c r="K557" s="0" t="inlineStr">
        <is>
          <t>No agregar cuotas</t>
        </is>
      </c>
      <c r="L557" s="31">
        <f>IF(INDIRECT(ADDRESS(ROW() + (0),COLUMN() + (-1)))="Agregar cuotas", IF(("13.4%")="", "Sin costo", "13.4%"), IF(INDIRECT(ADDRESS(ROW() + (0),COLUMN() + (-1)))="No agregar cuotas", IF(("")="", "Sin costo", ""), "-"))</f>
        <v/>
      </c>
      <c r="M557" s="0" t="inlineStr">
        <is>
          <t>Mercado Envíos</t>
        </is>
      </c>
      <c r="N557" s="0" t="inlineStr">
        <is>
          <t>A cargo del comprador</t>
        </is>
      </c>
      <c r="O557" s="0" t="inlineStr">
        <is>
          <t>Acepto</t>
        </is>
      </c>
      <c r="P557" s="47" t="inlineStr">
        <is>
          <t>Sin garantía</t>
        </is>
      </c>
      <c r="R557" s="0" t="inlineStr">
        <is>
          <t>Seleccionar</t>
        </is>
      </c>
      <c r="S557" s="0" t="inlineStr">
        <is>
          <t>No ofrezco</t>
        </is>
      </c>
      <c r="T557" t="n">
        <v>2002</v>
      </c>
      <c r="U557" s="0" t="inlineStr">
        <is>
          <t>Inglaterra</t>
        </is>
      </c>
      <c r="X557" s="0" t="inlineStr">
        <is>
          <t>Níquel</t>
        </is>
      </c>
      <c r="Z557" t="inlineStr">
        <is>
          <t>1 Penny</t>
        </is>
      </c>
      <c r="AA557" s="0" t="inlineStr">
        <is>
          <t>Dólar</t>
        </is>
      </c>
      <c r="AB5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7" s="53">
        <f>IF(OR(TRIM(INDIRECT("B"&amp;ROW())) &lt;&gt; "",TRIM(INDIRECT("A"&amp;ROW())) &lt;&gt; ""),AND(TRIM(INDIRECT("A"&amp;ROW())) &lt;&gt; "",TRIM(INDIRECT("D"&amp;ROW())) = "nuevo"),"")</f>
        <v/>
      </c>
    </row>
    <row r="558" ht="27.5" customHeight="1" s="62">
      <c r="B558" t="inlineStr">
        <is>
          <t>Moneda Reino Unido 1 Penny 2004</t>
        </is>
      </c>
      <c r="C558" s="0">
        <f>LEN(INDIRECT(ADDRESS(ROW() + (0),COLUMN() + (-1))))</f>
        <v/>
      </c>
      <c r="D558" s="0" t="inlineStr">
        <is>
          <t>Usado</t>
        </is>
      </c>
      <c r="E558" s="38" t="inlineStr">
        <is>
          <t>https://numismaticapopper.com/images/1214A.jpeg,https://numismaticapopper.com/images/1214B.jpeg</t>
        </is>
      </c>
      <c r="F558" t="inlineStr">
        <is>
          <t>1214</t>
        </is>
      </c>
      <c r="G558" s="40" t="n">
        <v>1</v>
      </c>
      <c r="H558" t="n">
        <v>4000</v>
      </c>
      <c r="I558" t="inlineStr">
        <is>
          <t>Estado de conservacion: Excelente
Referencia de catalogo: KM# 986
Material: Acero</t>
        </is>
      </c>
      <c r="J558" s="31">
        <f>IF(INDIRECT(ADDRESS(ROW() + (0),COLUMN() + (1)))="Agregar cuotas", IF(("16%")="", "-", "16%"), IF(INDIRECT(ADDRESS(ROW() + (0),COLUMN() + (1)))="No agregar cuotas", IF(("16%")="", "-", "16%"), "-"))</f>
        <v/>
      </c>
      <c r="K558" s="0" t="inlineStr">
        <is>
          <t>No agregar cuotas</t>
        </is>
      </c>
      <c r="L558" s="31">
        <f>IF(INDIRECT(ADDRESS(ROW() + (0),COLUMN() + (-1)))="Agregar cuotas", IF(("13.4%")="", "Sin costo", "13.4%"), IF(INDIRECT(ADDRESS(ROW() + (0),COLUMN() + (-1)))="No agregar cuotas", IF(("")="", "Sin costo", ""), "-"))</f>
        <v/>
      </c>
      <c r="M558" s="0" t="inlineStr">
        <is>
          <t>Mercado Envíos</t>
        </is>
      </c>
      <c r="N558" s="0" t="inlineStr">
        <is>
          <t>A cargo del comprador</t>
        </is>
      </c>
      <c r="O558" s="0" t="inlineStr">
        <is>
          <t>Acepto</t>
        </is>
      </c>
      <c r="P558" s="47" t="inlineStr">
        <is>
          <t>Sin garantía</t>
        </is>
      </c>
      <c r="R558" s="0" t="inlineStr">
        <is>
          <t>Seleccionar</t>
        </is>
      </c>
      <c r="S558" s="0" t="inlineStr">
        <is>
          <t>No ofrezco</t>
        </is>
      </c>
      <c r="T558" t="n">
        <v>2004</v>
      </c>
      <c r="U558" s="0" t="inlineStr">
        <is>
          <t>Inglaterra</t>
        </is>
      </c>
      <c r="X558" s="0" t="inlineStr">
        <is>
          <t>Níquel</t>
        </is>
      </c>
      <c r="Z558" t="inlineStr">
        <is>
          <t>1 Penny</t>
        </is>
      </c>
      <c r="AA558" s="0" t="inlineStr">
        <is>
          <t>Dólar</t>
        </is>
      </c>
      <c r="AB5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8" s="53">
        <f>IF(OR(TRIM(INDIRECT("B"&amp;ROW())) &lt;&gt; "",TRIM(INDIRECT("A"&amp;ROW())) &lt;&gt; ""),AND(TRIM(INDIRECT("A"&amp;ROW())) &lt;&gt; "",TRIM(INDIRECT("D"&amp;ROW())) = "nuevo"),"")</f>
        <v/>
      </c>
    </row>
    <row r="559" ht="27.5" customHeight="1" s="62">
      <c r="B559" t="inlineStr">
        <is>
          <t>Moneda Reino Unido 1 Pound 2016</t>
        </is>
      </c>
      <c r="C559" s="0">
        <f>LEN(INDIRECT(ADDRESS(ROW() + (0),COLUMN() + (-1))))</f>
        <v/>
      </c>
      <c r="D559" s="0" t="inlineStr">
        <is>
          <t>Usado</t>
        </is>
      </c>
      <c r="E559" s="38" t="inlineStr">
        <is>
          <t>https://numismaticapopper.com/images/1215A.jpeg,https://numismaticapopper.com/images/1215B.jpeg</t>
        </is>
      </c>
      <c r="F559" t="inlineStr">
        <is>
          <t>1215</t>
        </is>
      </c>
      <c r="G559" s="40" t="n">
        <v>1</v>
      </c>
      <c r="H559" t="n">
        <v>7000</v>
      </c>
      <c r="I559" t="inlineStr">
        <is>
          <t>Estado de conservacion: Excelente
Referencia de catalogo: KM# 1378
Material: Bimetálica</t>
        </is>
      </c>
      <c r="J559" s="31">
        <f>IF(INDIRECT(ADDRESS(ROW() + (0),COLUMN() + (1)))="Agregar cuotas", IF(("16%")="", "-", "16%"), IF(INDIRECT(ADDRESS(ROW() + (0),COLUMN() + (1)))="No agregar cuotas", IF(("16%")="", "-", "16%"), "-"))</f>
        <v/>
      </c>
      <c r="K559" s="0" t="inlineStr">
        <is>
          <t>No agregar cuotas</t>
        </is>
      </c>
      <c r="L559" s="31">
        <f>IF(INDIRECT(ADDRESS(ROW() + (0),COLUMN() + (-1)))="Agregar cuotas", IF(("13.4%")="", "Sin costo", "13.4%"), IF(INDIRECT(ADDRESS(ROW() + (0),COLUMN() + (-1)))="No agregar cuotas", IF(("")="", "Sin costo", ""), "-"))</f>
        <v/>
      </c>
      <c r="M559" s="0" t="inlineStr">
        <is>
          <t>Mercado Envíos</t>
        </is>
      </c>
      <c r="N559" s="0" t="inlineStr">
        <is>
          <t>A cargo del comprador</t>
        </is>
      </c>
      <c r="O559" s="0" t="inlineStr">
        <is>
          <t>Acepto</t>
        </is>
      </c>
      <c r="P559" s="47" t="inlineStr">
        <is>
          <t>Sin garantía</t>
        </is>
      </c>
      <c r="R559" s="0" t="inlineStr">
        <is>
          <t>Seleccionar</t>
        </is>
      </c>
      <c r="S559" s="0" t="inlineStr">
        <is>
          <t>No ofrezco</t>
        </is>
      </c>
      <c r="T559" t="n">
        <v>2016</v>
      </c>
      <c r="U559" s="0" t="inlineStr">
        <is>
          <t>Inglaterra</t>
        </is>
      </c>
      <c r="X559" s="0" t="inlineStr">
        <is>
          <t>Níquel</t>
        </is>
      </c>
      <c r="Z559" t="inlineStr">
        <is>
          <t>1 Pound</t>
        </is>
      </c>
      <c r="AA559" s="0" t="inlineStr">
        <is>
          <t>Dólar</t>
        </is>
      </c>
      <c r="AB5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59" s="53">
        <f>IF(OR(TRIM(INDIRECT("B"&amp;ROW())) &lt;&gt; "",TRIM(INDIRECT("A"&amp;ROW())) &lt;&gt; ""),AND(TRIM(INDIRECT("A"&amp;ROW())) &lt;&gt; "",TRIM(INDIRECT("D"&amp;ROW())) = "nuevo"),"")</f>
        <v/>
      </c>
    </row>
    <row r="560" ht="27.5" customHeight="1" s="62">
      <c r="B560" t="inlineStr">
        <is>
          <t>Moneda Reino Unido 1 Pound 2018</t>
        </is>
      </c>
      <c r="C560" s="0">
        <f>LEN(INDIRECT(ADDRESS(ROW() + (0),COLUMN() + (-1))))</f>
        <v/>
      </c>
      <c r="D560" s="0" t="inlineStr">
        <is>
          <t>Usado</t>
        </is>
      </c>
      <c r="E560" s="38" t="inlineStr">
        <is>
          <t>https://numismaticapopper.com/images/1216A.jpeg,https://numismaticapopper.com/images/1216B.jpeg</t>
        </is>
      </c>
      <c r="F560" t="inlineStr">
        <is>
          <t>1216</t>
        </is>
      </c>
      <c r="G560" s="40" t="n">
        <v>1</v>
      </c>
      <c r="H560" t="n">
        <v>7000</v>
      </c>
      <c r="I560" t="inlineStr">
        <is>
          <t>Estado de conservacion: Excelente
Referencia de catalogo: KM# 1378
Material: Bimetálica</t>
        </is>
      </c>
      <c r="J560" s="31">
        <f>IF(INDIRECT(ADDRESS(ROW() + (0),COLUMN() + (1)))="Agregar cuotas", IF(("16%")="", "-", "16%"), IF(INDIRECT(ADDRESS(ROW() + (0),COLUMN() + (1)))="No agregar cuotas", IF(("16%")="", "-", "16%"), "-"))</f>
        <v/>
      </c>
      <c r="K560" s="0" t="inlineStr">
        <is>
          <t>No agregar cuotas</t>
        </is>
      </c>
      <c r="L560" s="31">
        <f>IF(INDIRECT(ADDRESS(ROW() + (0),COLUMN() + (-1)))="Agregar cuotas", IF(("13.4%")="", "Sin costo", "13.4%"), IF(INDIRECT(ADDRESS(ROW() + (0),COLUMN() + (-1)))="No agregar cuotas", IF(("")="", "Sin costo", ""), "-"))</f>
        <v/>
      </c>
      <c r="M560" s="0" t="inlineStr">
        <is>
          <t>Mercado Envíos</t>
        </is>
      </c>
      <c r="N560" s="0" t="inlineStr">
        <is>
          <t>A cargo del comprador</t>
        </is>
      </c>
      <c r="O560" s="0" t="inlineStr">
        <is>
          <t>Acepto</t>
        </is>
      </c>
      <c r="P560" s="47" t="inlineStr">
        <is>
          <t>Sin garantía</t>
        </is>
      </c>
      <c r="R560" s="0" t="inlineStr">
        <is>
          <t>Seleccionar</t>
        </is>
      </c>
      <c r="S560" s="0" t="inlineStr">
        <is>
          <t>No ofrezco</t>
        </is>
      </c>
      <c r="T560" t="n">
        <v>2018</v>
      </c>
      <c r="U560" s="0" t="inlineStr">
        <is>
          <t>Inglaterra</t>
        </is>
      </c>
      <c r="X560" s="0" t="inlineStr">
        <is>
          <t>Níquel</t>
        </is>
      </c>
      <c r="Z560" t="inlineStr">
        <is>
          <t>1 Pound</t>
        </is>
      </c>
      <c r="AA560" s="0" t="inlineStr">
        <is>
          <t>Dólar</t>
        </is>
      </c>
      <c r="AB5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0" s="53">
        <f>IF(OR(TRIM(INDIRECT("B"&amp;ROW())) &lt;&gt; "",TRIM(INDIRECT("A"&amp;ROW())) &lt;&gt; ""),AND(TRIM(INDIRECT("A"&amp;ROW())) &lt;&gt; "",TRIM(INDIRECT("D"&amp;ROW())) = "nuevo"),"")</f>
        <v/>
      </c>
    </row>
    <row r="561" ht="27.5" customHeight="1" s="62">
      <c r="B561" t="inlineStr">
        <is>
          <t>Moneda Argentina 2 Centavos 1885</t>
        </is>
      </c>
      <c r="C561" s="0">
        <f>LEN(INDIRECT(ADDRESS(ROW() + (0),COLUMN() + (-1))))</f>
        <v/>
      </c>
      <c r="D561" s="0" t="inlineStr">
        <is>
          <t>Usado</t>
        </is>
      </c>
      <c r="E561" s="38" t="inlineStr">
        <is>
          <t>https://numismaticapopper.com/images/1220A.jpeg,https://numismaticapopper.com/images/1220B.jpeg</t>
        </is>
      </c>
      <c r="F561" t="inlineStr">
        <is>
          <t>1220</t>
        </is>
      </c>
      <c r="G561" s="40" t="n">
        <v>1</v>
      </c>
      <c r="H561" t="n">
        <v>13000</v>
      </c>
      <c r="I561" t="inlineStr">
        <is>
          <t>Estado de conservacion: Muy Buena -
Referencia de catalogo: KM# 33
Material: Bronce
Peso: 10 g
Diametro: 30 mm
Tirada: 3065000</t>
        </is>
      </c>
      <c r="J561" s="31">
        <f>IF(INDIRECT(ADDRESS(ROW() + (0),COLUMN() + (1)))="Agregar cuotas", IF(("16%")="", "-", "16%"), IF(INDIRECT(ADDRESS(ROW() + (0),COLUMN() + (1)))="No agregar cuotas", IF(("16%")="", "-", "16%"), "-"))</f>
        <v/>
      </c>
      <c r="K561" s="0" t="inlineStr">
        <is>
          <t>No agregar cuotas</t>
        </is>
      </c>
      <c r="L561" s="31">
        <f>IF(INDIRECT(ADDRESS(ROW() + (0),COLUMN() + (-1)))="Agregar cuotas", IF(("13.4%")="", "Sin costo", "13.4%"), IF(INDIRECT(ADDRESS(ROW() + (0),COLUMN() + (-1)))="No agregar cuotas", IF(("")="", "Sin costo", ""), "-"))</f>
        <v/>
      </c>
      <c r="M561" s="0" t="inlineStr">
        <is>
          <t>Mercado Envíos</t>
        </is>
      </c>
      <c r="N561" s="0" t="inlineStr">
        <is>
          <t>A cargo del comprador</t>
        </is>
      </c>
      <c r="O561" s="0" t="inlineStr">
        <is>
          <t>Acepto</t>
        </is>
      </c>
      <c r="P561" s="47" t="inlineStr">
        <is>
          <t>Sin garantía</t>
        </is>
      </c>
      <c r="R561" s="0" t="inlineStr">
        <is>
          <t>Seleccionar</t>
        </is>
      </c>
      <c r="S561" s="0" t="inlineStr">
        <is>
          <t>No ofrezco</t>
        </is>
      </c>
      <c r="T561" t="n">
        <v>1885</v>
      </c>
      <c r="U561" s="0" t="inlineStr">
        <is>
          <t>Argentina</t>
        </is>
      </c>
      <c r="X561" s="0" t="inlineStr">
        <is>
          <t>Bronce</t>
        </is>
      </c>
      <c r="Z561" t="inlineStr">
        <is>
          <t>2 Centavos</t>
        </is>
      </c>
      <c r="AA561" s="0" t="inlineStr">
        <is>
          <t>Peso</t>
        </is>
      </c>
      <c r="AB5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1" s="53">
        <f>IF(OR(TRIM(INDIRECT("B"&amp;ROW())) &lt;&gt; "",TRIM(INDIRECT("A"&amp;ROW())) &lt;&gt; ""),AND(TRIM(INDIRECT("A"&amp;ROW())) &lt;&gt; "",TRIM(INDIRECT("D"&amp;ROW())) = "nuevo"),"")</f>
        <v/>
      </c>
    </row>
    <row r="562" ht="27.5" customHeight="1" s="62">
      <c r="B562" t="inlineStr">
        <is>
          <t>Moneda Argentina 2 Centavos 1889</t>
        </is>
      </c>
      <c r="C562" s="0">
        <f>LEN(INDIRECT(ADDRESS(ROW() + (0),COLUMN() + (-1))))</f>
        <v/>
      </c>
      <c r="D562" s="0" t="inlineStr">
        <is>
          <t>Usado</t>
        </is>
      </c>
      <c r="E562" s="38" t="inlineStr">
        <is>
          <t>https://numismaticapopper.com/images/1221A.jpeg,https://numismaticapopper.com/images/1221B.jpeg</t>
        </is>
      </c>
      <c r="F562" t="inlineStr">
        <is>
          <t>1221</t>
        </is>
      </c>
      <c r="G562" s="40" t="n">
        <v>1</v>
      </c>
      <c r="H562" t="n">
        <v>7000</v>
      </c>
      <c r="I562" t="inlineStr">
        <is>
          <t>Estado de conservacion: Buena
Referencia de catalogo: KM# 33
Material: Bronce
Peso: 10 g
Diametro: 30 mm
Tirada: 2391000</t>
        </is>
      </c>
      <c r="J562" s="31">
        <f>IF(INDIRECT(ADDRESS(ROW() + (0),COLUMN() + (1)))="Agregar cuotas", IF(("16%")="", "-", "16%"), IF(INDIRECT(ADDRESS(ROW() + (0),COLUMN() + (1)))="No agregar cuotas", IF(("16%")="", "-", "16%"), "-"))</f>
        <v/>
      </c>
      <c r="K562" s="0" t="inlineStr">
        <is>
          <t>No agregar cuotas</t>
        </is>
      </c>
      <c r="L562" s="31">
        <f>IF(INDIRECT(ADDRESS(ROW() + (0),COLUMN() + (-1)))="Agregar cuotas", IF(("13.4%")="", "Sin costo", "13.4%"), IF(INDIRECT(ADDRESS(ROW() + (0),COLUMN() + (-1)))="No agregar cuotas", IF(("")="", "Sin costo", ""), "-"))</f>
        <v/>
      </c>
      <c r="M562" s="0" t="inlineStr">
        <is>
          <t>Mercado Envíos</t>
        </is>
      </c>
      <c r="N562" s="0" t="inlineStr">
        <is>
          <t>A cargo del comprador</t>
        </is>
      </c>
      <c r="O562" s="0" t="inlineStr">
        <is>
          <t>Acepto</t>
        </is>
      </c>
      <c r="P562" s="47" t="inlineStr">
        <is>
          <t>Sin garantía</t>
        </is>
      </c>
      <c r="R562" s="0" t="inlineStr">
        <is>
          <t>Seleccionar</t>
        </is>
      </c>
      <c r="S562" s="0" t="inlineStr">
        <is>
          <t>No ofrezco</t>
        </is>
      </c>
      <c r="T562" t="n">
        <v>1889</v>
      </c>
      <c r="U562" s="0" t="inlineStr">
        <is>
          <t>Argentina</t>
        </is>
      </c>
      <c r="X562" s="0" t="inlineStr">
        <is>
          <t>Bronce</t>
        </is>
      </c>
      <c r="Z562" t="inlineStr">
        <is>
          <t>2 Centavos</t>
        </is>
      </c>
      <c r="AA562" s="0" t="inlineStr">
        <is>
          <t>Peso</t>
        </is>
      </c>
      <c r="AB5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2" s="53">
        <f>IF(OR(TRIM(INDIRECT("B"&amp;ROW())) &lt;&gt; "",TRIM(INDIRECT("A"&amp;ROW())) &lt;&gt; ""),AND(TRIM(INDIRECT("A"&amp;ROW())) &lt;&gt; "",TRIM(INDIRECT("D"&amp;ROW())) = "nuevo"),"")</f>
        <v/>
      </c>
    </row>
    <row r="563" ht="27.5" customHeight="1" s="62">
      <c r="B563" t="inlineStr">
        <is>
          <t>Moneda Argentina 2 Centavos 1891</t>
        </is>
      </c>
      <c r="C563" s="0">
        <f>LEN(INDIRECT(ADDRESS(ROW() + (0),COLUMN() + (-1))))</f>
        <v/>
      </c>
      <c r="D563" s="0" t="inlineStr">
        <is>
          <t>Usado</t>
        </is>
      </c>
      <c r="E563" s="38" t="inlineStr">
        <is>
          <t>https://numismaticapopper.com/images/1223A.jpeg,https://numismaticapopper.com/images/1223B.jpeg</t>
        </is>
      </c>
      <c r="F563" t="inlineStr">
        <is>
          <t>1223</t>
        </is>
      </c>
      <c r="G563" s="40" t="n">
        <v>1</v>
      </c>
      <c r="H563" t="n">
        <v>7000</v>
      </c>
      <c r="I563" t="inlineStr">
        <is>
          <t>Estado de conservacion: Buena +
Referencia de catalogo: KM# 33
Material: Bronce
Peso: 10 g
Diametro: 30 mm</t>
        </is>
      </c>
      <c r="J563" s="31">
        <f>IF(INDIRECT(ADDRESS(ROW() + (0),COLUMN() + (1)))="Agregar cuotas", IF(("16%")="", "-", "16%"), IF(INDIRECT(ADDRESS(ROW() + (0),COLUMN() + (1)))="No agregar cuotas", IF(("16%")="", "-", "16%"), "-"))</f>
        <v/>
      </c>
      <c r="K563" s="0" t="inlineStr">
        <is>
          <t>No agregar cuotas</t>
        </is>
      </c>
      <c r="L563" s="31">
        <f>IF(INDIRECT(ADDRESS(ROW() + (0),COLUMN() + (-1)))="Agregar cuotas", IF(("13.4%")="", "Sin costo", "13.4%"), IF(INDIRECT(ADDRESS(ROW() + (0),COLUMN() + (-1)))="No agregar cuotas", IF(("")="", "Sin costo", ""), "-"))</f>
        <v/>
      </c>
      <c r="M563" s="0" t="inlineStr">
        <is>
          <t>Mercado Envíos</t>
        </is>
      </c>
      <c r="N563" s="0" t="inlineStr">
        <is>
          <t>A cargo del comprador</t>
        </is>
      </c>
      <c r="O563" s="0" t="inlineStr">
        <is>
          <t>Acepto</t>
        </is>
      </c>
      <c r="P563" s="47" t="inlineStr">
        <is>
          <t>Sin garantía</t>
        </is>
      </c>
      <c r="R563" s="0" t="inlineStr">
        <is>
          <t>Seleccionar</t>
        </is>
      </c>
      <c r="S563" s="0" t="inlineStr">
        <is>
          <t>No ofrezco</t>
        </is>
      </c>
      <c r="T563" t="n">
        <v>1891</v>
      </c>
      <c r="U563" s="0" t="inlineStr">
        <is>
          <t>Argentina</t>
        </is>
      </c>
      <c r="X563" s="0" t="inlineStr">
        <is>
          <t>Bronce</t>
        </is>
      </c>
      <c r="Z563" t="inlineStr">
        <is>
          <t>2 Centavos</t>
        </is>
      </c>
      <c r="AA563" s="0" t="inlineStr">
        <is>
          <t>Peso</t>
        </is>
      </c>
      <c r="AB5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3" s="53">
        <f>IF(OR(TRIM(INDIRECT("B"&amp;ROW())) &lt;&gt; "",TRIM(INDIRECT("A"&amp;ROW())) &lt;&gt; ""),AND(TRIM(INDIRECT("A"&amp;ROW())) &lt;&gt; "",TRIM(INDIRECT("D"&amp;ROW())) = "nuevo"),"")</f>
        <v/>
      </c>
    </row>
    <row r="564" ht="27.5" customHeight="1" s="62">
      <c r="B564" t="inlineStr">
        <is>
          <t>Moneda China 10 Yuan Año del Perro 2018</t>
        </is>
      </c>
      <c r="C564" s="0">
        <f>LEN(INDIRECT(ADDRESS(ROW() + (0),COLUMN() + (-1))))</f>
        <v/>
      </c>
      <c r="D564" s="0" t="inlineStr">
        <is>
          <t>Usado</t>
        </is>
      </c>
      <c r="E564" s="38" t="inlineStr">
        <is>
          <t>https://numismaticapopper.com/images/1227A.jpeg,https://numismaticapopper.com/images/1227B.jpeg</t>
        </is>
      </c>
      <c r="F564" t="inlineStr">
        <is>
          <t>1227</t>
        </is>
      </c>
      <c r="G564" s="40" t="n">
        <v>1</v>
      </c>
      <c r="H564" t="n">
        <v>13000</v>
      </c>
      <c r="I564" t="inlineStr">
        <is>
          <t>Estado de conservacion: Sin Circular
Referencia de catalogo: KM# 2390
Material: Bimetálica
Peso: 9.2 g
Diametro: 27 mm
Zodíaco Chino - Año del Perro. Bimetálica con centro de cuproníquel y anillo de latón.</t>
        </is>
      </c>
      <c r="J564" s="31">
        <f>IF(INDIRECT(ADDRESS(ROW() + (0),COLUMN() + (1)))="Agregar cuotas", IF(("16%")="", "-", "16%"), IF(INDIRECT(ADDRESS(ROW() + (0),COLUMN() + (1)))="No agregar cuotas", IF(("16%")="", "-", "16%"), "-"))</f>
        <v/>
      </c>
      <c r="K564" s="0" t="inlineStr">
        <is>
          <t>No agregar cuotas</t>
        </is>
      </c>
      <c r="L564" s="31">
        <f>IF(INDIRECT(ADDRESS(ROW() + (0),COLUMN() + (-1)))="Agregar cuotas", IF(("13.4%")="", "Sin costo", "13.4%"), IF(INDIRECT(ADDRESS(ROW() + (0),COLUMN() + (-1)))="No agregar cuotas", IF(("")="", "Sin costo", ""), "-"))</f>
        <v/>
      </c>
      <c r="M564" s="0" t="inlineStr">
        <is>
          <t>Mercado Envíos</t>
        </is>
      </c>
      <c r="N564" s="0" t="inlineStr">
        <is>
          <t>A cargo del comprador</t>
        </is>
      </c>
      <c r="O564" s="0" t="inlineStr">
        <is>
          <t>Acepto</t>
        </is>
      </c>
      <c r="P564" s="47" t="inlineStr">
        <is>
          <t>Sin garantía</t>
        </is>
      </c>
      <c r="R564" s="0" t="inlineStr">
        <is>
          <t>Seleccionar</t>
        </is>
      </c>
      <c r="S564" s="0" t="inlineStr">
        <is>
          <t>No ofrezco</t>
        </is>
      </c>
      <c r="T564" t="n">
        <v>2018</v>
      </c>
      <c r="U564" s="0" t="inlineStr">
        <is>
          <t>China</t>
        </is>
      </c>
      <c r="X564" s="0" t="inlineStr">
        <is>
          <t>Níquel</t>
        </is>
      </c>
      <c r="Z564" t="inlineStr">
        <is>
          <t>10 Yuan Año del Perro</t>
        </is>
      </c>
      <c r="AA564" s="0" t="inlineStr">
        <is>
          <t>Yuan</t>
        </is>
      </c>
      <c r="AB5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4" s="53">
        <f>IF(OR(TRIM(INDIRECT("B"&amp;ROW())) &lt;&gt; "",TRIM(INDIRECT("A"&amp;ROW())) &lt;&gt; ""),AND(TRIM(INDIRECT("A"&amp;ROW())) &lt;&gt; "",TRIM(INDIRECT("D"&amp;ROW())) = "nuevo"),"")</f>
        <v/>
      </c>
    </row>
    <row r="565" ht="27.5" customHeight="1" s="62">
      <c r="B565" t="inlineStr">
        <is>
          <t>Moneda Sri Lanka 20 Rupees Banco Central 2020</t>
        </is>
      </c>
      <c r="C565" s="0">
        <f>LEN(INDIRECT(ADDRESS(ROW() + (0),COLUMN() + (-1))))</f>
        <v/>
      </c>
      <c r="D565" s="0" t="inlineStr">
        <is>
          <t>Usado</t>
        </is>
      </c>
      <c r="E565" s="38" t="inlineStr">
        <is>
          <t>https://numismaticapopper.com/images/1231A.jpeg,https://numismaticapopper.com/images/1231B.jpeg</t>
        </is>
      </c>
      <c r="F565" t="inlineStr">
        <is>
          <t>1231</t>
        </is>
      </c>
      <c r="G565" s="40" t="n">
        <v>1</v>
      </c>
      <c r="H565" t="n">
        <v>13000</v>
      </c>
      <c r="I565" t="inlineStr">
        <is>
          <t>Estado de conservacion: Sin Circular
Referencia de catalogo: KM# 226
Material: Acero niquelado
Peso: 8.2 g
Diametro: 28 mm
Tirada: 5000000
70° Aniversario del Banco Central de Sri Lanka (1950-2020). Sede central y tres monedas alegóricas.</t>
        </is>
      </c>
      <c r="J565" s="31">
        <f>IF(INDIRECT(ADDRESS(ROW() + (0),COLUMN() + (1)))="Agregar cuotas", IF(("16%")="", "-", "16%"), IF(INDIRECT(ADDRESS(ROW() + (0),COLUMN() + (1)))="No agregar cuotas", IF(("16%")="", "-", "16%"), "-"))</f>
        <v/>
      </c>
      <c r="K565" s="0" t="inlineStr">
        <is>
          <t>No agregar cuotas</t>
        </is>
      </c>
      <c r="L565" s="31">
        <f>IF(INDIRECT(ADDRESS(ROW() + (0),COLUMN() + (-1)))="Agregar cuotas", IF(("13.4%")="", "Sin costo", "13.4%"), IF(INDIRECT(ADDRESS(ROW() + (0),COLUMN() + (-1)))="No agregar cuotas", IF(("")="", "Sin costo", ""), "-"))</f>
        <v/>
      </c>
      <c r="M565" s="0" t="inlineStr">
        <is>
          <t>Mercado Envíos</t>
        </is>
      </c>
      <c r="N565" s="0" t="inlineStr">
        <is>
          <t>A cargo del comprador</t>
        </is>
      </c>
      <c r="O565" s="0" t="inlineStr">
        <is>
          <t>Acepto</t>
        </is>
      </c>
      <c r="P565" s="47" t="inlineStr">
        <is>
          <t>Sin garantía</t>
        </is>
      </c>
      <c r="R565" s="0" t="inlineStr">
        <is>
          <t>Seleccionar</t>
        </is>
      </c>
      <c r="S565" s="0" t="inlineStr">
        <is>
          <t>No ofrezco</t>
        </is>
      </c>
      <c r="T565" t="n">
        <v>2020</v>
      </c>
      <c r="U565" s="0" t="inlineStr">
        <is>
          <t>Inglaterra</t>
        </is>
      </c>
      <c r="X565" s="0" t="inlineStr">
        <is>
          <t>Níquel</t>
        </is>
      </c>
      <c r="Z565" t="inlineStr">
        <is>
          <t>20 Rupees Banco Central</t>
        </is>
      </c>
      <c r="AA565" s="0" t="inlineStr">
        <is>
          <t>Dólar</t>
        </is>
      </c>
      <c r="AB5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5" s="53">
        <f>IF(OR(TRIM(INDIRECT("B"&amp;ROW())) &lt;&gt; "",TRIM(INDIRECT("A"&amp;ROW())) &lt;&gt; ""),AND(TRIM(INDIRECT("A"&amp;ROW())) &lt;&gt; "",TRIM(INDIRECT("D"&amp;ROW())) = "nuevo"),"")</f>
        <v/>
      </c>
    </row>
    <row r="566" ht="27.5" customHeight="1" s="62">
      <c r="B566" t="inlineStr">
        <is>
          <t>Moneda China 5 Yuan Ópera de Pekín 2023</t>
        </is>
      </c>
      <c r="C566" s="0">
        <f>LEN(INDIRECT(ADDRESS(ROW() + (0),COLUMN() + (-1))))</f>
        <v/>
      </c>
      <c r="D566" s="0" t="inlineStr">
        <is>
          <t>Usado</t>
        </is>
      </c>
      <c r="E566" s="38" t="inlineStr">
        <is>
          <t>https://numismaticapopper.com/images/1234A.jpeg,https://numismaticapopper.com/images/1234B.jpeg</t>
        </is>
      </c>
      <c r="F566" t="inlineStr">
        <is>
          <t>1234</t>
        </is>
      </c>
      <c r="G566" s="40" t="n">
        <v>1</v>
      </c>
      <c r="H566" t="n">
        <v>14000</v>
      </c>
      <c r="I566" t="inlineStr">
        <is>
          <t>Estado de conservacion: Sin Circular
Referencia de catalogo: KM# 2841
Material: Latón
Peso: 13.1 g
Diametro: 30 mm
Arte de la Ópera Tradicional China de Pekín - Personaje emblemático Sheng (rol masculino).</t>
        </is>
      </c>
      <c r="J566" s="31">
        <f>IF(INDIRECT(ADDRESS(ROW() + (0),COLUMN() + (1)))="Agregar cuotas", IF(("16%")="", "-", "16%"), IF(INDIRECT(ADDRESS(ROW() + (0),COLUMN() + (1)))="No agregar cuotas", IF(("16%")="", "-", "16%"), "-"))</f>
        <v/>
      </c>
      <c r="K566" s="0" t="inlineStr">
        <is>
          <t>No agregar cuotas</t>
        </is>
      </c>
      <c r="L566" s="31">
        <f>IF(INDIRECT(ADDRESS(ROW() + (0),COLUMN() + (-1)))="Agregar cuotas", IF(("13.4%")="", "Sin costo", "13.4%"), IF(INDIRECT(ADDRESS(ROW() + (0),COLUMN() + (-1)))="No agregar cuotas", IF(("")="", "Sin costo", ""), "-"))</f>
        <v/>
      </c>
      <c r="M566" s="0" t="inlineStr">
        <is>
          <t>Mercado Envíos</t>
        </is>
      </c>
      <c r="N566" s="0" t="inlineStr">
        <is>
          <t>A cargo del comprador</t>
        </is>
      </c>
      <c r="O566" s="0" t="inlineStr">
        <is>
          <t>Acepto</t>
        </is>
      </c>
      <c r="P566" s="47" t="inlineStr">
        <is>
          <t>Sin garantía</t>
        </is>
      </c>
      <c r="R566" s="0" t="inlineStr">
        <is>
          <t>Seleccionar</t>
        </is>
      </c>
      <c r="S566" s="0" t="inlineStr">
        <is>
          <t>No ofrezco</t>
        </is>
      </c>
      <c r="T566" t="n">
        <v>2023</v>
      </c>
      <c r="U566" s="0" t="inlineStr">
        <is>
          <t>China</t>
        </is>
      </c>
      <c r="X566" s="0" t="inlineStr">
        <is>
          <t>Bronce</t>
        </is>
      </c>
      <c r="Z566" t="inlineStr">
        <is>
          <t>5 Yuan Ópera de Pekín</t>
        </is>
      </c>
      <c r="AA566" s="0" t="inlineStr">
        <is>
          <t>Yuan</t>
        </is>
      </c>
      <c r="AB5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6" s="53">
        <f>IF(OR(TRIM(INDIRECT("B"&amp;ROW())) &lt;&gt; "",TRIM(INDIRECT("A"&amp;ROW())) &lt;&gt; ""),AND(TRIM(INDIRECT("A"&amp;ROW())) &lt;&gt; "",TRIM(INDIRECT("D"&amp;ROW())) = "nuevo"),"")</f>
        <v/>
      </c>
    </row>
    <row r="567" ht="27.5" customHeight="1" s="62">
      <c r="B567" t="inlineStr">
        <is>
          <t>Moneda Samoa 1 Sene Lori Corona Azul 2020</t>
        </is>
      </c>
      <c r="C567" s="0">
        <f>LEN(INDIRECT(ADDRESS(ROW() + (0),COLUMN() + (-1))))</f>
        <v/>
      </c>
      <c r="D567" s="0" t="inlineStr">
        <is>
          <t>Usado</t>
        </is>
      </c>
      <c r="E567" s="38" t="inlineStr">
        <is>
          <t>https://numismaticapopper.com/images/1235A.jpeg,https://numismaticapopper.com/images/1235B.jpeg</t>
        </is>
      </c>
      <c r="F567" t="inlineStr">
        <is>
          <t>1235</t>
        </is>
      </c>
      <c r="G567" s="40" t="n">
        <v>1</v>
      </c>
      <c r="H567" t="n">
        <v>10000</v>
      </c>
      <c r="I567" t="inlineStr">
        <is>
          <t>Estado de conservacion: Sin Circular
Referencia de catalogo: KM# 504
Material: Aluminio
Peso: 0.72 g
Diametro: 14 mm
Serie Aves de Samoa - Lori corona azul (Vini australis). Anverso con el escudo nacional de Samoa.</t>
        </is>
      </c>
      <c r="J567" s="31">
        <f>IF(INDIRECT(ADDRESS(ROW() + (0),COLUMN() + (1)))="Agregar cuotas", IF(("16%")="", "-", "16%"), IF(INDIRECT(ADDRESS(ROW() + (0),COLUMN() + (1)))="No agregar cuotas", IF(("16%")="", "-", "16%"), "-"))</f>
        <v/>
      </c>
      <c r="K567" s="0" t="inlineStr">
        <is>
          <t>No agregar cuotas</t>
        </is>
      </c>
      <c r="L567" s="31">
        <f>IF(INDIRECT(ADDRESS(ROW() + (0),COLUMN() + (-1)))="Agregar cuotas", IF(("13.4%")="", "Sin costo", "13.4%"), IF(INDIRECT(ADDRESS(ROW() + (0),COLUMN() + (-1)))="No agregar cuotas", IF(("")="", "Sin costo", ""), "-"))</f>
        <v/>
      </c>
      <c r="M567" s="0" t="inlineStr">
        <is>
          <t>Mercado Envíos</t>
        </is>
      </c>
      <c r="N567" s="0" t="inlineStr">
        <is>
          <t>A cargo del comprador</t>
        </is>
      </c>
      <c r="O567" s="0" t="inlineStr">
        <is>
          <t>Acepto</t>
        </is>
      </c>
      <c r="P567" s="47" t="inlineStr">
        <is>
          <t>Sin garantía</t>
        </is>
      </c>
      <c r="R567" s="0" t="inlineStr">
        <is>
          <t>Seleccionar</t>
        </is>
      </c>
      <c r="S567" s="0" t="inlineStr">
        <is>
          <t>No ofrezco</t>
        </is>
      </c>
      <c r="T567" t="n">
        <v>2020</v>
      </c>
      <c r="U567" s="0" t="inlineStr">
        <is>
          <t>Inglaterra</t>
        </is>
      </c>
      <c r="X567" s="0" t="inlineStr">
        <is>
          <t>Níquel</t>
        </is>
      </c>
      <c r="Z567" t="inlineStr">
        <is>
          <t>1 Sene Lori Corona Azul</t>
        </is>
      </c>
      <c r="AA567" s="0" t="inlineStr">
        <is>
          <t>Dólar</t>
        </is>
      </c>
      <c r="AB5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7" s="53">
        <f>IF(OR(TRIM(INDIRECT("B"&amp;ROW())) &lt;&gt; "",TRIM(INDIRECT("A"&amp;ROW())) &lt;&gt; ""),AND(TRIM(INDIRECT("A"&amp;ROW())) &lt;&gt; "",TRIM(INDIRECT("D"&amp;ROW())) = "nuevo"),"")</f>
        <v/>
      </c>
    </row>
    <row r="568" ht="27.5" customHeight="1" s="62">
      <c r="B568" t="inlineStr">
        <is>
          <t>Moneda Canadá 5 Cents Centenario de la Confederación 1967</t>
        </is>
      </c>
      <c r="C568" s="0">
        <f>LEN(INDIRECT(ADDRESS(ROW() + (0),COLUMN() + (-1))))</f>
        <v/>
      </c>
      <c r="D568" s="0" t="inlineStr">
        <is>
          <t>Usado</t>
        </is>
      </c>
      <c r="E568" s="38" t="inlineStr">
        <is>
          <t>https://numismaticapopper.com/images/1237A.jpeg,https://numismaticapopper.com/images/1237B.jpeg</t>
        </is>
      </c>
      <c r="F568" t="inlineStr">
        <is>
          <t>1237</t>
        </is>
      </c>
      <c r="G568" s="40" t="n">
        <v>1</v>
      </c>
      <c r="H568" t="n">
        <v>9000</v>
      </c>
      <c r="I568" t="inlineStr">
        <is>
          <t>Estado de conservacion: Sin Circular
Referencia de catalogo: KM# 66
Material: Níquel
Peso: 4.54 g
Diametro: 21.21 mm
Tirada: 36876542
Centenario de la Confederación de Canadá (1867-1967). Liebre americana (conejo saltarín) diseño de Alex Colville y busto de la reina Isabel II.</t>
        </is>
      </c>
      <c r="J568" s="31">
        <f>IF(INDIRECT(ADDRESS(ROW() + (0),COLUMN() + (1)))="Agregar cuotas", IF(("16%")="", "-", "16%"), IF(INDIRECT(ADDRESS(ROW() + (0),COLUMN() + (1)))="No agregar cuotas", IF(("16%")="", "-", "16%"), "-"))</f>
        <v/>
      </c>
      <c r="K568" s="0" t="inlineStr">
        <is>
          <t>No agregar cuotas</t>
        </is>
      </c>
      <c r="L568" s="31">
        <f>IF(INDIRECT(ADDRESS(ROW() + (0),COLUMN() + (-1)))="Agregar cuotas", IF(("13.4%")="", "Sin costo", "13.4%"), IF(INDIRECT(ADDRESS(ROW() + (0),COLUMN() + (-1)))="No agregar cuotas", IF(("")="", "Sin costo", ""), "-"))</f>
        <v/>
      </c>
      <c r="M568" s="0" t="inlineStr">
        <is>
          <t>Mercado Envíos</t>
        </is>
      </c>
      <c r="N568" s="0" t="inlineStr">
        <is>
          <t>A cargo del comprador</t>
        </is>
      </c>
      <c r="O568" s="0" t="inlineStr">
        <is>
          <t>Acepto</t>
        </is>
      </c>
      <c r="P568" s="47" t="inlineStr">
        <is>
          <t>Sin garantía</t>
        </is>
      </c>
      <c r="R568" s="0" t="inlineStr">
        <is>
          <t>Seleccionar</t>
        </is>
      </c>
      <c r="S568" s="0" t="inlineStr">
        <is>
          <t>No ofrezco</t>
        </is>
      </c>
      <c r="T568" t="n">
        <v>1967</v>
      </c>
      <c r="U568" s="0" t="inlineStr">
        <is>
          <t>Canadá</t>
        </is>
      </c>
      <c r="X568" s="0" t="inlineStr">
        <is>
          <t>Níquel</t>
        </is>
      </c>
      <c r="Z568" t="inlineStr">
        <is>
          <t>5 Cents Centenario de la Confederación</t>
        </is>
      </c>
      <c r="AA568" s="0" t="inlineStr">
        <is>
          <t>Dólar</t>
        </is>
      </c>
      <c r="AB5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8" s="53">
        <f>IF(OR(TRIM(INDIRECT("B"&amp;ROW())) &lt;&gt; "",TRIM(INDIRECT("A"&amp;ROW())) &lt;&gt; ""),AND(TRIM(INDIRECT("A"&amp;ROW())) &lt;&gt; "",TRIM(INDIRECT("D"&amp;ROW())) = "nuevo"),"")</f>
        <v/>
      </c>
    </row>
    <row r="569" ht="27.5" customHeight="1" s="62">
      <c r="B569" t="inlineStr">
        <is>
          <t>Moneda Francia 5 Francs Pierre Mendès France 1992</t>
        </is>
      </c>
      <c r="C569" s="0">
        <f>LEN(INDIRECT(ADDRESS(ROW() + (0),COLUMN() + (-1))))</f>
        <v/>
      </c>
      <c r="D569" s="0" t="inlineStr">
        <is>
          <t>Usado</t>
        </is>
      </c>
      <c r="E569" s="38" t="inlineStr">
        <is>
          <t>https://numismaticapopper.com/images/1238A.jpeg,https://numismaticapopper.com/images/1238B.jpeg</t>
        </is>
      </c>
      <c r="F569" t="inlineStr">
        <is>
          <t>1238</t>
        </is>
      </c>
      <c r="G569" s="40" t="n">
        <v>1</v>
      </c>
      <c r="H569" t="n">
        <v>11000</v>
      </c>
      <c r="I569" t="inlineStr">
        <is>
          <t>Estado de conservacion: Sin Circular
Referencia de catalogo: KM# 1006
Material: Cuproníquel bañado en níquel
Peso: 10 g
Diametro: 29 mm
Tirada: 10000000
10° Aniversario del fallecimiento de Pierre Mendès France (1907-1982), Primer Ministro de Francia. Diseño de Émile Rousseau.</t>
        </is>
      </c>
      <c r="J569" s="31">
        <f>IF(INDIRECT(ADDRESS(ROW() + (0),COLUMN() + (1)))="Agregar cuotas", IF(("16%")="", "-", "16%"), IF(INDIRECT(ADDRESS(ROW() + (0),COLUMN() + (1)))="No agregar cuotas", IF(("16%")="", "-", "16%"), "-"))</f>
        <v/>
      </c>
      <c r="K569" s="0" t="inlineStr">
        <is>
          <t>No agregar cuotas</t>
        </is>
      </c>
      <c r="L569" s="31">
        <f>IF(INDIRECT(ADDRESS(ROW() + (0),COLUMN() + (-1)))="Agregar cuotas", IF(("13.4%")="", "Sin costo", "13.4%"), IF(INDIRECT(ADDRESS(ROW() + (0),COLUMN() + (-1)))="No agregar cuotas", IF(("")="", "Sin costo", ""), "-"))</f>
        <v/>
      </c>
      <c r="M569" s="0" t="inlineStr">
        <is>
          <t>Mercado Envíos</t>
        </is>
      </c>
      <c r="N569" s="0" t="inlineStr">
        <is>
          <t>A cargo del comprador</t>
        </is>
      </c>
      <c r="O569" s="0" t="inlineStr">
        <is>
          <t>Acepto</t>
        </is>
      </c>
      <c r="P569" s="47" t="inlineStr">
        <is>
          <t>Sin garantía</t>
        </is>
      </c>
      <c r="R569" s="0" t="inlineStr">
        <is>
          <t>Seleccionar</t>
        </is>
      </c>
      <c r="S569" s="0" t="inlineStr">
        <is>
          <t>No ofrezco</t>
        </is>
      </c>
      <c r="T569" t="n">
        <v>1992</v>
      </c>
      <c r="U569" s="0" t="inlineStr">
        <is>
          <t>Francia</t>
        </is>
      </c>
      <c r="X569" s="0" t="inlineStr">
        <is>
          <t>Níquel</t>
        </is>
      </c>
      <c r="Z569" t="inlineStr">
        <is>
          <t>5 Francs Pierre Mendès France</t>
        </is>
      </c>
      <c r="AA569" s="0" t="inlineStr">
        <is>
          <t>Euro</t>
        </is>
      </c>
      <c r="AB5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69" s="53">
        <f>IF(OR(TRIM(INDIRECT("B"&amp;ROW())) &lt;&gt; "",TRIM(INDIRECT("A"&amp;ROW())) &lt;&gt; ""),AND(TRIM(INDIRECT("A"&amp;ROW())) &lt;&gt; "",TRIM(INDIRECT("D"&amp;ROW())) = "nuevo"),"")</f>
        <v/>
      </c>
    </row>
    <row r="570" ht="27.5" customHeight="1" s="62">
      <c r="B570" t="inlineStr">
        <is>
          <t>Moneda Chile 100 Pesos 2025</t>
        </is>
      </c>
      <c r="C570" s="0">
        <f>LEN(INDIRECT(ADDRESS(ROW() + (0),COLUMN() + (-1))))</f>
        <v/>
      </c>
      <c r="D570" s="0" t="inlineStr">
        <is>
          <t>Usado</t>
        </is>
      </c>
      <c r="E570" s="38" t="inlineStr">
        <is>
          <t>https://numismaticapopper.com/images/1240A.jpeg,https://numismaticapopper.com/images/1240B.jpeg</t>
        </is>
      </c>
      <c r="F570" t="inlineStr">
        <is>
          <t>1240</t>
        </is>
      </c>
      <c r="G570" s="40" t="n">
        <v>1</v>
      </c>
      <c r="H570" t="n">
        <v>9000</v>
      </c>
      <c r="I570" t="inlineStr">
        <is>
          <t>Estado de conservacion: Sin Circular
Referencia de catalogo: KM# 236
Material: Bimetálica
Peso: 7.58 g
Diametro: 23.5 mm
Moneda bimetálica con mujer mapuche ('Pueblos Originarios') en el anverso y escudo nacional de Chile en el reverso.</t>
        </is>
      </c>
      <c r="J570" s="31">
        <f>IF(INDIRECT(ADDRESS(ROW() + (0),COLUMN() + (1)))="Agregar cuotas", IF(("16%")="", "-", "16%"), IF(INDIRECT(ADDRESS(ROW() + (0),COLUMN() + (1)))="No agregar cuotas", IF(("16%")="", "-", "16%"), "-"))</f>
        <v/>
      </c>
      <c r="K570" s="0" t="inlineStr">
        <is>
          <t>No agregar cuotas</t>
        </is>
      </c>
      <c r="L570" s="31">
        <f>IF(INDIRECT(ADDRESS(ROW() + (0),COLUMN() + (-1)))="Agregar cuotas", IF(("13.4%")="", "Sin costo", "13.4%"), IF(INDIRECT(ADDRESS(ROW() + (0),COLUMN() + (-1)))="No agregar cuotas", IF(("")="", "Sin costo", ""), "-"))</f>
        <v/>
      </c>
      <c r="M570" s="0" t="inlineStr">
        <is>
          <t>Mercado Envíos</t>
        </is>
      </c>
      <c r="N570" s="0" t="inlineStr">
        <is>
          <t>A cargo del comprador</t>
        </is>
      </c>
      <c r="O570" s="0" t="inlineStr">
        <is>
          <t>Acepto</t>
        </is>
      </c>
      <c r="P570" s="47" t="inlineStr">
        <is>
          <t>Sin garantía</t>
        </is>
      </c>
      <c r="R570" s="0" t="inlineStr">
        <is>
          <t>Seleccionar</t>
        </is>
      </c>
      <c r="S570" s="0" t="inlineStr">
        <is>
          <t>No ofrezco</t>
        </is>
      </c>
      <c r="T570" t="n">
        <v>2025</v>
      </c>
      <c r="U570" s="0" t="inlineStr">
        <is>
          <t>Chile</t>
        </is>
      </c>
      <c r="X570" s="0" t="inlineStr">
        <is>
          <t>Níquel</t>
        </is>
      </c>
      <c r="Z570" t="inlineStr">
        <is>
          <t>100 Pesos</t>
        </is>
      </c>
      <c r="AA570" s="0" t="inlineStr">
        <is>
          <t>Peso</t>
        </is>
      </c>
      <c r="AB5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0" s="53">
        <f>IF(OR(TRIM(INDIRECT("B"&amp;ROW())) &lt;&gt; "",TRIM(INDIRECT("A"&amp;ROW())) &lt;&gt; ""),AND(TRIM(INDIRECT("A"&amp;ROW())) &lt;&gt; "",TRIM(INDIRECT("D"&amp;ROW())) = "nuevo"),"")</f>
        <v/>
      </c>
    </row>
    <row r="571" ht="27.5" customHeight="1" s="62">
      <c r="B571" t="inlineStr">
        <is>
          <t>Moneda Canadá 25 Cents Día del Recuerdo (Amapola) 2004</t>
        </is>
      </c>
      <c r="C571" s="0">
        <f>LEN(INDIRECT(ADDRESS(ROW() + (0),COLUMN() + (-1))))</f>
        <v/>
      </c>
      <c r="D571" s="0" t="inlineStr">
        <is>
          <t>Usado</t>
        </is>
      </c>
      <c r="E571" s="38" t="inlineStr">
        <is>
          <t>https://numismaticapopper.com/images/1241A.jpeg,https://numismaticapopper.com/images/1241B.jpeg</t>
        </is>
      </c>
      <c r="F571" t="inlineStr">
        <is>
          <t>1241</t>
        </is>
      </c>
      <c r="G571" s="40" t="n">
        <v>1</v>
      </c>
      <c r="H571" t="n">
        <v>8000</v>
      </c>
      <c r="I571" t="inlineStr">
        <is>
          <t>Estado de conservacion: Sin Circular
Referencia de catalogo: KM# 510
Material: Acero niquelado
Peso: 4.4 g
Diametro: 23.9 mm
Tirada: 28500000
Día del Recuerdo (Remembrance Day) - Primera moneda de circulación coloreada del mundo, con la emblemática amapola roja ('Poppy').</t>
        </is>
      </c>
      <c r="J571" s="31">
        <f>IF(INDIRECT(ADDRESS(ROW() + (0),COLUMN() + (1)))="Agregar cuotas", IF(("16%")="", "-", "16%"), IF(INDIRECT(ADDRESS(ROW() + (0),COLUMN() + (1)))="No agregar cuotas", IF(("16%")="", "-", "16%"), "-"))</f>
        <v/>
      </c>
      <c r="K571" s="0" t="inlineStr">
        <is>
          <t>No agregar cuotas</t>
        </is>
      </c>
      <c r="L571" s="31">
        <f>IF(INDIRECT(ADDRESS(ROW() + (0),COLUMN() + (-1)))="Agregar cuotas", IF(("13.4%")="", "Sin costo", "13.4%"), IF(INDIRECT(ADDRESS(ROW() + (0),COLUMN() + (-1)))="No agregar cuotas", IF(("")="", "Sin costo", ""), "-"))</f>
        <v/>
      </c>
      <c r="M571" s="0" t="inlineStr">
        <is>
          <t>Mercado Envíos</t>
        </is>
      </c>
      <c r="N571" s="0" t="inlineStr">
        <is>
          <t>A cargo del comprador</t>
        </is>
      </c>
      <c r="O571" s="0" t="inlineStr">
        <is>
          <t>Acepto</t>
        </is>
      </c>
      <c r="P571" s="47" t="inlineStr">
        <is>
          <t>Sin garantía</t>
        </is>
      </c>
      <c r="R571" s="0" t="inlineStr">
        <is>
          <t>Seleccionar</t>
        </is>
      </c>
      <c r="S571" s="0" t="inlineStr">
        <is>
          <t>No ofrezco</t>
        </is>
      </c>
      <c r="T571" t="n">
        <v>2004</v>
      </c>
      <c r="U571" s="0" t="inlineStr">
        <is>
          <t>Canadá</t>
        </is>
      </c>
      <c r="X571" s="0" t="inlineStr">
        <is>
          <t>Níquel</t>
        </is>
      </c>
      <c r="Z571" t="inlineStr">
        <is>
          <t>25 Cents Día del Recuerdo (Amapola)</t>
        </is>
      </c>
      <c r="AA571" s="0" t="inlineStr">
        <is>
          <t>Dólar</t>
        </is>
      </c>
      <c r="AB5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1" s="53">
        <f>IF(OR(TRIM(INDIRECT("B"&amp;ROW())) &lt;&gt; "",TRIM(INDIRECT("A"&amp;ROW())) &lt;&gt; ""),AND(TRIM(INDIRECT("A"&amp;ROW())) &lt;&gt; "",TRIM(INDIRECT("D"&amp;ROW())) = "nuevo"),"")</f>
        <v/>
      </c>
    </row>
    <row r="572" ht="27.5" customHeight="1" s="62">
      <c r="B572" t="inlineStr">
        <is>
          <t>Moneda Isla de Pascua 1 Peso Moai 2021</t>
        </is>
      </c>
      <c r="C572" s="0">
        <f>LEN(INDIRECT(ADDRESS(ROW() + (0),COLUMN() + (-1))))</f>
        <v/>
      </c>
      <c r="D572" s="0" t="inlineStr">
        <is>
          <t>Usado</t>
        </is>
      </c>
      <c r="E572" s="38" t="inlineStr">
        <is>
          <t>https://numismaticapopper.com/images/1242A.jpeg,https://numismaticapopper.com/images/1242B.jpeg</t>
        </is>
      </c>
      <c r="F572" t="inlineStr">
        <is>
          <t>1242</t>
        </is>
      </c>
      <c r="G572" s="40" t="n">
        <v>1</v>
      </c>
      <c r="H572" t="n">
        <v>9000</v>
      </c>
      <c r="I572" t="inlineStr">
        <is>
          <t>Estado de conservacion: Sin Circular
Material: Cuproníquel
Peso: 2.2 g
Diametro: 14 mm
Moneda de Isla de Pascua (Rapa Nui). Escultura Moai en el reverso y mapa de la isla con la leyenda 'RAPANUI CHILE 2021' en el anverso.</t>
        </is>
      </c>
      <c r="J572" s="31">
        <f>IF(INDIRECT(ADDRESS(ROW() + (0),COLUMN() + (1)))="Agregar cuotas", IF(("16%")="", "-", "16%"), IF(INDIRECT(ADDRESS(ROW() + (0),COLUMN() + (1)))="No agregar cuotas", IF(("16%")="", "-", "16%"), "-"))</f>
        <v/>
      </c>
      <c r="K572" s="0" t="inlineStr">
        <is>
          <t>No agregar cuotas</t>
        </is>
      </c>
      <c r="L572" s="31">
        <f>IF(INDIRECT(ADDRESS(ROW() + (0),COLUMN() + (-1)))="Agregar cuotas", IF(("13.4%")="", "Sin costo", "13.4%"), IF(INDIRECT(ADDRESS(ROW() + (0),COLUMN() + (-1)))="No agregar cuotas", IF(("")="", "Sin costo", ""), "-"))</f>
        <v/>
      </c>
      <c r="M572" s="0" t="inlineStr">
        <is>
          <t>Mercado Envíos</t>
        </is>
      </c>
      <c r="N572" s="0" t="inlineStr">
        <is>
          <t>A cargo del comprador</t>
        </is>
      </c>
      <c r="O572" s="0" t="inlineStr">
        <is>
          <t>Acepto</t>
        </is>
      </c>
      <c r="P572" s="47" t="inlineStr">
        <is>
          <t>Sin garantía</t>
        </is>
      </c>
      <c r="R572" s="0" t="inlineStr">
        <is>
          <t>Seleccionar</t>
        </is>
      </c>
      <c r="S572" s="0" t="inlineStr">
        <is>
          <t>No ofrezco</t>
        </is>
      </c>
      <c r="T572" t="n">
        <v>2021</v>
      </c>
      <c r="U572" s="0" t="inlineStr">
        <is>
          <t>Chile</t>
        </is>
      </c>
      <c r="X572" s="0" t="inlineStr">
        <is>
          <t>Níquel</t>
        </is>
      </c>
      <c r="Z572" t="inlineStr">
        <is>
          <t>1 Peso Moai</t>
        </is>
      </c>
      <c r="AA572" s="0" t="inlineStr">
        <is>
          <t>Peso</t>
        </is>
      </c>
      <c r="AB5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2" s="53">
        <f>IF(OR(TRIM(INDIRECT("B"&amp;ROW())) &lt;&gt; "",TRIM(INDIRECT("A"&amp;ROW())) &lt;&gt; ""),AND(TRIM(INDIRECT("A"&amp;ROW())) &lt;&gt; "",TRIM(INDIRECT("D"&amp;ROW())) = "nuevo"),"")</f>
        <v/>
      </c>
    </row>
    <row r="573" ht="27.5" customHeight="1" s="62">
      <c r="B573" t="inlineStr">
        <is>
          <t>Moneda Canadá 2 Dólares Torre CN (Coloreada) 2026</t>
        </is>
      </c>
      <c r="C573" s="0">
        <f>LEN(INDIRECT(ADDRESS(ROW() + (0),COLUMN() + (-1))))</f>
        <v/>
      </c>
      <c r="D573" s="0" t="inlineStr">
        <is>
          <t>Usado</t>
        </is>
      </c>
      <c r="E573" s="38" t="inlineStr">
        <is>
          <t>https://numismaticapopper.com/images/1243A.jpeg,https://numismaticapopper.com/images/1243B.jpeg</t>
        </is>
      </c>
      <c r="F573" t="inlineStr">
        <is>
          <t>1243</t>
        </is>
      </c>
      <c r="G573" s="40" t="n">
        <v>1</v>
      </c>
      <c r="H573" t="n">
        <v>14000</v>
      </c>
      <c r="I573" t="inlineStr">
        <is>
          <t>Estado de conservacion: Sin Circular
Material: Bimetálica
Peso: 6.99 g
Diametro: 28.0 mm
Tirada: 2000000
50° Aniversario de la emblemática Torre CN de Toronto (1976-2026) con aplicación de color y efigie del rey Carlos III.</t>
        </is>
      </c>
      <c r="J573" s="31">
        <f>IF(INDIRECT(ADDRESS(ROW() + (0),COLUMN() + (1)))="Agregar cuotas", IF(("16%")="", "-", "16%"), IF(INDIRECT(ADDRESS(ROW() + (0),COLUMN() + (1)))="No agregar cuotas", IF(("16%")="", "-", "16%"), "-"))</f>
        <v/>
      </c>
      <c r="K573" s="0" t="inlineStr">
        <is>
          <t>No agregar cuotas</t>
        </is>
      </c>
      <c r="L573" s="31">
        <f>IF(INDIRECT(ADDRESS(ROW() + (0),COLUMN() + (-1)))="Agregar cuotas", IF(("13.4%")="", "Sin costo", "13.4%"), IF(INDIRECT(ADDRESS(ROW() + (0),COLUMN() + (-1)))="No agregar cuotas", IF(("")="", "Sin costo", ""), "-"))</f>
        <v/>
      </c>
      <c r="M573" s="0" t="inlineStr">
        <is>
          <t>Mercado Envíos</t>
        </is>
      </c>
      <c r="N573" s="0" t="inlineStr">
        <is>
          <t>A cargo del comprador</t>
        </is>
      </c>
      <c r="O573" s="0" t="inlineStr">
        <is>
          <t>Acepto</t>
        </is>
      </c>
      <c r="P573" s="47" t="inlineStr">
        <is>
          <t>Sin garantía</t>
        </is>
      </c>
      <c r="R573" s="0" t="inlineStr">
        <is>
          <t>Seleccionar</t>
        </is>
      </c>
      <c r="S573" s="0" t="inlineStr">
        <is>
          <t>No ofrezco</t>
        </is>
      </c>
      <c r="T573" t="n">
        <v>2026</v>
      </c>
      <c r="U573" s="0" t="inlineStr">
        <is>
          <t>Canadá</t>
        </is>
      </c>
      <c r="X573" s="0" t="inlineStr">
        <is>
          <t>Níquel</t>
        </is>
      </c>
      <c r="Z573" t="inlineStr">
        <is>
          <t>2 Dólares Torre CN (Coloreada)</t>
        </is>
      </c>
      <c r="AA573" s="0" t="inlineStr">
        <is>
          <t>Dólar</t>
        </is>
      </c>
      <c r="AB5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3" s="53">
        <f>IF(OR(TRIM(INDIRECT("B"&amp;ROW())) &lt;&gt; "",TRIM(INDIRECT("A"&amp;ROW())) &lt;&gt; ""),AND(TRIM(INDIRECT("A"&amp;ROW())) &lt;&gt; "",TRIM(INDIRECT("D"&amp;ROW())) = "nuevo"),"")</f>
        <v/>
      </c>
    </row>
    <row r="574" ht="27.5" customHeight="1" s="62">
      <c r="B574" t="inlineStr">
        <is>
          <t>Moneda China 5 Yuan Ópera de Pekín (Dan) 2024</t>
        </is>
      </c>
      <c r="C574" s="0">
        <f>LEN(INDIRECT(ADDRESS(ROW() + (0),COLUMN() + (-1))))</f>
        <v/>
      </c>
      <c r="D574" s="0" t="inlineStr">
        <is>
          <t>Usado</t>
        </is>
      </c>
      <c r="E574" s="38" t="inlineStr">
        <is>
          <t>https://numismaticapopper.com/images/1244A.jpeg,https://numismaticapopper.com/images/1244B.jpeg</t>
        </is>
      </c>
      <c r="F574" t="inlineStr">
        <is>
          <t>1244</t>
        </is>
      </c>
      <c r="G574" s="40" t="n">
        <v>1</v>
      </c>
      <c r="H574" t="n">
        <v>15000</v>
      </c>
      <c r="I574" t="inlineStr">
        <is>
          <t>Estado de conservacion: Sin Circular
Material: Latón
Peso: 13.1 g
Diametro: 30 mm
Serie Conmemorativa del Arte de la Ópera de Pekín - Personaje Dan (rol femenino) con aplicación de color.</t>
        </is>
      </c>
      <c r="J574" s="31">
        <f>IF(INDIRECT(ADDRESS(ROW() + (0),COLUMN() + (1)))="Agregar cuotas", IF(("16%")="", "-", "16%"), IF(INDIRECT(ADDRESS(ROW() + (0),COLUMN() + (1)))="No agregar cuotas", IF(("16%")="", "-", "16%"), "-"))</f>
        <v/>
      </c>
      <c r="K574" s="0" t="inlineStr">
        <is>
          <t>No agregar cuotas</t>
        </is>
      </c>
      <c r="L574" s="31">
        <f>IF(INDIRECT(ADDRESS(ROW() + (0),COLUMN() + (-1)))="Agregar cuotas", IF(("13.4%")="", "Sin costo", "13.4%"), IF(INDIRECT(ADDRESS(ROW() + (0),COLUMN() + (-1)))="No agregar cuotas", IF(("")="", "Sin costo", ""), "-"))</f>
        <v/>
      </c>
      <c r="M574" s="0" t="inlineStr">
        <is>
          <t>Mercado Envíos</t>
        </is>
      </c>
      <c r="N574" s="0" t="inlineStr">
        <is>
          <t>A cargo del comprador</t>
        </is>
      </c>
      <c r="O574" s="0" t="inlineStr">
        <is>
          <t>Acepto</t>
        </is>
      </c>
      <c r="P574" s="47" t="inlineStr">
        <is>
          <t>Sin garantía</t>
        </is>
      </c>
      <c r="R574" s="0" t="inlineStr">
        <is>
          <t>Seleccionar</t>
        </is>
      </c>
      <c r="S574" s="0" t="inlineStr">
        <is>
          <t>No ofrezco</t>
        </is>
      </c>
      <c r="T574" t="n">
        <v>2024</v>
      </c>
      <c r="U574" s="0" t="inlineStr">
        <is>
          <t>China</t>
        </is>
      </c>
      <c r="X574" s="0" t="inlineStr">
        <is>
          <t>Bronce</t>
        </is>
      </c>
      <c r="Z574" t="inlineStr">
        <is>
          <t>5 Yuan Ópera de Pekín (Dan)</t>
        </is>
      </c>
      <c r="AA574" s="0" t="inlineStr">
        <is>
          <t>Yuan</t>
        </is>
      </c>
      <c r="AB5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4" s="53">
        <f>IF(OR(TRIM(INDIRECT("B"&amp;ROW())) &lt;&gt; "",TRIM(INDIRECT("A"&amp;ROW())) &lt;&gt; ""),AND(TRIM(INDIRECT("A"&amp;ROW())) &lt;&gt; "",TRIM(INDIRECT("D"&amp;ROW())) = "nuevo"),"")</f>
        <v/>
      </c>
    </row>
    <row r="575" ht="27.5" customHeight="1" s="62">
      <c r="B575" t="inlineStr">
        <is>
          <t>Moneda Canadá 1 Dólar Centenario de Manitoba 1970</t>
        </is>
      </c>
      <c r="C575" s="0">
        <f>LEN(INDIRECT(ADDRESS(ROW() + (0),COLUMN() + (-1))))</f>
        <v/>
      </c>
      <c r="D575" s="0" t="inlineStr">
        <is>
          <t>Usado</t>
        </is>
      </c>
      <c r="E575" s="38" t="inlineStr">
        <is>
          <t>https://numismaticapopper.com/images/1245A.jpeg,https://numismaticapopper.com/images/1245B.jpeg</t>
        </is>
      </c>
      <c r="F575" t="inlineStr">
        <is>
          <t>1245</t>
        </is>
      </c>
      <c r="G575" s="40" t="n">
        <v>1</v>
      </c>
      <c r="H575" t="n">
        <v>11000</v>
      </c>
      <c r="I575" t="inlineStr">
        <is>
          <t>Estado de conservacion: Excelente +
Referencia de catalogo: KM# 78
Material: Níquel
Peso: 15.62 g
Diametro: 32.13 mm
Centenario de la creación de la provincia de Manitoba (1870-1970). Flor azafrán de las praderas (Prairie Crocus) y busto de la reina Isabel II.</t>
        </is>
      </c>
      <c r="J575" s="31">
        <f>IF(INDIRECT(ADDRESS(ROW() + (0),COLUMN() + (1)))="Agregar cuotas", IF(("16%")="", "-", "16%"), IF(INDIRECT(ADDRESS(ROW() + (0),COLUMN() + (1)))="No agregar cuotas", IF(("16%")="", "-", "16%"), "-"))</f>
        <v/>
      </c>
      <c r="K575" s="0" t="inlineStr">
        <is>
          <t>No agregar cuotas</t>
        </is>
      </c>
      <c r="L575" s="31">
        <f>IF(INDIRECT(ADDRESS(ROW() + (0),COLUMN() + (-1)))="Agregar cuotas", IF(("13.4%")="", "Sin costo", "13.4%"), IF(INDIRECT(ADDRESS(ROW() + (0),COLUMN() + (-1)))="No agregar cuotas", IF(("")="", "Sin costo", ""), "-"))</f>
        <v/>
      </c>
      <c r="M575" s="0" t="inlineStr">
        <is>
          <t>Mercado Envíos</t>
        </is>
      </c>
      <c r="N575" s="0" t="inlineStr">
        <is>
          <t>A cargo del comprador</t>
        </is>
      </c>
      <c r="O575" s="0" t="inlineStr">
        <is>
          <t>Acepto</t>
        </is>
      </c>
      <c r="P575" s="47" t="inlineStr">
        <is>
          <t>Sin garantía</t>
        </is>
      </c>
      <c r="R575" s="0" t="inlineStr">
        <is>
          <t>Seleccionar</t>
        </is>
      </c>
      <c r="S575" s="0" t="inlineStr">
        <is>
          <t>No ofrezco</t>
        </is>
      </c>
      <c r="T575" t="n">
        <v>1970</v>
      </c>
      <c r="U575" s="0" t="inlineStr">
        <is>
          <t>Canadá</t>
        </is>
      </c>
      <c r="X575" s="0" t="inlineStr">
        <is>
          <t>Níquel</t>
        </is>
      </c>
      <c r="Z575" t="inlineStr">
        <is>
          <t>1 Dólar Centenario de Manitoba</t>
        </is>
      </c>
      <c r="AA575" s="0" t="inlineStr">
        <is>
          <t>Dólar</t>
        </is>
      </c>
      <c r="AB5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5" s="53">
        <f>IF(OR(TRIM(INDIRECT("B"&amp;ROW())) &lt;&gt; "",TRIM(INDIRECT("A"&amp;ROW())) &lt;&gt; ""),AND(TRIM(INDIRECT("A"&amp;ROW())) &lt;&gt; "",TRIM(INDIRECT("D"&amp;ROW())) = "nuevo"),"")</f>
        <v/>
      </c>
    </row>
    <row r="576" ht="27.5" customHeight="1" s="62">
      <c r="B576" t="inlineStr">
        <is>
          <t>Moneda Canadá 1 Dólar Centenario de Columbia Británica 1971</t>
        </is>
      </c>
      <c r="C576" s="0">
        <f>LEN(INDIRECT(ADDRESS(ROW() + (0),COLUMN() + (-1))))</f>
        <v/>
      </c>
      <c r="D576" s="0" t="inlineStr">
        <is>
          <t>Usado</t>
        </is>
      </c>
      <c r="E576" s="38" t="inlineStr">
        <is>
          <t>https://numismaticapopper.com/images/1246A.jpeg,https://numismaticapopper.com/images/1246B.jpeg</t>
        </is>
      </c>
      <c r="F576" t="inlineStr">
        <is>
          <t>1246</t>
        </is>
      </c>
      <c r="G576" s="40" t="n">
        <v>1</v>
      </c>
      <c r="H576" t="n">
        <v>11000</v>
      </c>
      <c r="I576" t="inlineStr">
        <is>
          <t>Estado de conservacion: Excelente +
Referencia de catalogo: KM# 79
Material: Níquel
Peso: 15.62 g
Diametro: 32.13 mm
Centenario de la unión de la Columbia Británica a la Confederación de Canadá (1871-1971). Escudo provincial y flor de cornejo.</t>
        </is>
      </c>
      <c r="J576" s="31">
        <f>IF(INDIRECT(ADDRESS(ROW() + (0),COLUMN() + (1)))="Agregar cuotas", IF(("16%")="", "-", "16%"), IF(INDIRECT(ADDRESS(ROW() + (0),COLUMN() + (1)))="No agregar cuotas", IF(("16%")="", "-", "16%"), "-"))</f>
        <v/>
      </c>
      <c r="K576" s="0" t="inlineStr">
        <is>
          <t>No agregar cuotas</t>
        </is>
      </c>
      <c r="L576" s="31">
        <f>IF(INDIRECT(ADDRESS(ROW() + (0),COLUMN() + (-1)))="Agregar cuotas", IF(("13.4%")="", "Sin costo", "13.4%"), IF(INDIRECT(ADDRESS(ROW() + (0),COLUMN() + (-1)))="No agregar cuotas", IF(("")="", "Sin costo", ""), "-"))</f>
        <v/>
      </c>
      <c r="M576" s="0" t="inlineStr">
        <is>
          <t>Mercado Envíos</t>
        </is>
      </c>
      <c r="N576" s="0" t="inlineStr">
        <is>
          <t>A cargo del comprador</t>
        </is>
      </c>
      <c r="O576" s="0" t="inlineStr">
        <is>
          <t>Acepto</t>
        </is>
      </c>
      <c r="P576" s="47" t="inlineStr">
        <is>
          <t>Sin garantía</t>
        </is>
      </c>
      <c r="R576" s="0" t="inlineStr">
        <is>
          <t>Seleccionar</t>
        </is>
      </c>
      <c r="S576" s="0" t="inlineStr">
        <is>
          <t>No ofrezco</t>
        </is>
      </c>
      <c r="T576" t="n">
        <v>1971</v>
      </c>
      <c r="U576" s="0" t="inlineStr">
        <is>
          <t>Canadá</t>
        </is>
      </c>
      <c r="X576" s="0" t="inlineStr">
        <is>
          <t>Níquel</t>
        </is>
      </c>
      <c r="Z576" t="inlineStr">
        <is>
          <t>1 Dólar Centenario de Columbia Británica</t>
        </is>
      </c>
      <c r="AA576" s="0" t="inlineStr">
        <is>
          <t>Dólar</t>
        </is>
      </c>
      <c r="AB5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6" s="53">
        <f>IF(OR(TRIM(INDIRECT("B"&amp;ROW())) &lt;&gt; "",TRIM(INDIRECT("A"&amp;ROW())) &lt;&gt; ""),AND(TRIM(INDIRECT("A"&amp;ROW())) &lt;&gt; "",TRIM(INDIRECT("D"&amp;ROW())) = "nuevo"),"")</f>
        <v/>
      </c>
    </row>
    <row r="577" ht="27.5" customHeight="1" s="62">
      <c r="B577" t="inlineStr">
        <is>
          <t>Moneda Gambia 1 Dalasi Pez Tigre 2011</t>
        </is>
      </c>
      <c r="C577" s="0">
        <f>LEN(INDIRECT(ADDRESS(ROW() + (0),COLUMN() + (-1))))</f>
        <v/>
      </c>
      <c r="D577" s="0" t="inlineStr">
        <is>
          <t>Usado</t>
        </is>
      </c>
      <c r="E577" s="38" t="inlineStr">
        <is>
          <t>https://numismaticapopper.com/images/1247A.jpeg,https://numismaticapopper.com/images/1247B.jpeg</t>
        </is>
      </c>
      <c r="F577" t="inlineStr">
        <is>
          <t>1247</t>
        </is>
      </c>
      <c r="G577" s="40" t="n">
        <v>1</v>
      </c>
      <c r="H577" t="n">
        <v>11000</v>
      </c>
      <c r="I577" t="inlineStr">
        <is>
          <t>Estado de conservacion: Sin Circular
Referencia de catalogo: KM# 59a
Material: Acero niquelado
Peso: 8.67 g
Diametro: 28 mm
Pez tigre africano (Hydrocynus goliath / African tigerfish) y escudo nacional de Gambia.</t>
        </is>
      </c>
      <c r="J577" s="31">
        <f>IF(INDIRECT(ADDRESS(ROW() + (0),COLUMN() + (1)))="Agregar cuotas", IF(("16%")="", "-", "16%"), IF(INDIRECT(ADDRESS(ROW() + (0),COLUMN() + (1)))="No agregar cuotas", IF(("16%")="", "-", "16%"), "-"))</f>
        <v/>
      </c>
      <c r="K577" s="0" t="inlineStr">
        <is>
          <t>No agregar cuotas</t>
        </is>
      </c>
      <c r="L577" s="31">
        <f>IF(INDIRECT(ADDRESS(ROW() + (0),COLUMN() + (-1)))="Agregar cuotas", IF(("13.4%")="", "Sin costo", "13.4%"), IF(INDIRECT(ADDRESS(ROW() + (0),COLUMN() + (-1)))="No agregar cuotas", IF(("")="", "Sin costo", ""), "-"))</f>
        <v/>
      </c>
      <c r="M577" s="0" t="inlineStr">
        <is>
          <t>Mercado Envíos</t>
        </is>
      </c>
      <c r="N577" s="0" t="inlineStr">
        <is>
          <t>A cargo del comprador</t>
        </is>
      </c>
      <c r="O577" s="0" t="inlineStr">
        <is>
          <t>Acepto</t>
        </is>
      </c>
      <c r="P577" s="47" t="inlineStr">
        <is>
          <t>Sin garantía</t>
        </is>
      </c>
      <c r="R577" s="0" t="inlineStr">
        <is>
          <t>Seleccionar</t>
        </is>
      </c>
      <c r="S577" s="0" t="inlineStr">
        <is>
          <t>No ofrezco</t>
        </is>
      </c>
      <c r="T577" t="n">
        <v>2011</v>
      </c>
      <c r="U577" s="0" t="inlineStr">
        <is>
          <t>Inglaterra</t>
        </is>
      </c>
      <c r="X577" s="0" t="inlineStr">
        <is>
          <t>Níquel</t>
        </is>
      </c>
      <c r="Z577" t="inlineStr">
        <is>
          <t>1 Dalasi Pez Tigre</t>
        </is>
      </c>
      <c r="AA577" s="0" t="inlineStr">
        <is>
          <t>Dólar</t>
        </is>
      </c>
      <c r="AB5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7" s="53">
        <f>IF(OR(TRIM(INDIRECT("B"&amp;ROW())) &lt;&gt; "",TRIM(INDIRECT("A"&amp;ROW())) &lt;&gt; ""),AND(TRIM(INDIRECT("A"&amp;ROW())) &lt;&gt; "",TRIM(INDIRECT("D"&amp;ROW())) = "nuevo"),"")</f>
        <v/>
      </c>
    </row>
    <row r="578" ht="27.5" customHeight="1" s="62">
      <c r="B578" t="inlineStr">
        <is>
          <t>Moneda Mónaco 5 Francos 1945</t>
        </is>
      </c>
      <c r="C578" s="0">
        <f>LEN(INDIRECT(ADDRESS(ROW() + (0),COLUMN() + (-1))))</f>
        <v/>
      </c>
      <c r="D578" s="0" t="inlineStr">
        <is>
          <t>Usado</t>
        </is>
      </c>
      <c r="E578" s="38" t="inlineStr">
        <is>
          <t>https://numismaticapopper.com/images/1248A.jpeg,https://numismaticapopper.com/images/1248B.jpeg</t>
        </is>
      </c>
      <c r="F578" t="inlineStr">
        <is>
          <t>1248</t>
        </is>
      </c>
      <c r="G578" s="40" t="n">
        <v>1</v>
      </c>
      <c r="H578" t="n">
        <v>13000</v>
      </c>
      <c r="I578" t="inlineStr">
        <is>
          <t>Estado de conservacion: Excelente
Referencia de catalogo: KM# 122
Material: Aluminio
Peso: 3.5 g
Diametro: 31 mm
Tirada: 1000000
Príncipe Luis II de Mónaco y escudo de armas con el lema 'DEO JUVANTE'.</t>
        </is>
      </c>
      <c r="J578" s="31">
        <f>IF(INDIRECT(ADDRESS(ROW() + (0),COLUMN() + (1)))="Agregar cuotas", IF(("16%")="", "-", "16%"), IF(INDIRECT(ADDRESS(ROW() + (0),COLUMN() + (1)))="No agregar cuotas", IF(("16%")="", "-", "16%"), "-"))</f>
        <v/>
      </c>
      <c r="K578" s="0" t="inlineStr">
        <is>
          <t>No agregar cuotas</t>
        </is>
      </c>
      <c r="L578" s="31">
        <f>IF(INDIRECT(ADDRESS(ROW() + (0),COLUMN() + (-1)))="Agregar cuotas", IF(("13.4%")="", "Sin costo", "13.4%"), IF(INDIRECT(ADDRESS(ROW() + (0),COLUMN() + (-1)))="No agregar cuotas", IF(("")="", "Sin costo", ""), "-"))</f>
        <v/>
      </c>
      <c r="M578" s="0" t="inlineStr">
        <is>
          <t>Mercado Envíos</t>
        </is>
      </c>
      <c r="N578" s="0" t="inlineStr">
        <is>
          <t>A cargo del comprador</t>
        </is>
      </c>
      <c r="O578" s="0" t="inlineStr">
        <is>
          <t>Acepto</t>
        </is>
      </c>
      <c r="P578" s="47" t="inlineStr">
        <is>
          <t>Sin garantía</t>
        </is>
      </c>
      <c r="R578" s="0" t="inlineStr">
        <is>
          <t>Seleccionar</t>
        </is>
      </c>
      <c r="S578" s="0" t="inlineStr">
        <is>
          <t>No ofrezco</t>
        </is>
      </c>
      <c r="T578" t="n">
        <v>1945</v>
      </c>
      <c r="U578" s="0" t="inlineStr">
        <is>
          <t>Francia</t>
        </is>
      </c>
      <c r="X578" s="0" t="inlineStr">
        <is>
          <t>Níquel</t>
        </is>
      </c>
      <c r="Z578" t="inlineStr">
        <is>
          <t>5 Francos</t>
        </is>
      </c>
      <c r="AA578" s="0" t="inlineStr">
        <is>
          <t>Euro</t>
        </is>
      </c>
      <c r="AB5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8" s="53">
        <f>IF(OR(TRIM(INDIRECT("B"&amp;ROW())) &lt;&gt; "",TRIM(INDIRECT("A"&amp;ROW())) &lt;&gt; ""),AND(TRIM(INDIRECT("A"&amp;ROW())) &lt;&gt; "",TRIM(INDIRECT("D"&amp;ROW())) = "nuevo"),"")</f>
        <v/>
      </c>
    </row>
    <row r="579" ht="27.5" customHeight="1" s="62">
      <c r="B579" t="inlineStr">
        <is>
          <t>Moneda Ecuador 25 Centavos Alberto Spencer 2023</t>
        </is>
      </c>
      <c r="C579" s="0">
        <f>LEN(INDIRECT(ADDRESS(ROW() + (0),COLUMN() + (-1))))</f>
        <v/>
      </c>
      <c r="D579" s="0" t="inlineStr">
        <is>
          <t>Usado</t>
        </is>
      </c>
      <c r="E579" s="38" t="inlineStr">
        <is>
          <t>https://numismaticapopper.com/images/1250A.jpeg,https://numismaticapopper.com/images/1250B.jpeg</t>
        </is>
      </c>
      <c r="F579" t="inlineStr">
        <is>
          <t>1250</t>
        </is>
      </c>
      <c r="G579" s="40" t="n">
        <v>1</v>
      </c>
      <c r="H579" t="n">
        <v>9000</v>
      </c>
      <c r="I579" t="inlineStr">
        <is>
          <t>Estado de conservacion: Sin Circular
Referencia de catalogo: KM# 134
Material: Acero inoxidable
Peso: 5.8 g
Diametro: 24.2 mm
Homenaje al legendario futbolista ecuatoriano Alberto Spencer, máximo goleador histórico de la Copa Libertadores.</t>
        </is>
      </c>
      <c r="J579" s="31">
        <f>IF(INDIRECT(ADDRESS(ROW() + (0),COLUMN() + (1)))="Agregar cuotas", IF(("16%")="", "-", "16%"), IF(INDIRECT(ADDRESS(ROW() + (0),COLUMN() + (1)))="No agregar cuotas", IF(("16%")="", "-", "16%"), "-"))</f>
        <v/>
      </c>
      <c r="K579" s="0" t="inlineStr">
        <is>
          <t>No agregar cuotas</t>
        </is>
      </c>
      <c r="L579" s="31">
        <f>IF(INDIRECT(ADDRESS(ROW() + (0),COLUMN() + (-1)))="Agregar cuotas", IF(("13.4%")="", "Sin costo", "13.4%"), IF(INDIRECT(ADDRESS(ROW() + (0),COLUMN() + (-1)))="No agregar cuotas", IF(("")="", "Sin costo", ""), "-"))</f>
        <v/>
      </c>
      <c r="M579" s="0" t="inlineStr">
        <is>
          <t>Mercado Envíos</t>
        </is>
      </c>
      <c r="N579" s="0" t="inlineStr">
        <is>
          <t>A cargo del comprador</t>
        </is>
      </c>
      <c r="O579" s="0" t="inlineStr">
        <is>
          <t>Acepto</t>
        </is>
      </c>
      <c r="P579" s="47" t="inlineStr">
        <is>
          <t>Sin garantía</t>
        </is>
      </c>
      <c r="R579" s="0" t="inlineStr">
        <is>
          <t>Seleccionar</t>
        </is>
      </c>
      <c r="S579" s="0" t="inlineStr">
        <is>
          <t>No ofrezco</t>
        </is>
      </c>
      <c r="T579" t="n">
        <v>2023</v>
      </c>
      <c r="U579" s="0" t="inlineStr">
        <is>
          <t>Perú</t>
        </is>
      </c>
      <c r="X579" s="0" t="inlineStr">
        <is>
          <t>Níquel</t>
        </is>
      </c>
      <c r="Z579" t="inlineStr">
        <is>
          <t>25 Centavos Alberto Spencer</t>
        </is>
      </c>
      <c r="AA579" s="0" t="inlineStr">
        <is>
          <t>Peso</t>
        </is>
      </c>
      <c r="AB5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79" s="53">
        <f>IF(OR(TRIM(INDIRECT("B"&amp;ROW())) &lt;&gt; "",TRIM(INDIRECT("A"&amp;ROW())) &lt;&gt; ""),AND(TRIM(INDIRECT("A"&amp;ROW())) &lt;&gt; "",TRIM(INDIRECT("D"&amp;ROW())) = "nuevo"),"")</f>
        <v/>
      </c>
    </row>
    <row r="580" ht="27.5" customHeight="1" s="62">
      <c r="B580" t="inlineStr">
        <is>
          <t>Moneda Canadá 1 Dólar Elsie MacGill (Coloreada) 2023</t>
        </is>
      </c>
      <c r="C580" s="0">
        <f>LEN(INDIRECT(ADDRESS(ROW() + (0),COLUMN() + (-1))))</f>
        <v/>
      </c>
      <c r="D580" s="0" t="inlineStr">
        <is>
          <t>Usado</t>
        </is>
      </c>
      <c r="E580" s="38" t="inlineStr">
        <is>
          <t>https://numismaticapopper.com/images/1251A.jpeg,https://numismaticapopper.com/images/1251B.jpeg</t>
        </is>
      </c>
      <c r="F580" t="inlineStr">
        <is>
          <t>1251</t>
        </is>
      </c>
      <c r="G580" s="40" t="n">
        <v>1</v>
      </c>
      <c r="H580" t="n">
        <v>10000</v>
      </c>
      <c r="I580" t="inlineStr">
        <is>
          <t>Estado de conservacion: Sin Circular
Referencia de catalogo: KM# 3344
Material: Acero bañado en latón
Peso: 6.27 g
Diametro: 26.5 mm
Homenaje a Elsie MacGill, pionera de la ingeniería aeronáutica (con aplicación de color).</t>
        </is>
      </c>
      <c r="J580" s="31">
        <f>IF(INDIRECT(ADDRESS(ROW() + (0),COLUMN() + (1)))="Agregar cuotas", IF(("16%")="", "-", "16%"), IF(INDIRECT(ADDRESS(ROW() + (0),COLUMN() + (1)))="No agregar cuotas", IF(("16%")="", "-", "16%"), "-"))</f>
        <v/>
      </c>
      <c r="K580" s="0" t="inlineStr">
        <is>
          <t>No agregar cuotas</t>
        </is>
      </c>
      <c r="L580" s="31">
        <f>IF(INDIRECT(ADDRESS(ROW() + (0),COLUMN() + (-1)))="Agregar cuotas", IF(("13.4%")="", "Sin costo", "13.4%"), IF(INDIRECT(ADDRESS(ROW() + (0),COLUMN() + (-1)))="No agregar cuotas", IF(("")="", "Sin costo", ""), "-"))</f>
        <v/>
      </c>
      <c r="M580" s="0" t="inlineStr">
        <is>
          <t>Mercado Envíos</t>
        </is>
      </c>
      <c r="N580" s="0" t="inlineStr">
        <is>
          <t>A cargo del comprador</t>
        </is>
      </c>
      <c r="O580" s="0" t="inlineStr">
        <is>
          <t>Acepto</t>
        </is>
      </c>
      <c r="P580" s="47" t="inlineStr">
        <is>
          <t>Sin garantía</t>
        </is>
      </c>
      <c r="R580" s="0" t="inlineStr">
        <is>
          <t>Seleccionar</t>
        </is>
      </c>
      <c r="S580" s="0" t="inlineStr">
        <is>
          <t>No ofrezco</t>
        </is>
      </c>
      <c r="T580" t="n">
        <v>2023</v>
      </c>
      <c r="U580" s="0" t="inlineStr">
        <is>
          <t>Canadá</t>
        </is>
      </c>
      <c r="X580" s="0" t="inlineStr">
        <is>
          <t>Bronce</t>
        </is>
      </c>
      <c r="Z580" t="inlineStr">
        <is>
          <t>1 Dólar Elsie MacGill (Coloreada)</t>
        </is>
      </c>
      <c r="AA580" s="0" t="inlineStr">
        <is>
          <t>Dólar</t>
        </is>
      </c>
      <c r="AB5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0" s="53">
        <f>IF(OR(TRIM(INDIRECT("B"&amp;ROW())) &lt;&gt; "",TRIM(INDIRECT("A"&amp;ROW())) &lt;&gt; ""),AND(TRIM(INDIRECT("A"&amp;ROW())) &lt;&gt; "",TRIM(INDIRECT("D"&amp;ROW())) = "nuevo"),"")</f>
        <v/>
      </c>
    </row>
    <row r="581" ht="27.5" customHeight="1" s="62">
      <c r="B581" t="inlineStr">
        <is>
          <t>Moneda Francia 2 Francos Louis Pasteur 1995</t>
        </is>
      </c>
      <c r="C581" s="0">
        <f>LEN(INDIRECT(ADDRESS(ROW() + (0),COLUMN() + (-1))))</f>
        <v/>
      </c>
      <c r="D581" s="0" t="inlineStr">
        <is>
          <t>Usado</t>
        </is>
      </c>
      <c r="E581" s="38" t="inlineStr">
        <is>
          <t>https://numismaticapopper.com/images/1253A.jpeg,https://numismaticapopper.com/images/1253B.jpeg</t>
        </is>
      </c>
      <c r="F581" t="inlineStr">
        <is>
          <t>1253</t>
        </is>
      </c>
      <c r="G581" s="40" t="n">
        <v>1</v>
      </c>
      <c r="H581" t="n">
        <v>11000</v>
      </c>
      <c r="I581" t="inlineStr">
        <is>
          <t>Estado de conservacion: Sin Circular
Referencia de catalogo: KM# 1119
Material: Níquel
Peso: 7.5 g
Diametro: 26.5 mm
Centenario de la muerte de Louis Pasteur (1822-1895), químico y microbiólogo francés.</t>
        </is>
      </c>
      <c r="J581" s="31">
        <f>IF(INDIRECT(ADDRESS(ROW() + (0),COLUMN() + (1)))="Agregar cuotas", IF(("16%")="", "-", "16%"), IF(INDIRECT(ADDRESS(ROW() + (0),COLUMN() + (1)))="No agregar cuotas", IF(("16%")="", "-", "16%"), "-"))</f>
        <v/>
      </c>
      <c r="K581" s="0" t="inlineStr">
        <is>
          <t>No agregar cuotas</t>
        </is>
      </c>
      <c r="L581" s="31">
        <f>IF(INDIRECT(ADDRESS(ROW() + (0),COLUMN() + (-1)))="Agregar cuotas", IF(("13.4%")="", "Sin costo", "13.4%"), IF(INDIRECT(ADDRESS(ROW() + (0),COLUMN() + (-1)))="No agregar cuotas", IF(("")="", "Sin costo", ""), "-"))</f>
        <v/>
      </c>
      <c r="M581" s="0" t="inlineStr">
        <is>
          <t>Mercado Envíos</t>
        </is>
      </c>
      <c r="N581" s="0" t="inlineStr">
        <is>
          <t>A cargo del comprador</t>
        </is>
      </c>
      <c r="O581" s="0" t="inlineStr">
        <is>
          <t>Acepto</t>
        </is>
      </c>
      <c r="P581" s="47" t="inlineStr">
        <is>
          <t>Sin garantía</t>
        </is>
      </c>
      <c r="R581" s="0" t="inlineStr">
        <is>
          <t>Seleccionar</t>
        </is>
      </c>
      <c r="S581" s="0" t="inlineStr">
        <is>
          <t>No ofrezco</t>
        </is>
      </c>
      <c r="T581" t="n">
        <v>1995</v>
      </c>
      <c r="U581" s="0" t="inlineStr">
        <is>
          <t>Francia</t>
        </is>
      </c>
      <c r="X581" s="0" t="inlineStr">
        <is>
          <t>Níquel</t>
        </is>
      </c>
      <c r="Z581" t="inlineStr">
        <is>
          <t>2 Francos Louis Pasteur</t>
        </is>
      </c>
      <c r="AA581" s="0" t="inlineStr">
        <is>
          <t>Euro</t>
        </is>
      </c>
      <c r="AB5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1" s="53">
        <f>IF(OR(TRIM(INDIRECT("B"&amp;ROW())) &lt;&gt; "",TRIM(INDIRECT("A"&amp;ROW())) &lt;&gt; ""),AND(TRIM(INDIRECT("A"&amp;ROW())) &lt;&gt; "",TRIM(INDIRECT("D"&amp;ROW())) = "nuevo"),"")</f>
        <v/>
      </c>
    </row>
    <row r="582" ht="27.5" customHeight="1" s="62">
      <c r="B582" t="inlineStr">
        <is>
          <t>Moneda Francia 2 Francos Jean Moulin 1993</t>
        </is>
      </c>
      <c r="C582" s="0">
        <f>LEN(INDIRECT(ADDRESS(ROW() + (0),COLUMN() + (-1))))</f>
        <v/>
      </c>
      <c r="D582" s="0" t="inlineStr">
        <is>
          <t>Usado</t>
        </is>
      </c>
      <c r="E582" s="38" t="inlineStr">
        <is>
          <t>https://numismaticapopper.com/images/1254A.jpeg,https://numismaticapopper.com/images/1254B.jpeg</t>
        </is>
      </c>
      <c r="F582" t="inlineStr">
        <is>
          <t>1254</t>
        </is>
      </c>
      <c r="G582" s="40" t="n">
        <v>1</v>
      </c>
      <c r="H582" t="n">
        <v>11000</v>
      </c>
      <c r="I582" t="inlineStr">
        <is>
          <t>Estado de conservacion: Sin Circular
Referencia de catalogo: KM# 1062
Material: Níquel
Peso: 7.5 g
Diametro: 26.5 mm
Cincuentenario de la muerte de Jean Moulin (Resistencia Francesa).</t>
        </is>
      </c>
      <c r="J582" s="31">
        <f>IF(INDIRECT(ADDRESS(ROW() + (0),COLUMN() + (1)))="Agregar cuotas", IF(("16%")="", "-", "16%"), IF(INDIRECT(ADDRESS(ROW() + (0),COLUMN() + (1)))="No agregar cuotas", IF(("16%")="", "-", "16%"), "-"))</f>
        <v/>
      </c>
      <c r="K582" s="0" t="inlineStr">
        <is>
          <t>No agregar cuotas</t>
        </is>
      </c>
      <c r="L582" s="31">
        <f>IF(INDIRECT(ADDRESS(ROW() + (0),COLUMN() + (-1)))="Agregar cuotas", IF(("13.4%")="", "Sin costo", "13.4%"), IF(INDIRECT(ADDRESS(ROW() + (0),COLUMN() + (-1)))="No agregar cuotas", IF(("")="", "Sin costo", ""), "-"))</f>
        <v/>
      </c>
      <c r="M582" s="0" t="inlineStr">
        <is>
          <t>Mercado Envíos</t>
        </is>
      </c>
      <c r="N582" s="0" t="inlineStr">
        <is>
          <t>A cargo del comprador</t>
        </is>
      </c>
      <c r="O582" s="0" t="inlineStr">
        <is>
          <t>Acepto</t>
        </is>
      </c>
      <c r="P582" s="47" t="inlineStr">
        <is>
          <t>Sin garantía</t>
        </is>
      </c>
      <c r="R582" s="0" t="inlineStr">
        <is>
          <t>Seleccionar</t>
        </is>
      </c>
      <c r="S582" s="0" t="inlineStr">
        <is>
          <t>No ofrezco</t>
        </is>
      </c>
      <c r="T582" t="n">
        <v>1993</v>
      </c>
      <c r="U582" s="0" t="inlineStr">
        <is>
          <t>Francia</t>
        </is>
      </c>
      <c r="X582" s="0" t="inlineStr">
        <is>
          <t>Níquel</t>
        </is>
      </c>
      <c r="Z582" t="inlineStr">
        <is>
          <t>2 Francos Jean Moulin</t>
        </is>
      </c>
      <c r="AA582" s="0" t="inlineStr">
        <is>
          <t>Euro</t>
        </is>
      </c>
      <c r="AB5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2" s="53">
        <f>IF(OR(TRIM(INDIRECT("B"&amp;ROW())) &lt;&gt; "",TRIM(INDIRECT("A"&amp;ROW())) &lt;&gt; ""),AND(TRIM(INDIRECT("A"&amp;ROW())) &lt;&gt; "",TRIM(INDIRECT("D"&amp;ROW())) = "nuevo"),"")</f>
        <v/>
      </c>
    </row>
    <row r="583" ht="27.5" customHeight="1" s="62">
      <c r="B583" t="inlineStr">
        <is>
          <t>Moneda Siria 25 Libras 2003</t>
        </is>
      </c>
      <c r="C583" s="0">
        <f>LEN(INDIRECT(ADDRESS(ROW() + (0),COLUMN() + (-1))))</f>
        <v/>
      </c>
      <c r="D583" s="0" t="inlineStr">
        <is>
          <t>Usado</t>
        </is>
      </c>
      <c r="E583" s="38" t="inlineStr">
        <is>
          <t>https://numismaticapopper.com/images/1255A.jpeg,https://numismaticapopper.com/images/1255B.jpeg</t>
        </is>
      </c>
      <c r="F583" t="inlineStr">
        <is>
          <t>1255</t>
        </is>
      </c>
      <c r="G583" s="40" t="n">
        <v>1</v>
      </c>
      <c r="H583" t="n">
        <v>10000</v>
      </c>
      <c r="I583" t="inlineStr">
        <is>
          <t>Estado de conservacion: Sin Circular
Referencia de catalogo: KM# 131
Material: Bimetálica
Peso: 8.4 g
Diametro: 25 mm
Edificio del Banco Central de Siria y Escudo Nacional con el Halcón de Quraish (con imagen latente de seguridad).</t>
        </is>
      </c>
      <c r="J583" s="31">
        <f>IF(INDIRECT(ADDRESS(ROW() + (0),COLUMN() + (1)))="Agregar cuotas", IF(("16%")="", "-", "16%"), IF(INDIRECT(ADDRESS(ROW() + (0),COLUMN() + (1)))="No agregar cuotas", IF(("16%")="", "-", "16%"), "-"))</f>
        <v/>
      </c>
      <c r="K583" s="0" t="inlineStr">
        <is>
          <t>No agregar cuotas</t>
        </is>
      </c>
      <c r="L583" s="31">
        <f>IF(INDIRECT(ADDRESS(ROW() + (0),COLUMN() + (-1)))="Agregar cuotas", IF(("13.4%")="", "Sin costo", "13.4%"), IF(INDIRECT(ADDRESS(ROW() + (0),COLUMN() + (-1)))="No agregar cuotas", IF(("")="", "Sin costo", ""), "-"))</f>
        <v/>
      </c>
      <c r="M583" s="0" t="inlineStr">
        <is>
          <t>Mercado Envíos</t>
        </is>
      </c>
      <c r="N583" s="0" t="inlineStr">
        <is>
          <t>A cargo del comprador</t>
        </is>
      </c>
      <c r="O583" s="0" t="inlineStr">
        <is>
          <t>Acepto</t>
        </is>
      </c>
      <c r="P583" s="47" t="inlineStr">
        <is>
          <t>Sin garantía</t>
        </is>
      </c>
      <c r="R583" s="0" t="inlineStr">
        <is>
          <t>Seleccionar</t>
        </is>
      </c>
      <c r="S583" s="0" t="inlineStr">
        <is>
          <t>No ofrezco</t>
        </is>
      </c>
      <c r="T583" t="n">
        <v>2003</v>
      </c>
      <c r="U583" s="0" t="inlineStr">
        <is>
          <t>Francia</t>
        </is>
      </c>
      <c r="X583" s="0" t="inlineStr">
        <is>
          <t>Níquel</t>
        </is>
      </c>
      <c r="Z583" t="inlineStr">
        <is>
          <t>25 Libras</t>
        </is>
      </c>
      <c r="AA583" s="0" t="inlineStr">
        <is>
          <t>Dólar</t>
        </is>
      </c>
      <c r="AB5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3" s="53">
        <f>IF(OR(TRIM(INDIRECT("B"&amp;ROW())) &lt;&gt; "",TRIM(INDIRECT("A"&amp;ROW())) &lt;&gt; ""),AND(TRIM(INDIRECT("A"&amp;ROW())) &lt;&gt; "",TRIM(INDIRECT("D"&amp;ROW())) = "nuevo"),"")</f>
        <v/>
      </c>
    </row>
    <row r="584" ht="27.5" customHeight="1" s="62">
      <c r="B584" t="inlineStr">
        <is>
          <t>Moneda Bosnia y Herzegovina 20 Feniga 2025</t>
        </is>
      </c>
      <c r="C584" s="0">
        <f>LEN(INDIRECT(ADDRESS(ROW() + (0),COLUMN() + (-1))))</f>
        <v/>
      </c>
      <c r="D584" s="0" t="inlineStr">
        <is>
          <t>Usado</t>
        </is>
      </c>
      <c r="E584" s="38" t="inlineStr">
        <is>
          <t>https://numismaticapopper.com/images/1256A.jpeg,https://numismaticapopper.com/images/1256B.jpeg</t>
        </is>
      </c>
      <c r="F584" t="inlineStr">
        <is>
          <t>1256</t>
        </is>
      </c>
      <c r="G584" s="40" t="n">
        <v>1</v>
      </c>
      <c r="H584" t="n">
        <v>7000</v>
      </c>
      <c r="I584" t="inlineStr">
        <is>
          <t>Estado de conservacion: Sin Circular
Referencia de catalogo: KM# 116
Material: Acero recubierto de cobre
Peso: 4.5 g
Diametro: 22 mm
Mapa de Bosnia y Herzegovina y motivos geométricos con las banderas estilizadas.</t>
        </is>
      </c>
      <c r="J584" s="31">
        <f>IF(INDIRECT(ADDRESS(ROW() + (0),COLUMN() + (1)))="Agregar cuotas", IF(("16%")="", "-", "16%"), IF(INDIRECT(ADDRESS(ROW() + (0),COLUMN() + (1)))="No agregar cuotas", IF(("16%")="", "-", "16%"), "-"))</f>
        <v/>
      </c>
      <c r="K584" s="0" t="inlineStr">
        <is>
          <t>No agregar cuotas</t>
        </is>
      </c>
      <c r="L584" s="31">
        <f>IF(INDIRECT(ADDRESS(ROW() + (0),COLUMN() + (-1)))="Agregar cuotas", IF(("13.4%")="", "Sin costo", "13.4%"), IF(INDIRECT(ADDRESS(ROW() + (0),COLUMN() + (-1)))="No agregar cuotas", IF(("")="", "Sin costo", ""), "-"))</f>
        <v/>
      </c>
      <c r="M584" s="0" t="inlineStr">
        <is>
          <t>Mercado Envíos</t>
        </is>
      </c>
      <c r="N584" s="0" t="inlineStr">
        <is>
          <t>A cargo del comprador</t>
        </is>
      </c>
      <c r="O584" s="0" t="inlineStr">
        <is>
          <t>Acepto</t>
        </is>
      </c>
      <c r="P584" s="47" t="inlineStr">
        <is>
          <t>Sin garantía</t>
        </is>
      </c>
      <c r="R584" s="0" t="inlineStr">
        <is>
          <t>Seleccionar</t>
        </is>
      </c>
      <c r="S584" s="0" t="inlineStr">
        <is>
          <t>No ofrezco</t>
        </is>
      </c>
      <c r="T584" t="n">
        <v>2025</v>
      </c>
      <c r="U584" s="0" t="inlineStr">
        <is>
          <t>Austria</t>
        </is>
      </c>
      <c r="X584" s="0" t="inlineStr">
        <is>
          <t>Cobre</t>
        </is>
      </c>
      <c r="Z584" t="inlineStr">
        <is>
          <t>20 Feniga</t>
        </is>
      </c>
      <c r="AA584" s="0" t="inlineStr">
        <is>
          <t>Euro</t>
        </is>
      </c>
      <c r="AB5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4" s="53">
        <f>IF(OR(TRIM(INDIRECT("B"&amp;ROW())) &lt;&gt; "",TRIM(INDIRECT("A"&amp;ROW())) &lt;&gt; ""),AND(TRIM(INDIRECT("A"&amp;ROW())) &lt;&gt; "",TRIM(INDIRECT("D"&amp;ROW())) = "nuevo"),"")</f>
        <v/>
      </c>
    </row>
    <row r="585" ht="27.5" customHeight="1" s="62">
      <c r="B585" t="inlineStr">
        <is>
          <t>Moneda Brasil 1 Real 30 Años del Plan Real 2024</t>
        </is>
      </c>
      <c r="C585" s="0">
        <f>LEN(INDIRECT(ADDRESS(ROW() + (0),COLUMN() + (-1))))</f>
        <v/>
      </c>
      <c r="D585" s="0" t="inlineStr">
        <is>
          <t>Usado</t>
        </is>
      </c>
      <c r="E585" s="38" t="inlineStr">
        <is>
          <t>https://numismaticapopper.com/images/1257A.jpeg,https://numismaticapopper.com/images/1257B.jpeg</t>
        </is>
      </c>
      <c r="F585" t="inlineStr">
        <is>
          <t>1257</t>
        </is>
      </c>
      <c r="G585" s="40" t="n">
        <v>1</v>
      </c>
      <c r="H585" t="n">
        <v>7000</v>
      </c>
      <c r="I585" t="inlineStr">
        <is>
          <t>Estado de conservacion: Sin Circular
Referencia de catalogo: KM# 738
Material: Bimetálica
Peso: 7.0 g
Diametro: 27.0 mm
30° Aniversario del Plan Real (1994-2024). Efigie de la República y símbolo del Real (R$).</t>
        </is>
      </c>
      <c r="J585" s="31">
        <f>IF(INDIRECT(ADDRESS(ROW() + (0),COLUMN() + (1)))="Agregar cuotas", IF(("16%")="", "-", "16%"), IF(INDIRECT(ADDRESS(ROW() + (0),COLUMN() + (1)))="No agregar cuotas", IF(("16%")="", "-", "16%"), "-"))</f>
        <v/>
      </c>
      <c r="K585" s="0" t="inlineStr">
        <is>
          <t>No agregar cuotas</t>
        </is>
      </c>
      <c r="L585" s="31">
        <f>IF(INDIRECT(ADDRESS(ROW() + (0),COLUMN() + (-1)))="Agregar cuotas", IF(("13.4%")="", "Sin costo", "13.4%"), IF(INDIRECT(ADDRESS(ROW() + (0),COLUMN() + (-1)))="No agregar cuotas", IF(("")="", "Sin costo", ""), "-"))</f>
        <v/>
      </c>
      <c r="M585" s="0" t="inlineStr">
        <is>
          <t>Mercado Envíos</t>
        </is>
      </c>
      <c r="N585" s="0" t="inlineStr">
        <is>
          <t>A cargo del comprador</t>
        </is>
      </c>
      <c r="O585" s="0" t="inlineStr">
        <is>
          <t>Acepto</t>
        </is>
      </c>
      <c r="P585" s="47" t="inlineStr">
        <is>
          <t>Sin garantía</t>
        </is>
      </c>
      <c r="R585" s="0" t="inlineStr">
        <is>
          <t>Seleccionar</t>
        </is>
      </c>
      <c r="S585" s="0" t="inlineStr">
        <is>
          <t>No ofrezco</t>
        </is>
      </c>
      <c r="T585" t="n">
        <v>2024</v>
      </c>
      <c r="U585" s="0" t="inlineStr">
        <is>
          <t>Brasil</t>
        </is>
      </c>
      <c r="X585" s="0" t="inlineStr">
        <is>
          <t>Níquel</t>
        </is>
      </c>
      <c r="Z585" t="inlineStr">
        <is>
          <t>1 Real 30 Años del Plan Real</t>
        </is>
      </c>
      <c r="AA585" s="0" t="inlineStr">
        <is>
          <t>Real</t>
        </is>
      </c>
      <c r="AB5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5" s="53">
        <f>IF(OR(TRIM(INDIRECT("B"&amp;ROW())) &lt;&gt; "",TRIM(INDIRECT("A"&amp;ROW())) &lt;&gt; ""),AND(TRIM(INDIRECT("A"&amp;ROW())) &lt;&gt; "",TRIM(INDIRECT("D"&amp;ROW())) = "nuevo"),"")</f>
        <v/>
      </c>
    </row>
    <row r="586" ht="27.5" customHeight="1" s="62">
      <c r="B586" t="inlineStr">
        <is>
          <t>Moneda San Martín 5 Cents 2025</t>
        </is>
      </c>
      <c r="C586" s="0">
        <f>LEN(INDIRECT(ADDRESS(ROW() + (0),COLUMN() + (-1))))</f>
        <v/>
      </c>
      <c r="D586" s="0" t="inlineStr">
        <is>
          <t>Usado</t>
        </is>
      </c>
      <c r="E586" s="38" t="inlineStr">
        <is>
          <t>https://numismaticapopper.com/images/1258A.jpeg,https://numismaticapopper.com/images/1258B.jpeg</t>
        </is>
      </c>
      <c r="F586" t="inlineStr">
        <is>
          <t>1258</t>
        </is>
      </c>
      <c r="G586" s="40" t="n">
        <v>1</v>
      </c>
      <c r="H586" t="n">
        <v>8000</v>
      </c>
      <c r="I586" t="inlineStr">
        <is>
          <t>Estado de conservacion: Sin Circular
Material: Acero niquelado
Peso: 2.42 g
Diametro: 16.75 mm
Nueva emisión del florín caribeño. Conchas 'Tellin' y flor de azahar rodeada de olas.</t>
        </is>
      </c>
      <c r="J586" s="31">
        <f>IF(INDIRECT(ADDRESS(ROW() + (0),COLUMN() + (1)))="Agregar cuotas", IF(("16%")="", "-", "16%"), IF(INDIRECT(ADDRESS(ROW() + (0),COLUMN() + (1)))="No agregar cuotas", IF(("16%")="", "-", "16%"), "-"))</f>
        <v/>
      </c>
      <c r="K586" s="0" t="inlineStr">
        <is>
          <t>No agregar cuotas</t>
        </is>
      </c>
      <c r="L586" s="31">
        <f>IF(INDIRECT(ADDRESS(ROW() + (0),COLUMN() + (-1)))="Agregar cuotas", IF(("13.4%")="", "Sin costo", "13.4%"), IF(INDIRECT(ADDRESS(ROW() + (0),COLUMN() + (-1)))="No agregar cuotas", IF(("")="", "Sin costo", ""), "-"))</f>
        <v/>
      </c>
      <c r="M586" s="0" t="inlineStr">
        <is>
          <t>Mercado Envíos</t>
        </is>
      </c>
      <c r="N586" s="0" t="inlineStr">
        <is>
          <t>A cargo del comprador</t>
        </is>
      </c>
      <c r="O586" s="0" t="inlineStr">
        <is>
          <t>Acepto</t>
        </is>
      </c>
      <c r="P586" s="47" t="inlineStr">
        <is>
          <t>Sin garantía</t>
        </is>
      </c>
      <c r="R586" s="0" t="inlineStr">
        <is>
          <t>Seleccionar</t>
        </is>
      </c>
      <c r="S586" s="0" t="inlineStr">
        <is>
          <t>No ofrezco</t>
        </is>
      </c>
      <c r="T586" t="n">
        <v>2025</v>
      </c>
      <c r="U586" s="0" t="inlineStr">
        <is>
          <t>Holanda</t>
        </is>
      </c>
      <c r="X586" s="0" t="inlineStr">
        <is>
          <t>Níquel</t>
        </is>
      </c>
      <c r="Z586" t="inlineStr">
        <is>
          <t>5 Cents</t>
        </is>
      </c>
      <c r="AA586" s="0" t="inlineStr">
        <is>
          <t>Dólar</t>
        </is>
      </c>
      <c r="AB5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6" s="53">
        <f>IF(OR(TRIM(INDIRECT("B"&amp;ROW())) &lt;&gt; "",TRIM(INDIRECT("A"&amp;ROW())) &lt;&gt; ""),AND(TRIM(INDIRECT("A"&amp;ROW())) &lt;&gt; "",TRIM(INDIRECT("D"&amp;ROW())) = "nuevo"),"")</f>
        <v/>
      </c>
    </row>
    <row r="587" ht="27.5" customHeight="1" s="62">
      <c r="B587" t="inlineStr">
        <is>
          <t>Moneda Líbano 25 Livres 2002</t>
        </is>
      </c>
      <c r="C587" s="0">
        <f>LEN(INDIRECT(ADDRESS(ROW() + (0),COLUMN() + (-1))))</f>
        <v/>
      </c>
      <c r="D587" s="0" t="inlineStr">
        <is>
          <t>Usado</t>
        </is>
      </c>
      <c r="E587" s="38" t="inlineStr">
        <is>
          <t>https://numismaticapopper.com/images/1259A.jpeg,https://numismaticapopper.com/images/1259B.jpeg</t>
        </is>
      </c>
      <c r="F587" t="inlineStr">
        <is>
          <t>1259</t>
        </is>
      </c>
      <c r="G587" s="40" t="n">
        <v>1</v>
      </c>
      <c r="H587" t="n">
        <v>7000</v>
      </c>
      <c r="I587" t="inlineStr">
        <is>
          <t>Estado de conservacion: Sin Circular
Referencia de catalogo: KM# 40
Material: Acero niquelado
Peso: 2.82 g
Diametro: 20.5 mm
Cedro del Líbano y valor facial dentro de diseño geométrico.</t>
        </is>
      </c>
      <c r="J587" s="31">
        <f>IF(INDIRECT(ADDRESS(ROW() + (0),COLUMN() + (1)))="Agregar cuotas", IF(("16%")="", "-", "16%"), IF(INDIRECT(ADDRESS(ROW() + (0),COLUMN() + (1)))="No agregar cuotas", IF(("16%")="", "-", "16%"), "-"))</f>
        <v/>
      </c>
      <c r="K587" s="0" t="inlineStr">
        <is>
          <t>No agregar cuotas</t>
        </is>
      </c>
      <c r="L587" s="31">
        <f>IF(INDIRECT(ADDRESS(ROW() + (0),COLUMN() + (-1)))="Agregar cuotas", IF(("13.4%")="", "Sin costo", "13.4%"), IF(INDIRECT(ADDRESS(ROW() + (0),COLUMN() + (-1)))="No agregar cuotas", IF(("")="", "Sin costo", ""), "-"))</f>
        <v/>
      </c>
      <c r="M587" s="0" t="inlineStr">
        <is>
          <t>Mercado Envíos</t>
        </is>
      </c>
      <c r="N587" s="0" t="inlineStr">
        <is>
          <t>A cargo del comprador</t>
        </is>
      </c>
      <c r="O587" s="0" t="inlineStr">
        <is>
          <t>Acepto</t>
        </is>
      </c>
      <c r="P587" s="47" t="inlineStr">
        <is>
          <t>Sin garantía</t>
        </is>
      </c>
      <c r="R587" s="0" t="inlineStr">
        <is>
          <t>Seleccionar</t>
        </is>
      </c>
      <c r="S587" s="0" t="inlineStr">
        <is>
          <t>No ofrezco</t>
        </is>
      </c>
      <c r="T587" t="n">
        <v>2002</v>
      </c>
      <c r="U587" s="0" t="inlineStr">
        <is>
          <t>Francia</t>
        </is>
      </c>
      <c r="X587" s="0" t="inlineStr">
        <is>
          <t>Níquel</t>
        </is>
      </c>
      <c r="Z587" t="inlineStr">
        <is>
          <t>25 Livres</t>
        </is>
      </c>
      <c r="AA587" s="0" t="inlineStr">
        <is>
          <t>Euro</t>
        </is>
      </c>
      <c r="AB5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7" s="53">
        <f>IF(OR(TRIM(INDIRECT("B"&amp;ROW())) &lt;&gt; "",TRIM(INDIRECT("A"&amp;ROW())) &lt;&gt; ""),AND(TRIM(INDIRECT("A"&amp;ROW())) &lt;&gt; "",TRIM(INDIRECT("D"&amp;ROW())) = "nuevo"),"")</f>
        <v/>
      </c>
    </row>
    <row r="588" ht="27.5" customHeight="1" s="62">
      <c r="B588" t="inlineStr">
        <is>
          <t>Moneda Indonesia 50 Sen Diponegoro 1955</t>
        </is>
      </c>
      <c r="C588" s="0">
        <f>LEN(INDIRECT(ADDRESS(ROW() + (0),COLUMN() + (-1))))</f>
        <v/>
      </c>
      <c r="D588" s="0" t="inlineStr">
        <is>
          <t>Usado</t>
        </is>
      </c>
      <c r="E588" s="38" t="inlineStr">
        <is>
          <t>https://numismaticapopper.com/images/1260A.jpeg,https://numismaticapopper.com/images/1260B.jpeg</t>
        </is>
      </c>
      <c r="F588" t="inlineStr">
        <is>
          <t>1260</t>
        </is>
      </c>
      <c r="G588" s="40" t="n">
        <v>1</v>
      </c>
      <c r="H588" t="n">
        <v>7000</v>
      </c>
      <c r="I588" t="inlineStr">
        <is>
          <t>Estado de conservacion: Sin Circular
Referencia de catalogo: KM# 10
Material: Cuproníquel
Peso: 3.24 g
Diametro: 20 mm
Príncipe Diponegoro, héroe nacional de Indonesia, y escudo de armas con el águila Garuda Pancasila.</t>
        </is>
      </c>
      <c r="J588" s="31">
        <f>IF(INDIRECT(ADDRESS(ROW() + (0),COLUMN() + (1)))="Agregar cuotas", IF(("16%")="", "-", "16%"), IF(INDIRECT(ADDRESS(ROW() + (0),COLUMN() + (1)))="No agregar cuotas", IF(("16%")="", "-", "16%"), "-"))</f>
        <v/>
      </c>
      <c r="K588" s="0" t="inlineStr">
        <is>
          <t>No agregar cuotas</t>
        </is>
      </c>
      <c r="L588" s="31">
        <f>IF(INDIRECT(ADDRESS(ROW() + (0),COLUMN() + (-1)))="Agregar cuotas", IF(("13.4%")="", "Sin costo", "13.4%"), IF(INDIRECT(ADDRESS(ROW() + (0),COLUMN() + (-1)))="No agregar cuotas", IF(("")="", "Sin costo", ""), "-"))</f>
        <v/>
      </c>
      <c r="M588" s="0" t="inlineStr">
        <is>
          <t>Mercado Envíos</t>
        </is>
      </c>
      <c r="N588" s="0" t="inlineStr">
        <is>
          <t>A cargo del comprador</t>
        </is>
      </c>
      <c r="O588" s="0" t="inlineStr">
        <is>
          <t>Acepto</t>
        </is>
      </c>
      <c r="P588" s="47" t="inlineStr">
        <is>
          <t>Sin garantía</t>
        </is>
      </c>
      <c r="R588" s="0" t="inlineStr">
        <is>
          <t>Seleccionar</t>
        </is>
      </c>
      <c r="S588" s="0" t="inlineStr">
        <is>
          <t>No ofrezco</t>
        </is>
      </c>
      <c r="T588" t="n">
        <v>1955</v>
      </c>
      <c r="U588" s="0" t="inlineStr">
        <is>
          <t>Holanda</t>
        </is>
      </c>
      <c r="X588" s="0" t="inlineStr">
        <is>
          <t>Níquel</t>
        </is>
      </c>
      <c r="Z588" t="inlineStr">
        <is>
          <t>50 Sen Diponegoro</t>
        </is>
      </c>
      <c r="AA588" s="0" t="inlineStr">
        <is>
          <t>Dólar</t>
        </is>
      </c>
      <c r="AB5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8" s="53">
        <f>IF(OR(TRIM(INDIRECT("B"&amp;ROW())) &lt;&gt; "",TRIM(INDIRECT("A"&amp;ROW())) &lt;&gt; ""),AND(TRIM(INDIRECT("A"&amp;ROW())) &lt;&gt; "",TRIM(INDIRECT("D"&amp;ROW())) = "nuevo"),"")</f>
        <v/>
      </c>
    </row>
    <row r="589" ht="27.5" customHeight="1" s="62">
      <c r="B589" t="inlineStr">
        <is>
          <t>Moneda Chipre 1 Cent 1998</t>
        </is>
      </c>
      <c r="C589" s="0">
        <f>LEN(INDIRECT(ADDRESS(ROW() + (0),COLUMN() + (-1))))</f>
        <v/>
      </c>
      <c r="D589" s="0" t="inlineStr">
        <is>
          <t>Usado</t>
        </is>
      </c>
      <c r="E589" s="38" t="inlineStr">
        <is>
          <t>https://numismaticapopper.com/images/1261A.jpeg,https://numismaticapopper.com/images/1261B.jpeg</t>
        </is>
      </c>
      <c r="F589" t="inlineStr">
        <is>
          <t>1261</t>
        </is>
      </c>
      <c r="G589" s="40" t="n">
        <v>1</v>
      </c>
      <c r="H589" t="n">
        <v>7000</v>
      </c>
      <c r="I589" t="inlineStr">
        <is>
          <t>Estado de conservacion: Sin Circular
Referencia de catalogo: KM# 53.3
Material: Latón de níquel
Peso: 2 g
Diametro: 16.5 mm
Pájaro estilizado en rama de árbol (de jarra de cerámica chipriota arcaica) y Escudo de Chipre (paloma de la paz).</t>
        </is>
      </c>
      <c r="J589" s="31">
        <f>IF(INDIRECT(ADDRESS(ROW() + (0),COLUMN() + (1)))="Agregar cuotas", IF(("16%")="", "-", "16%"), IF(INDIRECT(ADDRESS(ROW() + (0),COLUMN() + (1)))="No agregar cuotas", IF(("16%")="", "-", "16%"), "-"))</f>
        <v/>
      </c>
      <c r="K589" s="0" t="inlineStr">
        <is>
          <t>No agregar cuotas</t>
        </is>
      </c>
      <c r="L589" s="31">
        <f>IF(INDIRECT(ADDRESS(ROW() + (0),COLUMN() + (-1)))="Agregar cuotas", IF(("13.4%")="", "Sin costo", "13.4%"), IF(INDIRECT(ADDRESS(ROW() + (0),COLUMN() + (-1)))="No agregar cuotas", IF(("")="", "Sin costo", ""), "-"))</f>
        <v/>
      </c>
      <c r="M589" s="0" t="inlineStr">
        <is>
          <t>Mercado Envíos</t>
        </is>
      </c>
      <c r="N589" s="0" t="inlineStr">
        <is>
          <t>A cargo del comprador</t>
        </is>
      </c>
      <c r="O589" s="0" t="inlineStr">
        <is>
          <t>Acepto</t>
        </is>
      </c>
      <c r="P589" s="47" t="inlineStr">
        <is>
          <t>Sin garantía</t>
        </is>
      </c>
      <c r="R589" s="0" t="inlineStr">
        <is>
          <t>Seleccionar</t>
        </is>
      </c>
      <c r="S589" s="0" t="inlineStr">
        <is>
          <t>No ofrezco</t>
        </is>
      </c>
      <c r="T589" t="n">
        <v>1998</v>
      </c>
      <c r="U589" s="0" t="inlineStr">
        <is>
          <t>Inglaterra</t>
        </is>
      </c>
      <c r="X589" s="0" t="inlineStr">
        <is>
          <t>Níquel</t>
        </is>
      </c>
      <c r="Z589" t="inlineStr">
        <is>
          <t>1 Cent</t>
        </is>
      </c>
      <c r="AA589" s="0" t="inlineStr">
        <is>
          <t>Dólar</t>
        </is>
      </c>
      <c r="AB5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89" s="53">
        <f>IF(OR(TRIM(INDIRECT("B"&amp;ROW())) &lt;&gt; "",TRIM(INDIRECT("A"&amp;ROW())) &lt;&gt; ""),AND(TRIM(INDIRECT("A"&amp;ROW())) &lt;&gt; "",TRIM(INDIRECT("D"&amp;ROW())) = "nuevo"),"")</f>
        <v/>
      </c>
    </row>
    <row r="590" ht="27.5" customHeight="1" s="62">
      <c r="B590" t="inlineStr">
        <is>
          <t>Moneda Francia 1/2 Franco Sembradora 1992</t>
        </is>
      </c>
      <c r="C590" s="0">
        <f>LEN(INDIRECT(ADDRESS(ROW() + (0),COLUMN() + (-1))))</f>
        <v/>
      </c>
      <c r="D590" s="0" t="inlineStr">
        <is>
          <t>Usado</t>
        </is>
      </c>
      <c r="E590" s="38" t="inlineStr">
        <is>
          <t>https://numismaticapopper.com/images/1262A.jpeg,https://numismaticapopper.com/images/1262B.jpeg</t>
        </is>
      </c>
      <c r="F590" t="inlineStr">
        <is>
          <t>1262</t>
        </is>
      </c>
      <c r="G590" s="40" t="n">
        <v>1</v>
      </c>
      <c r="H590" t="n">
        <v>13000</v>
      </c>
      <c r="I590" t="inlineStr">
        <is>
          <t>Estado de conservacion: Excelente
Referencia de catalogo: KM# 931.1
Material: Níquel
Peso: 4.5 g
Diametro: 19.5 mm
La Sembradora (La Semeuse) de Louis-Oscar Roty y rama de olivo.</t>
        </is>
      </c>
      <c r="J590" s="31">
        <f>IF(INDIRECT(ADDRESS(ROW() + (0),COLUMN() + (1)))="Agregar cuotas", IF(("16%")="", "-", "16%"), IF(INDIRECT(ADDRESS(ROW() + (0),COLUMN() + (1)))="No agregar cuotas", IF(("16%")="", "-", "16%"), "-"))</f>
        <v/>
      </c>
      <c r="K590" s="0" t="inlineStr">
        <is>
          <t>No agregar cuotas</t>
        </is>
      </c>
      <c r="L590" s="31">
        <f>IF(INDIRECT(ADDRESS(ROW() + (0),COLUMN() + (-1)))="Agregar cuotas", IF(("13.4%")="", "Sin costo", "13.4%"), IF(INDIRECT(ADDRESS(ROW() + (0),COLUMN() + (-1)))="No agregar cuotas", IF(("")="", "Sin costo", ""), "-"))</f>
        <v/>
      </c>
      <c r="M590" s="0" t="inlineStr">
        <is>
          <t>Mercado Envíos</t>
        </is>
      </c>
      <c r="N590" s="0" t="inlineStr">
        <is>
          <t>A cargo del comprador</t>
        </is>
      </c>
      <c r="O590" s="0" t="inlineStr">
        <is>
          <t>Acepto</t>
        </is>
      </c>
      <c r="P590" s="47" t="inlineStr">
        <is>
          <t>Sin garantía</t>
        </is>
      </c>
      <c r="R590" s="0" t="inlineStr">
        <is>
          <t>Seleccionar</t>
        </is>
      </c>
      <c r="S590" s="0" t="inlineStr">
        <is>
          <t>No ofrezco</t>
        </is>
      </c>
      <c r="T590" t="n">
        <v>1992</v>
      </c>
      <c r="U590" s="0" t="inlineStr">
        <is>
          <t>Francia</t>
        </is>
      </c>
      <c r="X590" s="0" t="inlineStr">
        <is>
          <t>Níquel</t>
        </is>
      </c>
      <c r="Z590" t="inlineStr">
        <is>
          <t>1/2 Franco Sembradora</t>
        </is>
      </c>
      <c r="AA590" s="0" t="inlineStr">
        <is>
          <t>Euro</t>
        </is>
      </c>
      <c r="AB5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0" s="53">
        <f>IF(OR(TRIM(INDIRECT("B"&amp;ROW())) &lt;&gt; "",TRIM(INDIRECT("A"&amp;ROW())) &lt;&gt; ""),AND(TRIM(INDIRECT("A"&amp;ROW())) &lt;&gt; "",TRIM(INDIRECT("D"&amp;ROW())) = "nuevo"),"")</f>
        <v/>
      </c>
    </row>
    <row r="591" ht="27.5" customHeight="1" s="62">
      <c r="B591" t="inlineStr">
        <is>
          <t>Moneda Líbano 1 Piastra 1955</t>
        </is>
      </c>
      <c r="C591" s="0">
        <f>LEN(INDIRECT(ADDRESS(ROW() + (0),COLUMN() + (-1))))</f>
        <v/>
      </c>
      <c r="D591" s="0" t="inlineStr">
        <is>
          <t>Usado</t>
        </is>
      </c>
      <c r="E591" s="38" t="inlineStr">
        <is>
          <t>https://numismaticapopper.com/images/1263A.jpeg,https://numismaticapopper.com/images/1263B.jpeg</t>
        </is>
      </c>
      <c r="F591" t="inlineStr">
        <is>
          <t>1263</t>
        </is>
      </c>
      <c r="G591" s="40" t="n">
        <v>1</v>
      </c>
      <c r="H591" t="n">
        <v>14000</v>
      </c>
      <c r="I591" t="inlineStr">
        <is>
          <t>Estado de conservacion: Sin Circular
Referencia de catalogo: KM# 19
Material: Bronce de aluminio
Peso: 2 g
Diametro: 18 mm
Tirada: 4000000
Emisión con orificio central. Barco fenicio de vela y Cedro del Líbano.</t>
        </is>
      </c>
      <c r="J591" s="31">
        <f>IF(INDIRECT(ADDRESS(ROW() + (0),COLUMN() + (1)))="Agregar cuotas", IF(("16%")="", "-", "16%"), IF(INDIRECT(ADDRESS(ROW() + (0),COLUMN() + (1)))="No agregar cuotas", IF(("16%")="", "-", "16%"), "-"))</f>
        <v/>
      </c>
      <c r="K591" s="0" t="inlineStr">
        <is>
          <t>No agregar cuotas</t>
        </is>
      </c>
      <c r="L591" s="31">
        <f>IF(INDIRECT(ADDRESS(ROW() + (0),COLUMN() + (-1)))="Agregar cuotas", IF(("13.4%")="", "Sin costo", "13.4%"), IF(INDIRECT(ADDRESS(ROW() + (0),COLUMN() + (-1)))="No agregar cuotas", IF(("")="", "Sin costo", ""), "-"))</f>
        <v/>
      </c>
      <c r="M591" s="0" t="inlineStr">
        <is>
          <t>Mercado Envíos</t>
        </is>
      </c>
      <c r="N591" s="0" t="inlineStr">
        <is>
          <t>A cargo del comprador</t>
        </is>
      </c>
      <c r="O591" s="0" t="inlineStr">
        <is>
          <t>Acepto</t>
        </is>
      </c>
      <c r="P591" s="47" t="inlineStr">
        <is>
          <t>Sin garantía</t>
        </is>
      </c>
      <c r="R591" s="0" t="inlineStr">
        <is>
          <t>Seleccionar</t>
        </is>
      </c>
      <c r="S591" s="0" t="inlineStr">
        <is>
          <t>No ofrezco</t>
        </is>
      </c>
      <c r="T591" t="n">
        <v>1955</v>
      </c>
      <c r="U591" s="0" t="inlineStr">
        <is>
          <t>Francia</t>
        </is>
      </c>
      <c r="X591" s="0" t="inlineStr">
        <is>
          <t>Bronce</t>
        </is>
      </c>
      <c r="Z591" t="inlineStr">
        <is>
          <t>1 Piastra</t>
        </is>
      </c>
      <c r="AA591" s="0" t="inlineStr">
        <is>
          <t>Euro</t>
        </is>
      </c>
      <c r="AB5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1" s="53">
        <f>IF(OR(TRIM(INDIRECT("B"&amp;ROW())) &lt;&gt; "",TRIM(INDIRECT("A"&amp;ROW())) &lt;&gt; ""),AND(TRIM(INDIRECT("A"&amp;ROW())) &lt;&gt; "",TRIM(INDIRECT("D"&amp;ROW())) = "nuevo"),"")</f>
        <v/>
      </c>
    </row>
    <row r="592" ht="27.5" customHeight="1" s="62">
      <c r="B592" t="inlineStr">
        <is>
          <t>Moneda China 5 Yuan Monte Taishan 2019</t>
        </is>
      </c>
      <c r="C592" s="0">
        <f>LEN(INDIRECT(ADDRESS(ROW() + (0),COLUMN() + (-1))))</f>
        <v/>
      </c>
      <c r="D592" s="0" t="inlineStr">
        <is>
          <t>Usado</t>
        </is>
      </c>
      <c r="E592" s="38" t="inlineStr">
        <is>
          <t>https://numismaticapopper.com/images/1264A.jpeg,https://numismaticapopper.com/images/1264B.jpeg</t>
        </is>
      </c>
      <c r="F592" t="inlineStr">
        <is>
          <t>1264</t>
        </is>
      </c>
      <c r="G592" s="40" t="n">
        <v>1</v>
      </c>
      <c r="H592" t="n">
        <v>14000</v>
      </c>
      <c r="I592" t="inlineStr">
        <is>
          <t>Estado de conservacion: Sin Circular
Referencia de catalogo: KM# 2449
Material: Latón
Peso: 11.49 g
Diametro: 27.19 mm
Patrimonio Mundial de la UNESCO - Monte Taishan (Monte Tai). Moneda de forma cuadrada con bordes redondeados.</t>
        </is>
      </c>
      <c r="J592" s="31">
        <f>IF(INDIRECT(ADDRESS(ROW() + (0),COLUMN() + (1)))="Agregar cuotas", IF(("16%")="", "-", "16%"), IF(INDIRECT(ADDRESS(ROW() + (0),COLUMN() + (1)))="No agregar cuotas", IF(("16%")="", "-", "16%"), "-"))</f>
        <v/>
      </c>
      <c r="K592" s="0" t="inlineStr">
        <is>
          <t>No agregar cuotas</t>
        </is>
      </c>
      <c r="L592" s="31">
        <f>IF(INDIRECT(ADDRESS(ROW() + (0),COLUMN() + (-1)))="Agregar cuotas", IF(("13.4%")="", "Sin costo", "13.4%"), IF(INDIRECT(ADDRESS(ROW() + (0),COLUMN() + (-1)))="No agregar cuotas", IF(("")="", "Sin costo", ""), "-"))</f>
        <v/>
      </c>
      <c r="M592" s="0" t="inlineStr">
        <is>
          <t>Mercado Envíos</t>
        </is>
      </c>
      <c r="N592" s="0" t="inlineStr">
        <is>
          <t>A cargo del comprador</t>
        </is>
      </c>
      <c r="O592" s="0" t="inlineStr">
        <is>
          <t>Acepto</t>
        </is>
      </c>
      <c r="P592" s="47" t="inlineStr">
        <is>
          <t>Sin garantía</t>
        </is>
      </c>
      <c r="R592" s="0" t="inlineStr">
        <is>
          <t>Seleccionar</t>
        </is>
      </c>
      <c r="S592" s="0" t="inlineStr">
        <is>
          <t>No ofrezco</t>
        </is>
      </c>
      <c r="T592" t="n">
        <v>2019</v>
      </c>
      <c r="U592" s="0" t="inlineStr">
        <is>
          <t>China</t>
        </is>
      </c>
      <c r="X592" s="0" t="inlineStr">
        <is>
          <t>Bronce</t>
        </is>
      </c>
      <c r="Z592" t="inlineStr">
        <is>
          <t>5 Yuan Monte Taishan</t>
        </is>
      </c>
      <c r="AA592" s="0" t="inlineStr">
        <is>
          <t>Yuan</t>
        </is>
      </c>
      <c r="AB5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2" s="53">
        <f>IF(OR(TRIM(INDIRECT("B"&amp;ROW())) &lt;&gt; "",TRIM(INDIRECT("A"&amp;ROW())) &lt;&gt; ""),AND(TRIM(INDIRECT("A"&amp;ROW())) &lt;&gt; "",TRIM(INDIRECT("D"&amp;ROW())) = "nuevo"),"")</f>
        <v/>
      </c>
    </row>
    <row r="593" ht="27.5" customHeight="1" s="62">
      <c r="B593" t="inlineStr">
        <is>
          <t>Moneda Isla de Pascua 1 Peso Moai (Aluminio) 2021</t>
        </is>
      </c>
      <c r="C593" s="0">
        <f>LEN(INDIRECT(ADDRESS(ROW() + (0),COLUMN() + (-1))))</f>
        <v/>
      </c>
      <c r="D593" s="0" t="inlineStr">
        <is>
          <t>Usado</t>
        </is>
      </c>
      <c r="E593" s="38" t="inlineStr">
        <is>
          <t>https://numismaticapopper.com/images/1265A.jpeg,https://numismaticapopper.com/images/1265B.jpeg</t>
        </is>
      </c>
      <c r="F593" t="inlineStr">
        <is>
          <t>1265</t>
        </is>
      </c>
      <c r="G593" s="40" t="n">
        <v>1</v>
      </c>
      <c r="H593" t="n">
        <v>9000</v>
      </c>
      <c r="I593" t="inlineStr">
        <is>
          <t>Estado de conservacion: Sin Circular
Material: Aluminio
Moneda de Isla de Pascua (Rapa Nui) acuñada en aluminio. Escultura Moai en el reverso y mapa de la isla con la leyenda 'RAPANUI CHILE 2021' en el anverso.</t>
        </is>
      </c>
      <c r="J593" s="31">
        <f>IF(INDIRECT(ADDRESS(ROW() + (0),COLUMN() + (1)))="Agregar cuotas", IF(("16%")="", "-", "16%"), IF(INDIRECT(ADDRESS(ROW() + (0),COLUMN() + (1)))="No agregar cuotas", IF(("16%")="", "-", "16%"), "-"))</f>
        <v/>
      </c>
      <c r="K593" s="0" t="inlineStr">
        <is>
          <t>No agregar cuotas</t>
        </is>
      </c>
      <c r="L593" s="31">
        <f>IF(INDIRECT(ADDRESS(ROW() + (0),COLUMN() + (-1)))="Agregar cuotas", IF(("13.4%")="", "Sin costo", "13.4%"), IF(INDIRECT(ADDRESS(ROW() + (0),COLUMN() + (-1)))="No agregar cuotas", IF(("")="", "Sin costo", ""), "-"))</f>
        <v/>
      </c>
      <c r="M593" s="0" t="inlineStr">
        <is>
          <t>Mercado Envíos</t>
        </is>
      </c>
      <c r="N593" s="0" t="inlineStr">
        <is>
          <t>A cargo del comprador</t>
        </is>
      </c>
      <c r="O593" s="0" t="inlineStr">
        <is>
          <t>Acepto</t>
        </is>
      </c>
      <c r="P593" s="47" t="inlineStr">
        <is>
          <t>Sin garantía</t>
        </is>
      </c>
      <c r="R593" s="0" t="inlineStr">
        <is>
          <t>Seleccionar</t>
        </is>
      </c>
      <c r="S593" s="0" t="inlineStr">
        <is>
          <t>No ofrezco</t>
        </is>
      </c>
      <c r="T593" t="n">
        <v>2021</v>
      </c>
      <c r="U593" s="0" t="inlineStr">
        <is>
          <t>Chile</t>
        </is>
      </c>
      <c r="X593" s="0" t="inlineStr">
        <is>
          <t>Níquel</t>
        </is>
      </c>
      <c r="Z593" t="inlineStr">
        <is>
          <t>1 Peso Moai (Aluminio)</t>
        </is>
      </c>
      <c r="AA593" s="0" t="inlineStr">
        <is>
          <t>Peso</t>
        </is>
      </c>
      <c r="AB5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3" s="53">
        <f>IF(OR(TRIM(INDIRECT("B"&amp;ROW())) &lt;&gt; "",TRIM(INDIRECT("A"&amp;ROW())) &lt;&gt; ""),AND(TRIM(INDIRECT("A"&amp;ROW())) &lt;&gt; "",TRIM(INDIRECT("D"&amp;ROW())) = "nuevo"),"")</f>
        <v/>
      </c>
    </row>
    <row r="594" ht="27.5" customHeight="1" s="62">
      <c r="B594" t="inlineStr">
        <is>
          <t>Moneda Argentina Blister 1 Peso 2023</t>
        </is>
      </c>
      <c r="C594" s="0">
        <f>LEN(INDIRECT(ADDRESS(ROW() + (0),COLUMN() + (-1))))</f>
        <v/>
      </c>
      <c r="D594" s="0" t="inlineStr">
        <is>
          <t>Usado</t>
        </is>
      </c>
      <c r="E594" s="38" t="inlineStr">
        <is>
          <t>https://numismaticapopper.com/images/1268A.jpeg,https://numismaticapopper.com/images/1268B.jpeg,https://numismaticapopper.com/images/1268C.jpeg,https://numismaticapopper.com/images/1268D.jpeg</t>
        </is>
      </c>
      <c r="F594" t="inlineStr">
        <is>
          <t>1268</t>
        </is>
      </c>
      <c r="G594" s="40" t="n">
        <v>1</v>
      </c>
      <c r="H594" t="n">
        <v>301000</v>
      </c>
      <c r="I594" t="inlineStr">
        <is>
          <t>Estado de conservacion: Sin Circular
Referencia de catalogo: KM# 194
Material: Plata .900
Peso: 25 g
Tirada: 2500
Conmemora: 40 Aniversario de la Restauración de la Democracia
40 Aniversario de la Restauración de la Democracia. Incluye Blister + Certificado. Solo 2.500 acuñadas.</t>
        </is>
      </c>
      <c r="J594" s="31">
        <f>IF(INDIRECT(ADDRESS(ROW() + (0),COLUMN() + (1)))="Agregar cuotas", IF(("16%")="", "-", "16%"), IF(INDIRECT(ADDRESS(ROW() + (0),COLUMN() + (1)))="No agregar cuotas", IF(("16%")="", "-", "16%"), "-"))</f>
        <v/>
      </c>
      <c r="K594" s="0" t="inlineStr">
        <is>
          <t>No agregar cuotas</t>
        </is>
      </c>
      <c r="L594" s="31">
        <f>IF(INDIRECT(ADDRESS(ROW() + (0),COLUMN() + (-1)))="Agregar cuotas", IF(("13.4%")="", "Sin costo", "13.4%"), IF(INDIRECT(ADDRESS(ROW() + (0),COLUMN() + (-1)))="No agregar cuotas", IF(("")="", "Sin costo", ""), "-"))</f>
        <v/>
      </c>
      <c r="M594" s="0" t="inlineStr">
        <is>
          <t>Mercado Envíos</t>
        </is>
      </c>
      <c r="N594" s="0" t="inlineStr">
        <is>
          <t>Ofrecés envío gratis</t>
        </is>
      </c>
      <c r="O594" s="0" t="inlineStr">
        <is>
          <t>Acepto</t>
        </is>
      </c>
      <c r="P594" s="47" t="inlineStr">
        <is>
          <t>Sin garantía</t>
        </is>
      </c>
      <c r="R594" s="0" t="inlineStr">
        <is>
          <t>Seleccionar</t>
        </is>
      </c>
      <c r="S594" s="0" t="inlineStr">
        <is>
          <t>No ofrezco</t>
        </is>
      </c>
      <c r="T594" t="n">
        <v>2023</v>
      </c>
      <c r="U594" s="0" t="inlineStr">
        <is>
          <t>Argentina</t>
        </is>
      </c>
      <c r="X594" s="0" t="inlineStr">
        <is>
          <t>Plata</t>
        </is>
      </c>
      <c r="Y594" t="inlineStr">
        <is>
          <t>40 Aniversario de la Restauración de la Democracia</t>
        </is>
      </c>
      <c r="Z594" t="inlineStr">
        <is>
          <t>Blister 1 Peso</t>
        </is>
      </c>
      <c r="AA594" s="0" t="inlineStr">
        <is>
          <t>Peso</t>
        </is>
      </c>
      <c r="AB5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4" s="53">
        <f>IF(OR(TRIM(INDIRECT("B"&amp;ROW())) &lt;&gt; "",TRIM(INDIRECT("A"&amp;ROW())) &lt;&gt; ""),AND(TRIM(INDIRECT("A"&amp;ROW())) &lt;&gt; "",TRIM(INDIRECT("D"&amp;ROW())) = "nuevo"),"")</f>
        <v/>
      </c>
    </row>
    <row r="595" ht="27.5" customHeight="1" s="62">
      <c r="B595" t="inlineStr">
        <is>
          <t>Moneda Vanuatu 10 Vatu 2009</t>
        </is>
      </c>
      <c r="C595" s="0">
        <f>LEN(INDIRECT(ADDRESS(ROW() + (0),COLUMN() + (-1))))</f>
        <v/>
      </c>
      <c r="D595" s="0" t="inlineStr">
        <is>
          <t>Usado</t>
        </is>
      </c>
      <c r="E595" s="38" t="inlineStr">
        <is>
          <t>https://numismaticapopper.com/images/1269A.jpeg,https://numismaticapopper.com/images/1269B.jpeg</t>
        </is>
      </c>
      <c r="F595" t="inlineStr">
        <is>
          <t>1269</t>
        </is>
      </c>
      <c r="G595" s="40" t="n">
        <v>1</v>
      </c>
      <c r="H595" t="n">
        <v>9000</v>
      </c>
      <c r="I595" t="inlineStr">
        <is>
          <t>Estado de conservacion: Sin Circular
Referencia de catalogo: KM# 6
Material: Cuproníquel</t>
        </is>
      </c>
      <c r="J595" s="31">
        <f>IF(INDIRECT(ADDRESS(ROW() + (0),COLUMN() + (1)))="Agregar cuotas", IF(("16%")="", "-", "16%"), IF(INDIRECT(ADDRESS(ROW() + (0),COLUMN() + (1)))="No agregar cuotas", IF(("16%")="", "-", "16%"), "-"))</f>
        <v/>
      </c>
      <c r="K595" s="0" t="inlineStr">
        <is>
          <t>No agregar cuotas</t>
        </is>
      </c>
      <c r="L595" s="31">
        <f>IF(INDIRECT(ADDRESS(ROW() + (0),COLUMN() + (-1)))="Agregar cuotas", IF(("13.4%")="", "Sin costo", "13.4%"), IF(INDIRECT(ADDRESS(ROW() + (0),COLUMN() + (-1)))="No agregar cuotas", IF(("")="", "Sin costo", ""), "-"))</f>
        <v/>
      </c>
      <c r="M595" s="0" t="inlineStr">
        <is>
          <t>Mercado Envíos</t>
        </is>
      </c>
      <c r="N595" s="0" t="inlineStr">
        <is>
          <t>A cargo del comprador</t>
        </is>
      </c>
      <c r="O595" s="0" t="inlineStr">
        <is>
          <t>Acepto</t>
        </is>
      </c>
      <c r="P595" s="47" t="inlineStr">
        <is>
          <t>Sin garantía</t>
        </is>
      </c>
      <c r="R595" s="0" t="inlineStr">
        <is>
          <t>Seleccionar</t>
        </is>
      </c>
      <c r="S595" s="0" t="inlineStr">
        <is>
          <t>No ofrezco</t>
        </is>
      </c>
      <c r="T595" t="n">
        <v>2009</v>
      </c>
      <c r="U595" s="0" t="inlineStr">
        <is>
          <t>Inglaterra</t>
        </is>
      </c>
      <c r="X595" s="0" t="inlineStr">
        <is>
          <t>Níquel</t>
        </is>
      </c>
      <c r="Z595" t="inlineStr">
        <is>
          <t>10 Vatu</t>
        </is>
      </c>
      <c r="AA595" s="0" t="inlineStr">
        <is>
          <t>Dólar</t>
        </is>
      </c>
      <c r="AB5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5" s="53">
        <f>IF(OR(TRIM(INDIRECT("B"&amp;ROW())) &lt;&gt; "",TRIM(INDIRECT("A"&amp;ROW())) &lt;&gt; ""),AND(TRIM(INDIRECT("A"&amp;ROW())) &lt;&gt; "",TRIM(INDIRECT("D"&amp;ROW())) = "nuevo"),"")</f>
        <v/>
      </c>
    </row>
    <row r="596" ht="27.5" customHeight="1" s="62">
      <c r="B596" t="inlineStr">
        <is>
          <t>Moneda Yemen 5 Rials 2004</t>
        </is>
      </c>
      <c r="C596" s="0">
        <f>LEN(INDIRECT(ADDRESS(ROW() + (0),COLUMN() + (-1))))</f>
        <v/>
      </c>
      <c r="D596" s="0" t="inlineStr">
        <is>
          <t>Usado</t>
        </is>
      </c>
      <c r="E596" s="38" t="inlineStr">
        <is>
          <t>https://numismaticapopper.com/images/1270A.jpeg,https://numismaticapopper.com/images/1270B.jpeg</t>
        </is>
      </c>
      <c r="F596" t="inlineStr">
        <is>
          <t>1270</t>
        </is>
      </c>
      <c r="G596" s="40" t="n">
        <v>1</v>
      </c>
      <c r="H596" t="n">
        <v>10000</v>
      </c>
      <c r="I596" t="inlineStr">
        <is>
          <t>Estado de conservacion: Sin Circular
Referencia de catalogo: KM# 26
Material: Acero inoxidable</t>
        </is>
      </c>
      <c r="J596" s="31">
        <f>IF(INDIRECT(ADDRESS(ROW() + (0),COLUMN() + (1)))="Agregar cuotas", IF(("16%")="", "-", "16%"), IF(INDIRECT(ADDRESS(ROW() + (0),COLUMN() + (1)))="No agregar cuotas", IF(("16%")="", "-", "16%"), "-"))</f>
        <v/>
      </c>
      <c r="K596" s="0" t="inlineStr">
        <is>
          <t>No agregar cuotas</t>
        </is>
      </c>
      <c r="L596" s="31">
        <f>IF(INDIRECT(ADDRESS(ROW() + (0),COLUMN() + (-1)))="Agregar cuotas", IF(("13.4%")="", "Sin costo", "13.4%"), IF(INDIRECT(ADDRESS(ROW() + (0),COLUMN() + (-1)))="No agregar cuotas", IF(("")="", "Sin costo", ""), "-"))</f>
        <v/>
      </c>
      <c r="M596" s="0" t="inlineStr">
        <is>
          <t>Mercado Envíos</t>
        </is>
      </c>
      <c r="N596" s="0" t="inlineStr">
        <is>
          <t>A cargo del comprador</t>
        </is>
      </c>
      <c r="O596" s="0" t="inlineStr">
        <is>
          <t>Acepto</t>
        </is>
      </c>
      <c r="P596" s="47" t="inlineStr">
        <is>
          <t>Sin garantía</t>
        </is>
      </c>
      <c r="R596" s="0" t="inlineStr">
        <is>
          <t>Seleccionar</t>
        </is>
      </c>
      <c r="S596" s="0" t="inlineStr">
        <is>
          <t>No ofrezco</t>
        </is>
      </c>
      <c r="T596" t="n">
        <v>2004</v>
      </c>
      <c r="U596" s="0" t="inlineStr">
        <is>
          <t>Israel</t>
        </is>
      </c>
      <c r="X596" s="0" t="inlineStr">
        <is>
          <t>Níquel</t>
        </is>
      </c>
      <c r="Z596" t="inlineStr">
        <is>
          <t>5 Rials</t>
        </is>
      </c>
      <c r="AA596" s="0" t="inlineStr">
        <is>
          <t>Sheqel</t>
        </is>
      </c>
      <c r="AB5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6" s="53">
        <f>IF(OR(TRIM(INDIRECT("B"&amp;ROW())) &lt;&gt; "",TRIM(INDIRECT("A"&amp;ROW())) &lt;&gt; ""),AND(TRIM(INDIRECT("A"&amp;ROW())) &lt;&gt; "",TRIM(INDIRECT("D"&amp;ROW())) = "nuevo"),"")</f>
        <v/>
      </c>
    </row>
    <row r="597" ht="27.5" customHeight="1" s="62">
      <c r="B597" t="inlineStr">
        <is>
          <t>Moneda Maldivas 10 Laari 2012</t>
        </is>
      </c>
      <c r="C597" s="0">
        <f>LEN(INDIRECT(ADDRESS(ROW() + (0),COLUMN() + (-1))))</f>
        <v/>
      </c>
      <c r="D597" s="0" t="inlineStr">
        <is>
          <t>Usado</t>
        </is>
      </c>
      <c r="E597" s="38" t="inlineStr">
        <is>
          <t>https://numismaticapopper.com/images/1271A.jpeg,https://numismaticapopper.com/images/1271B.jpeg</t>
        </is>
      </c>
      <c r="F597" t="inlineStr">
        <is>
          <t>1271</t>
        </is>
      </c>
      <c r="G597" s="40" t="n">
        <v>1</v>
      </c>
      <c r="H597" t="n">
        <v>8000</v>
      </c>
      <c r="I597" t="inlineStr">
        <is>
          <t>Estado de conservacion: Sin Circular
Referencia de catalogo: KM# 115
Material: Aluminio</t>
        </is>
      </c>
      <c r="J597" s="31">
        <f>IF(INDIRECT(ADDRESS(ROW() + (0),COLUMN() + (1)))="Agregar cuotas", IF(("16%")="", "-", "16%"), IF(INDIRECT(ADDRESS(ROW() + (0),COLUMN() + (1)))="No agregar cuotas", IF(("16%")="", "-", "16%"), "-"))</f>
        <v/>
      </c>
      <c r="K597" s="0" t="inlineStr">
        <is>
          <t>No agregar cuotas</t>
        </is>
      </c>
      <c r="L597" s="31">
        <f>IF(INDIRECT(ADDRESS(ROW() + (0),COLUMN() + (-1)))="Agregar cuotas", IF(("13.4%")="", "Sin costo", "13.4%"), IF(INDIRECT(ADDRESS(ROW() + (0),COLUMN() + (-1)))="No agregar cuotas", IF(("")="", "Sin costo", ""), "-"))</f>
        <v/>
      </c>
      <c r="M597" s="0" t="inlineStr">
        <is>
          <t>Mercado Envíos</t>
        </is>
      </c>
      <c r="N597" s="0" t="inlineStr">
        <is>
          <t>A cargo del comprador</t>
        </is>
      </c>
      <c r="O597" s="0" t="inlineStr">
        <is>
          <t>Acepto</t>
        </is>
      </c>
      <c r="P597" s="47" t="inlineStr">
        <is>
          <t>Sin garantía</t>
        </is>
      </c>
      <c r="R597" s="0" t="inlineStr">
        <is>
          <t>Seleccionar</t>
        </is>
      </c>
      <c r="S597" s="0" t="inlineStr">
        <is>
          <t>No ofrezco</t>
        </is>
      </c>
      <c r="T597" t="n">
        <v>2012</v>
      </c>
      <c r="U597" s="0" t="inlineStr">
        <is>
          <t>Inglaterra</t>
        </is>
      </c>
      <c r="X597" s="0" t="inlineStr">
        <is>
          <t>Níquel</t>
        </is>
      </c>
      <c r="Z597" t="inlineStr">
        <is>
          <t>10 Laari</t>
        </is>
      </c>
      <c r="AA597" s="0" t="inlineStr">
        <is>
          <t>Dólar</t>
        </is>
      </c>
      <c r="AB5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7" s="53">
        <f>IF(OR(TRIM(INDIRECT("B"&amp;ROW())) &lt;&gt; "",TRIM(INDIRECT("A"&amp;ROW())) &lt;&gt; ""),AND(TRIM(INDIRECT("A"&amp;ROW())) &lt;&gt; "",TRIM(INDIRECT("D"&amp;ROW())) = "nuevo"),"")</f>
        <v/>
      </c>
    </row>
    <row r="598" ht="27.5" customHeight="1" s="62">
      <c r="B598" t="inlineStr">
        <is>
          <t>Moneda Tayikistán 1 Somoni 2025</t>
        </is>
      </c>
      <c r="C598" s="0">
        <f>LEN(INDIRECT(ADDRESS(ROW() + (0),COLUMN() + (-1))))</f>
        <v/>
      </c>
      <c r="D598" s="0" t="inlineStr">
        <is>
          <t>Usado</t>
        </is>
      </c>
      <c r="E598" s="38" t="inlineStr">
        <is>
          <t>https://numismaticapopper.com/images/1274A.jpeg,https://numismaticapopper.com/images/1274B.jpeg</t>
        </is>
      </c>
      <c r="F598" t="inlineStr">
        <is>
          <t>1274</t>
        </is>
      </c>
      <c r="G598" s="40" t="n">
        <v>1</v>
      </c>
      <c r="H598" t="n">
        <v>11000</v>
      </c>
      <c r="I598" t="inlineStr">
        <is>
          <t>Estado de conservacion: Sin Circular
Referencia de catalogo: KM# 56
Material: Latón de níquel</t>
        </is>
      </c>
      <c r="J598" s="31">
        <f>IF(INDIRECT(ADDRESS(ROW() + (0),COLUMN() + (1)))="Agregar cuotas", IF(("16%")="", "-", "16%"), IF(INDIRECT(ADDRESS(ROW() + (0),COLUMN() + (1)))="No agregar cuotas", IF(("16%")="", "-", "16%"), "-"))</f>
        <v/>
      </c>
      <c r="K598" s="0" t="inlineStr">
        <is>
          <t>No agregar cuotas</t>
        </is>
      </c>
      <c r="L598" s="31">
        <f>IF(INDIRECT(ADDRESS(ROW() + (0),COLUMN() + (-1)))="Agregar cuotas", IF(("13.4%")="", "Sin costo", "13.4%"), IF(INDIRECT(ADDRESS(ROW() + (0),COLUMN() + (-1)))="No agregar cuotas", IF(("")="", "Sin costo", ""), "-"))</f>
        <v/>
      </c>
      <c r="M598" s="0" t="inlineStr">
        <is>
          <t>Mercado Envíos</t>
        </is>
      </c>
      <c r="N598" s="0" t="inlineStr">
        <is>
          <t>A cargo del comprador</t>
        </is>
      </c>
      <c r="O598" s="0" t="inlineStr">
        <is>
          <t>Acepto</t>
        </is>
      </c>
      <c r="P598" s="47" t="inlineStr">
        <is>
          <t>Sin garantía</t>
        </is>
      </c>
      <c r="R598" s="0" t="inlineStr">
        <is>
          <t>Seleccionar</t>
        </is>
      </c>
      <c r="S598" s="0" t="inlineStr">
        <is>
          <t>No ofrezco</t>
        </is>
      </c>
      <c r="T598" t="n">
        <v>2025</v>
      </c>
      <c r="U598" s="0" t="inlineStr">
        <is>
          <t>Rusia</t>
        </is>
      </c>
      <c r="X598" s="0" t="inlineStr">
        <is>
          <t>Níquel</t>
        </is>
      </c>
      <c r="Z598" t="inlineStr">
        <is>
          <t>1 Somoni</t>
        </is>
      </c>
      <c r="AA598" s="0" t="inlineStr">
        <is>
          <t>Rublo</t>
        </is>
      </c>
      <c r="AB5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8" s="53">
        <f>IF(OR(TRIM(INDIRECT("B"&amp;ROW())) &lt;&gt; "",TRIM(INDIRECT("A"&amp;ROW())) &lt;&gt; ""),AND(TRIM(INDIRECT("A"&amp;ROW())) &lt;&gt; "",TRIM(INDIRECT("D"&amp;ROW())) = "nuevo"),"")</f>
        <v/>
      </c>
    </row>
    <row r="599" ht="27.5" customHeight="1" s="62">
      <c r="B599" t="inlineStr">
        <is>
          <t>Moneda Países Bajos 1 Gulden 2001</t>
        </is>
      </c>
      <c r="C599" s="0">
        <f>LEN(INDIRECT(ADDRESS(ROW() + (0),COLUMN() + (-1))))</f>
        <v/>
      </c>
      <c r="D599" s="0" t="inlineStr">
        <is>
          <t>Usado</t>
        </is>
      </c>
      <c r="E599" s="38" t="inlineStr">
        <is>
          <t>https://numismaticapopper.com/images/1275A.jpeg,https://numismaticapopper.com/images/1275B.jpeg</t>
        </is>
      </c>
      <c r="F599" t="inlineStr">
        <is>
          <t>1275</t>
        </is>
      </c>
      <c r="G599" s="40" t="n">
        <v>1</v>
      </c>
      <c r="H599" t="n">
        <v>12000</v>
      </c>
      <c r="I599" t="inlineStr">
        <is>
          <t>Estado de conservacion: Sin Circular
Referencia de catalogo: KM# 205
Material: Níquel
Conmemora: Último Gulden (Tim van Melis)</t>
        </is>
      </c>
      <c r="J599" s="31">
        <f>IF(INDIRECT(ADDRESS(ROW() + (0),COLUMN() + (1)))="Agregar cuotas", IF(("16%")="", "-", "16%"), IF(INDIRECT(ADDRESS(ROW() + (0),COLUMN() + (1)))="No agregar cuotas", IF(("16%")="", "-", "16%"), "-"))</f>
        <v/>
      </c>
      <c r="K599" s="0" t="inlineStr">
        <is>
          <t>No agregar cuotas</t>
        </is>
      </c>
      <c r="L599" s="31">
        <f>IF(INDIRECT(ADDRESS(ROW() + (0),COLUMN() + (-1)))="Agregar cuotas", IF(("13.4%")="", "Sin costo", "13.4%"), IF(INDIRECT(ADDRESS(ROW() + (0),COLUMN() + (-1)))="No agregar cuotas", IF(("")="", "Sin costo", ""), "-"))</f>
        <v/>
      </c>
      <c r="M599" s="0" t="inlineStr">
        <is>
          <t>Mercado Envíos</t>
        </is>
      </c>
      <c r="N599" s="0" t="inlineStr">
        <is>
          <t>A cargo del comprador</t>
        </is>
      </c>
      <c r="O599" s="0" t="inlineStr">
        <is>
          <t>Acepto</t>
        </is>
      </c>
      <c r="P599" s="47" t="inlineStr">
        <is>
          <t>Sin garantía</t>
        </is>
      </c>
      <c r="R599" s="0" t="inlineStr">
        <is>
          <t>Seleccionar</t>
        </is>
      </c>
      <c r="S599" s="0" t="inlineStr">
        <is>
          <t>No ofrezco</t>
        </is>
      </c>
      <c r="T599" t="n">
        <v>2001</v>
      </c>
      <c r="U599" s="0" t="inlineStr">
        <is>
          <t>Holanda</t>
        </is>
      </c>
      <c r="X599" s="0" t="inlineStr">
        <is>
          <t>Níquel</t>
        </is>
      </c>
      <c r="Y599" t="inlineStr">
        <is>
          <t>Último Gulden (Tim van Melis)</t>
        </is>
      </c>
      <c r="Z599" t="inlineStr">
        <is>
          <t>1 Gulden</t>
        </is>
      </c>
      <c r="AA599" s="0" t="inlineStr">
        <is>
          <t>Euro</t>
        </is>
      </c>
      <c r="AB5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599" s="53">
        <f>IF(OR(TRIM(INDIRECT("B"&amp;ROW())) &lt;&gt; "",TRIM(INDIRECT("A"&amp;ROW())) &lt;&gt; ""),AND(TRIM(INDIRECT("A"&amp;ROW())) &lt;&gt; "",TRIM(INDIRECT("D"&amp;ROW())) = "nuevo"),"")</f>
        <v/>
      </c>
    </row>
    <row r="600" ht="27.5" customHeight="1" s="62">
      <c r="B600" t="inlineStr">
        <is>
          <t>Moneda Hungría 10 Forint 2020</t>
        </is>
      </c>
      <c r="C600" s="0">
        <f>LEN(INDIRECT(ADDRESS(ROW() + (0),COLUMN() + (-1))))</f>
        <v/>
      </c>
      <c r="D600" s="0" t="inlineStr">
        <is>
          <t>Usado</t>
        </is>
      </c>
      <c r="E600" s="38" t="inlineStr">
        <is>
          <t>https://numismaticapopper.com/images/1276A.jpeg,https://numismaticapopper.com/images/1276B.jpeg</t>
        </is>
      </c>
      <c r="F600" t="inlineStr">
        <is>
          <t>1276</t>
        </is>
      </c>
      <c r="G600" s="40" t="n">
        <v>1</v>
      </c>
      <c r="H600" t="n">
        <v>9000</v>
      </c>
      <c r="I600" t="inlineStr">
        <is>
          <t>Estado de conservacion: Sin Circular
Referencia de catalogo: KM# 848
Material: Cuproníquel
Conmemora: Tributo a los Héroes de la Pandemia COVID-19</t>
        </is>
      </c>
      <c r="J600" s="31">
        <f>IF(INDIRECT(ADDRESS(ROW() + (0),COLUMN() + (1)))="Agregar cuotas", IF(("16%")="", "-", "16%"), IF(INDIRECT(ADDRESS(ROW() + (0),COLUMN() + (1)))="No agregar cuotas", IF(("16%")="", "-", "16%"), "-"))</f>
        <v/>
      </c>
      <c r="K600" s="0" t="inlineStr">
        <is>
          <t>No agregar cuotas</t>
        </is>
      </c>
      <c r="L600" s="31">
        <f>IF(INDIRECT(ADDRESS(ROW() + (0),COLUMN() + (-1)))="Agregar cuotas", IF(("13.4%")="", "Sin costo", "13.4%"), IF(INDIRECT(ADDRESS(ROW() + (0),COLUMN() + (-1)))="No agregar cuotas", IF(("")="", "Sin costo", ""), "-"))</f>
        <v/>
      </c>
      <c r="M600" s="0" t="inlineStr">
        <is>
          <t>Mercado Envíos</t>
        </is>
      </c>
      <c r="N600" s="0" t="inlineStr">
        <is>
          <t>A cargo del comprador</t>
        </is>
      </c>
      <c r="O600" s="0" t="inlineStr">
        <is>
          <t>Acepto</t>
        </is>
      </c>
      <c r="P600" s="47" t="inlineStr">
        <is>
          <t>Sin garantía</t>
        </is>
      </c>
      <c r="R600" s="0" t="inlineStr">
        <is>
          <t>Seleccionar</t>
        </is>
      </c>
      <c r="S600" s="0" t="inlineStr">
        <is>
          <t>No ofrezco</t>
        </is>
      </c>
      <c r="T600" t="n">
        <v>2020</v>
      </c>
      <c r="U600" s="0" t="inlineStr">
        <is>
          <t>Austria</t>
        </is>
      </c>
      <c r="X600" s="0" t="inlineStr">
        <is>
          <t>Níquel</t>
        </is>
      </c>
      <c r="Y600" t="inlineStr">
        <is>
          <t>Tributo a los Héroes de la Pandemia COVID-19</t>
        </is>
      </c>
      <c r="Z600" t="inlineStr">
        <is>
          <t>10 Forint</t>
        </is>
      </c>
      <c r="AA600" s="0" t="inlineStr">
        <is>
          <t>Euro</t>
        </is>
      </c>
      <c r="AB6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0" s="53">
        <f>IF(OR(TRIM(INDIRECT("B"&amp;ROW())) &lt;&gt; "",TRIM(INDIRECT("A"&amp;ROW())) &lt;&gt; ""),AND(TRIM(INDIRECT("A"&amp;ROW())) &lt;&gt; "",TRIM(INDIRECT("D"&amp;ROW())) = "nuevo"),"")</f>
        <v/>
      </c>
    </row>
    <row r="601" ht="27.5" customHeight="1" s="62">
      <c r="B601" t="inlineStr">
        <is>
          <t>Moneda Canadá 1 Dólar 1973</t>
        </is>
      </c>
      <c r="C601" s="0">
        <f>LEN(INDIRECT(ADDRESS(ROW() + (0),COLUMN() + (-1))))</f>
        <v/>
      </c>
      <c r="D601" s="0" t="inlineStr">
        <is>
          <t>Usado</t>
        </is>
      </c>
      <c r="E601" s="38" t="inlineStr">
        <is>
          <t>https://numismaticapopper.com/images/1277A.jpeg,https://numismaticapopper.com/images/1277B.jpeg</t>
        </is>
      </c>
      <c r="F601" t="inlineStr">
        <is>
          <t>1277</t>
        </is>
      </c>
      <c r="G601" s="40" t="n">
        <v>1</v>
      </c>
      <c r="H601" t="n">
        <v>11000</v>
      </c>
      <c r="I601" t="inlineStr">
        <is>
          <t>Estado de conservacion: Sin Circular
Referencia de catalogo: KM# 82
Material: Níquel
Conmemora: Centenario de la Isla del Príncipe Eduardo</t>
        </is>
      </c>
      <c r="J601" s="31">
        <f>IF(INDIRECT(ADDRESS(ROW() + (0),COLUMN() + (1)))="Agregar cuotas", IF(("16%")="", "-", "16%"), IF(INDIRECT(ADDRESS(ROW() + (0),COLUMN() + (1)))="No agregar cuotas", IF(("16%")="", "-", "16%"), "-"))</f>
        <v/>
      </c>
      <c r="K601" s="0" t="inlineStr">
        <is>
          <t>No agregar cuotas</t>
        </is>
      </c>
      <c r="L601" s="31">
        <f>IF(INDIRECT(ADDRESS(ROW() + (0),COLUMN() + (-1)))="Agregar cuotas", IF(("13.4%")="", "Sin costo", "13.4%"), IF(INDIRECT(ADDRESS(ROW() + (0),COLUMN() + (-1)))="No agregar cuotas", IF(("")="", "Sin costo", ""), "-"))</f>
        <v/>
      </c>
      <c r="M601" s="0" t="inlineStr">
        <is>
          <t>Mercado Envíos</t>
        </is>
      </c>
      <c r="N601" s="0" t="inlineStr">
        <is>
          <t>A cargo del comprador</t>
        </is>
      </c>
      <c r="O601" s="0" t="inlineStr">
        <is>
          <t>Acepto</t>
        </is>
      </c>
      <c r="P601" s="47" t="inlineStr">
        <is>
          <t>Sin garantía</t>
        </is>
      </c>
      <c r="R601" s="0" t="inlineStr">
        <is>
          <t>Seleccionar</t>
        </is>
      </c>
      <c r="S601" s="0" t="inlineStr">
        <is>
          <t>No ofrezco</t>
        </is>
      </c>
      <c r="T601" t="n">
        <v>1973</v>
      </c>
      <c r="U601" s="0" t="inlineStr">
        <is>
          <t>Canadá</t>
        </is>
      </c>
      <c r="X601" s="0" t="inlineStr">
        <is>
          <t>Níquel</t>
        </is>
      </c>
      <c r="Y601" t="inlineStr">
        <is>
          <t>Centenario de la Isla del Príncipe Eduardo</t>
        </is>
      </c>
      <c r="Z601" t="inlineStr">
        <is>
          <t>1 Dólar</t>
        </is>
      </c>
      <c r="AA601" s="0" t="inlineStr">
        <is>
          <t>Dólar</t>
        </is>
      </c>
      <c r="AB6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1" s="53">
        <f>IF(OR(TRIM(INDIRECT("B"&amp;ROW())) &lt;&gt; "",TRIM(INDIRECT("A"&amp;ROW())) &lt;&gt; ""),AND(TRIM(INDIRECT("A"&amp;ROW())) &lt;&gt; "",TRIM(INDIRECT("D"&amp;ROW())) = "nuevo"),"")</f>
        <v/>
      </c>
    </row>
    <row r="602" ht="27.5" customHeight="1" s="62">
      <c r="B602" t="inlineStr">
        <is>
          <t>Moneda Seychelles 1 Cent 2022</t>
        </is>
      </c>
      <c r="C602" s="0">
        <f>LEN(INDIRECT(ADDRESS(ROW() + (0),COLUMN() + (-1))))</f>
        <v/>
      </c>
      <c r="D602" s="0" t="inlineStr">
        <is>
          <t>Usado</t>
        </is>
      </c>
      <c r="E602" s="38" t="inlineStr">
        <is>
          <t>https://numismaticapopper.com/images/1279A.jpeg,https://numismaticapopper.com/images/1279B.jpeg</t>
        </is>
      </c>
      <c r="F602" t="inlineStr">
        <is>
          <t>1279</t>
        </is>
      </c>
      <c r="G602" s="40" t="n">
        <v>1</v>
      </c>
      <c r="H602" t="n">
        <v>8000</v>
      </c>
      <c r="I602" t="inlineStr">
        <is>
          <t>Estado de conservacion: Sin Circular
Referencia de catalogo: KM# 176
Material: Bronce</t>
        </is>
      </c>
      <c r="J602" s="31">
        <f>IF(INDIRECT(ADDRESS(ROW() + (0),COLUMN() + (1)))="Agregar cuotas", IF(("16%")="", "-", "16%"), IF(INDIRECT(ADDRESS(ROW() + (0),COLUMN() + (1)))="No agregar cuotas", IF(("16%")="", "-", "16%"), "-"))</f>
        <v/>
      </c>
      <c r="K602" s="0" t="inlineStr">
        <is>
          <t>No agregar cuotas</t>
        </is>
      </c>
      <c r="L602" s="31">
        <f>IF(INDIRECT(ADDRESS(ROW() + (0),COLUMN() + (-1)))="Agregar cuotas", IF(("13.4%")="", "Sin costo", "13.4%"), IF(INDIRECT(ADDRESS(ROW() + (0),COLUMN() + (-1)))="No agregar cuotas", IF(("")="", "Sin costo", ""), "-"))</f>
        <v/>
      </c>
      <c r="M602" s="0" t="inlineStr">
        <is>
          <t>Mercado Envíos</t>
        </is>
      </c>
      <c r="N602" s="0" t="inlineStr">
        <is>
          <t>A cargo del comprador</t>
        </is>
      </c>
      <c r="O602" s="0" t="inlineStr">
        <is>
          <t>Acepto</t>
        </is>
      </c>
      <c r="P602" s="47" t="inlineStr">
        <is>
          <t>Sin garantía</t>
        </is>
      </c>
      <c r="R602" s="0" t="inlineStr">
        <is>
          <t>Seleccionar</t>
        </is>
      </c>
      <c r="S602" s="0" t="inlineStr">
        <is>
          <t>No ofrezco</t>
        </is>
      </c>
      <c r="T602" t="n">
        <v>2022</v>
      </c>
      <c r="U602" s="0" t="inlineStr">
        <is>
          <t>Inglaterra</t>
        </is>
      </c>
      <c r="X602" s="0" t="inlineStr">
        <is>
          <t>Bronce</t>
        </is>
      </c>
      <c r="Z602" t="inlineStr">
        <is>
          <t>1 Cent</t>
        </is>
      </c>
      <c r="AA602" s="0" t="inlineStr">
        <is>
          <t>Dólar</t>
        </is>
      </c>
      <c r="AB6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2" s="53">
        <f>IF(OR(TRIM(INDIRECT("B"&amp;ROW())) &lt;&gt; "",TRIM(INDIRECT("A"&amp;ROW())) &lt;&gt; ""),AND(TRIM(INDIRECT("A"&amp;ROW())) &lt;&gt; "",TRIM(INDIRECT("D"&amp;ROW())) = "nuevo"),"")</f>
        <v/>
      </c>
    </row>
    <row r="603" ht="27.5" customHeight="1" s="62">
      <c r="B603" t="inlineStr">
        <is>
          <t>Moneda Belice 10 Cents 2020</t>
        </is>
      </c>
      <c r="C603" s="0">
        <f>LEN(INDIRECT(ADDRESS(ROW() + (0),COLUMN() + (-1))))</f>
        <v/>
      </c>
      <c r="D603" s="0" t="inlineStr">
        <is>
          <t>Usado</t>
        </is>
      </c>
      <c r="E603" s="38" t="inlineStr">
        <is>
          <t>https://numismaticapopper.com/images/1280A.jpeg,https://numismaticapopper.com/images/1280B.jpeg</t>
        </is>
      </c>
      <c r="F603" t="inlineStr">
        <is>
          <t>1280</t>
        </is>
      </c>
      <c r="G603" s="40" t="n">
        <v>1</v>
      </c>
      <c r="H603" t="n">
        <v>8000</v>
      </c>
      <c r="I603" t="inlineStr">
        <is>
          <t>Estado de conservacion: Sin Circular
Referencia de catalogo: KM# 35
Material: Cuproníquel</t>
        </is>
      </c>
      <c r="J603" s="31">
        <f>IF(INDIRECT(ADDRESS(ROW() + (0),COLUMN() + (1)))="Agregar cuotas", IF(("16%")="", "-", "16%"), IF(INDIRECT(ADDRESS(ROW() + (0),COLUMN() + (1)))="No agregar cuotas", IF(("16%")="", "-", "16%"), "-"))</f>
        <v/>
      </c>
      <c r="K603" s="0" t="inlineStr">
        <is>
          <t>No agregar cuotas</t>
        </is>
      </c>
      <c r="L603" s="31">
        <f>IF(INDIRECT(ADDRESS(ROW() + (0),COLUMN() + (-1)))="Agregar cuotas", IF(("13.4%")="", "Sin costo", "13.4%"), IF(INDIRECT(ADDRESS(ROW() + (0),COLUMN() + (-1)))="No agregar cuotas", IF(("")="", "Sin costo", ""), "-"))</f>
        <v/>
      </c>
      <c r="M603" s="0" t="inlineStr">
        <is>
          <t>Mercado Envíos</t>
        </is>
      </c>
      <c r="N603" s="0" t="inlineStr">
        <is>
          <t>A cargo del comprador</t>
        </is>
      </c>
      <c r="O603" s="0" t="inlineStr">
        <is>
          <t>Acepto</t>
        </is>
      </c>
      <c r="P603" s="47" t="inlineStr">
        <is>
          <t>Sin garantía</t>
        </is>
      </c>
      <c r="R603" s="0" t="inlineStr">
        <is>
          <t>Seleccionar</t>
        </is>
      </c>
      <c r="S603" s="0" t="inlineStr">
        <is>
          <t>No ofrezco</t>
        </is>
      </c>
      <c r="T603" t="n">
        <v>2020</v>
      </c>
      <c r="U603" s="0" t="inlineStr">
        <is>
          <t>Inglaterra</t>
        </is>
      </c>
      <c r="X603" s="0" t="inlineStr">
        <is>
          <t>Níquel</t>
        </is>
      </c>
      <c r="Z603" t="inlineStr">
        <is>
          <t>10 Cents</t>
        </is>
      </c>
      <c r="AA603" s="0" t="inlineStr">
        <is>
          <t>Dólar</t>
        </is>
      </c>
      <c r="AB6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3" s="53">
        <f>IF(OR(TRIM(INDIRECT("B"&amp;ROW())) &lt;&gt; "",TRIM(INDIRECT("A"&amp;ROW())) &lt;&gt; ""),AND(TRIM(INDIRECT("A"&amp;ROW())) &lt;&gt; "",TRIM(INDIRECT("D"&amp;ROW())) = "nuevo"),"")</f>
        <v/>
      </c>
    </row>
    <row r="604" ht="27.5" customHeight="1" s="62">
      <c r="B604" t="inlineStr">
        <is>
          <t>Moneda Belice 1 Dólar 2021</t>
        </is>
      </c>
      <c r="C604" s="0">
        <f>LEN(INDIRECT(ADDRESS(ROW() + (0),COLUMN() + (-1))))</f>
        <v/>
      </c>
      <c r="D604" s="0" t="inlineStr">
        <is>
          <t>Usado</t>
        </is>
      </c>
      <c r="E604" s="38" t="inlineStr">
        <is>
          <t>https://numismaticapopper.com/images/1281A.jpeg,https://numismaticapopper.com/images/1281B.jpeg</t>
        </is>
      </c>
      <c r="F604" t="inlineStr">
        <is>
          <t>1281</t>
        </is>
      </c>
      <c r="G604" s="40" t="n">
        <v>1</v>
      </c>
      <c r="H604" t="n">
        <v>11000</v>
      </c>
      <c r="I604" t="inlineStr">
        <is>
          <t>Estado de conservacion: Sin Circular
Referencia de catalogo: KM# 119
Material: Latón de níquel</t>
        </is>
      </c>
      <c r="J604" s="31">
        <f>IF(INDIRECT(ADDRESS(ROW() + (0),COLUMN() + (1)))="Agregar cuotas", IF(("16%")="", "-", "16%"), IF(INDIRECT(ADDRESS(ROW() + (0),COLUMN() + (1)))="No agregar cuotas", IF(("16%")="", "-", "16%"), "-"))</f>
        <v/>
      </c>
      <c r="K604" s="0" t="inlineStr">
        <is>
          <t>No agregar cuotas</t>
        </is>
      </c>
      <c r="L604" s="31">
        <f>IF(INDIRECT(ADDRESS(ROW() + (0),COLUMN() + (-1)))="Agregar cuotas", IF(("13.4%")="", "Sin costo", "13.4%"), IF(INDIRECT(ADDRESS(ROW() + (0),COLUMN() + (-1)))="No agregar cuotas", IF(("")="", "Sin costo", ""), "-"))</f>
        <v/>
      </c>
      <c r="M604" s="0" t="inlineStr">
        <is>
          <t>Mercado Envíos</t>
        </is>
      </c>
      <c r="N604" s="0" t="inlineStr">
        <is>
          <t>A cargo del comprador</t>
        </is>
      </c>
      <c r="O604" s="0" t="inlineStr">
        <is>
          <t>Acepto</t>
        </is>
      </c>
      <c r="P604" s="47" t="inlineStr">
        <is>
          <t>Sin garantía</t>
        </is>
      </c>
      <c r="R604" s="0" t="inlineStr">
        <is>
          <t>Seleccionar</t>
        </is>
      </c>
      <c r="S604" s="0" t="inlineStr">
        <is>
          <t>No ofrezco</t>
        </is>
      </c>
      <c r="T604" t="n">
        <v>2021</v>
      </c>
      <c r="U604" s="0" t="inlineStr">
        <is>
          <t>Inglaterra</t>
        </is>
      </c>
      <c r="X604" s="0" t="inlineStr">
        <is>
          <t>Níquel</t>
        </is>
      </c>
      <c r="Z604" t="inlineStr">
        <is>
          <t>1 Dólar</t>
        </is>
      </c>
      <c r="AA604" s="0" t="inlineStr">
        <is>
          <t>Dólar</t>
        </is>
      </c>
      <c r="AB6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4" s="53">
        <f>IF(OR(TRIM(INDIRECT("B"&amp;ROW())) &lt;&gt; "",TRIM(INDIRECT("A"&amp;ROW())) &lt;&gt; ""),AND(TRIM(INDIRECT("A"&amp;ROW())) &lt;&gt; "",TRIM(INDIRECT("D"&amp;ROW())) = "nuevo"),"")</f>
        <v/>
      </c>
    </row>
    <row r="605" ht="27.5" customHeight="1" s="62">
      <c r="B605" t="inlineStr">
        <is>
          <t>Moneda Turquía 10 Kuruş 2023</t>
        </is>
      </c>
      <c r="C605" s="0">
        <f>LEN(INDIRECT(ADDRESS(ROW() + (0),COLUMN() + (-1))))</f>
        <v/>
      </c>
      <c r="D605" s="0" t="inlineStr">
        <is>
          <t>Usado</t>
        </is>
      </c>
      <c r="E605" s="38" t="inlineStr">
        <is>
          <t>https://numismaticapopper.com/images/1282A.jpeg,https://numismaticapopper.com/images/1282B.jpeg</t>
        </is>
      </c>
      <c r="F605" t="inlineStr">
        <is>
          <t>1282</t>
        </is>
      </c>
      <c r="G605" s="40" t="n">
        <v>1</v>
      </c>
      <c r="H605" t="n">
        <v>7000</v>
      </c>
      <c r="I605" t="inlineStr">
        <is>
          <t>Estado de conservacion: Sin Circular
Referencia de catalogo: KM# 1241
Material: Latón</t>
        </is>
      </c>
      <c r="J605" s="31">
        <f>IF(INDIRECT(ADDRESS(ROW() + (0),COLUMN() + (1)))="Agregar cuotas", IF(("16%")="", "-", "16%"), IF(INDIRECT(ADDRESS(ROW() + (0),COLUMN() + (1)))="No agregar cuotas", IF(("16%")="", "-", "16%"), "-"))</f>
        <v/>
      </c>
      <c r="K605" s="0" t="inlineStr">
        <is>
          <t>No agregar cuotas</t>
        </is>
      </c>
      <c r="L605" s="31">
        <f>IF(INDIRECT(ADDRESS(ROW() + (0),COLUMN() + (-1)))="Agregar cuotas", IF(("13.4%")="", "Sin costo", "13.4%"), IF(INDIRECT(ADDRESS(ROW() + (0),COLUMN() + (-1)))="No agregar cuotas", IF(("")="", "Sin costo", ""), "-"))</f>
        <v/>
      </c>
      <c r="M605" s="0" t="inlineStr">
        <is>
          <t>Mercado Envíos</t>
        </is>
      </c>
      <c r="N605" s="0" t="inlineStr">
        <is>
          <t>A cargo del comprador</t>
        </is>
      </c>
      <c r="O605" s="0" t="inlineStr">
        <is>
          <t>Acepto</t>
        </is>
      </c>
      <c r="P605" s="47" t="inlineStr">
        <is>
          <t>Sin garantía</t>
        </is>
      </c>
      <c r="R605" s="0" t="inlineStr">
        <is>
          <t>Seleccionar</t>
        </is>
      </c>
      <c r="S605" s="0" t="inlineStr">
        <is>
          <t>No ofrezco</t>
        </is>
      </c>
      <c r="T605" t="n">
        <v>2023</v>
      </c>
      <c r="U605" s="0" t="inlineStr">
        <is>
          <t>Grecia</t>
        </is>
      </c>
      <c r="X605" s="0" t="inlineStr">
        <is>
          <t>Bronce</t>
        </is>
      </c>
      <c r="Z605" t="inlineStr">
        <is>
          <t>10 Kuruş</t>
        </is>
      </c>
      <c r="AA605" s="0" t="inlineStr">
        <is>
          <t>Euro</t>
        </is>
      </c>
      <c r="AB6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5" s="53">
        <f>IF(OR(TRIM(INDIRECT("B"&amp;ROW())) &lt;&gt; "",TRIM(INDIRECT("A"&amp;ROW())) &lt;&gt; ""),AND(TRIM(INDIRECT("A"&amp;ROW())) &lt;&gt; "",TRIM(INDIRECT("D"&amp;ROW())) = "nuevo"),"")</f>
        <v/>
      </c>
    </row>
    <row r="606" ht="27.5" customHeight="1" s="62">
      <c r="B606" t="inlineStr">
        <is>
          <t>Moneda Argentina 1 Centavo 1974</t>
        </is>
      </c>
      <c r="C606" s="0">
        <f>LEN(INDIRECT(ADDRESS(ROW() + (0),COLUMN() + (-1))))</f>
        <v/>
      </c>
      <c r="D606" s="0" t="inlineStr">
        <is>
          <t>Usado</t>
        </is>
      </c>
      <c r="E606" s="38" t="inlineStr">
        <is>
          <t>https://numismaticapopper.com/images/1283A.jpeg,https://numismaticapopper.com/images/1283B.jpeg</t>
        </is>
      </c>
      <c r="F606" t="inlineStr">
        <is>
          <t>1283</t>
        </is>
      </c>
      <c r="G606" s="40" t="n">
        <v>1</v>
      </c>
      <c r="H606" t="n">
        <v>7000</v>
      </c>
      <c r="I606" t="inlineStr">
        <is>
          <t>Estado de conservacion: Sin Circular
Referencia de catalogo: CJ# 359
Material: Aluminio
Tirada: 5162000</t>
        </is>
      </c>
      <c r="J606" s="31">
        <f>IF(INDIRECT(ADDRESS(ROW() + (0),COLUMN() + (1)))="Agregar cuotas", IF(("16%")="", "-", "16%"), IF(INDIRECT(ADDRESS(ROW() + (0),COLUMN() + (1)))="No agregar cuotas", IF(("16%")="", "-", "16%"), "-"))</f>
        <v/>
      </c>
      <c r="K606" s="0" t="inlineStr">
        <is>
          <t>No agregar cuotas</t>
        </is>
      </c>
      <c r="L606" s="31">
        <f>IF(INDIRECT(ADDRESS(ROW() + (0),COLUMN() + (-1)))="Agregar cuotas", IF(("13.4%")="", "Sin costo", "13.4%"), IF(INDIRECT(ADDRESS(ROW() + (0),COLUMN() + (-1)))="No agregar cuotas", IF(("")="", "Sin costo", ""), "-"))</f>
        <v/>
      </c>
      <c r="M606" s="0" t="inlineStr">
        <is>
          <t>Mercado Envíos</t>
        </is>
      </c>
      <c r="N606" s="0" t="inlineStr">
        <is>
          <t>A cargo del comprador</t>
        </is>
      </c>
      <c r="O606" s="0" t="inlineStr">
        <is>
          <t>Acepto</t>
        </is>
      </c>
      <c r="P606" s="47" t="inlineStr">
        <is>
          <t>Sin garantía</t>
        </is>
      </c>
      <c r="R606" s="0" t="inlineStr">
        <is>
          <t>Seleccionar</t>
        </is>
      </c>
      <c r="S606" s="0" t="inlineStr">
        <is>
          <t>No ofrezco</t>
        </is>
      </c>
      <c r="T606" t="n">
        <v>1974</v>
      </c>
      <c r="U606" s="0" t="inlineStr">
        <is>
          <t>Argentina</t>
        </is>
      </c>
      <c r="X606" s="0" t="inlineStr">
        <is>
          <t>Níquel</t>
        </is>
      </c>
      <c r="Z606" t="inlineStr">
        <is>
          <t>1 Centavo</t>
        </is>
      </c>
      <c r="AA606" s="0" t="inlineStr">
        <is>
          <t>Peso</t>
        </is>
      </c>
      <c r="AB6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6" s="53">
        <f>IF(OR(TRIM(INDIRECT("B"&amp;ROW())) &lt;&gt; "",TRIM(INDIRECT("A"&amp;ROW())) &lt;&gt; ""),AND(TRIM(INDIRECT("A"&amp;ROW())) &lt;&gt; "",TRIM(INDIRECT("D"&amp;ROW())) = "nuevo"),"")</f>
        <v/>
      </c>
    </row>
    <row r="607" ht="27.5" customHeight="1" s="62">
      <c r="B607" t="inlineStr">
        <is>
          <t>Moneda Canadá 1 Dólar 2026</t>
        </is>
      </c>
      <c r="C607" s="0">
        <f>LEN(INDIRECT(ADDRESS(ROW() + (0),COLUMN() + (-1))))</f>
        <v/>
      </c>
      <c r="D607" s="0" t="inlineStr">
        <is>
          <t>Usado</t>
        </is>
      </c>
      <c r="E607" s="38" t="inlineStr">
        <is>
          <t>https://numismaticapopper.com/images/1285A.jpeg,https://numismaticapopper.com/images/1285B.jpeg</t>
        </is>
      </c>
      <c r="F607" t="inlineStr">
        <is>
          <t>1285</t>
        </is>
      </c>
      <c r="G607" s="40" t="n">
        <v>1</v>
      </c>
      <c r="H607" t="n">
        <v>9000</v>
      </c>
      <c r="I607" t="inlineStr">
        <is>
          <t>Estado de conservacion: Sin Circular
Referencia de catalogo: Numista #579030
Material: Acero latonado
Conmemora: Copa Mundial de la FIFA 2026</t>
        </is>
      </c>
      <c r="J607" s="31">
        <f>IF(INDIRECT(ADDRESS(ROW() + (0),COLUMN() + (1)))="Agregar cuotas", IF(("16%")="", "-", "16%"), IF(INDIRECT(ADDRESS(ROW() + (0),COLUMN() + (1)))="No agregar cuotas", IF(("16%")="", "-", "16%"), "-"))</f>
        <v/>
      </c>
      <c r="K607" s="0" t="inlineStr">
        <is>
          <t>No agregar cuotas</t>
        </is>
      </c>
      <c r="L607" s="31">
        <f>IF(INDIRECT(ADDRESS(ROW() + (0),COLUMN() + (-1)))="Agregar cuotas", IF(("13.4%")="", "Sin costo", "13.4%"), IF(INDIRECT(ADDRESS(ROW() + (0),COLUMN() + (-1)))="No agregar cuotas", IF(("")="", "Sin costo", ""), "-"))</f>
        <v/>
      </c>
      <c r="M607" s="0" t="inlineStr">
        <is>
          <t>Mercado Envíos</t>
        </is>
      </c>
      <c r="N607" s="0" t="inlineStr">
        <is>
          <t>A cargo del comprador</t>
        </is>
      </c>
      <c r="O607" s="0" t="inlineStr">
        <is>
          <t>Acepto</t>
        </is>
      </c>
      <c r="P607" s="47" t="inlineStr">
        <is>
          <t>Sin garantía</t>
        </is>
      </c>
      <c r="R607" s="0" t="inlineStr">
        <is>
          <t>Seleccionar</t>
        </is>
      </c>
      <c r="S607" s="0" t="inlineStr">
        <is>
          <t>No ofrezco</t>
        </is>
      </c>
      <c r="T607" t="n">
        <v>2026</v>
      </c>
      <c r="U607" s="0" t="inlineStr">
        <is>
          <t>Canadá</t>
        </is>
      </c>
      <c r="X607" s="0" t="inlineStr">
        <is>
          <t>Bronce</t>
        </is>
      </c>
      <c r="Y607" t="inlineStr">
        <is>
          <t>Copa Mundial de la FIFA 2026</t>
        </is>
      </c>
      <c r="Z607" t="inlineStr">
        <is>
          <t>1 Dólar</t>
        </is>
      </c>
      <c r="AA607" s="0" t="inlineStr">
        <is>
          <t>Dólar</t>
        </is>
      </c>
      <c r="AB6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7" s="53">
        <f>IF(OR(TRIM(INDIRECT("B"&amp;ROW())) &lt;&gt; "",TRIM(INDIRECT("A"&amp;ROW())) &lt;&gt; ""),AND(TRIM(INDIRECT("A"&amp;ROW())) &lt;&gt; "",TRIM(INDIRECT("D"&amp;ROW())) = "nuevo"),"")</f>
        <v/>
      </c>
    </row>
    <row r="608" ht="27.5" customHeight="1" s="62">
      <c r="B608" t="inlineStr">
        <is>
          <t>Moneda Canadá 10 Cents 2021</t>
        </is>
      </c>
      <c r="C608" s="0">
        <f>LEN(INDIRECT(ADDRESS(ROW() + (0),COLUMN() + (-1))))</f>
        <v/>
      </c>
      <c r="D608" s="0" t="inlineStr">
        <is>
          <t>Usado</t>
        </is>
      </c>
      <c r="E608" s="38" t="inlineStr">
        <is>
          <t>https://numismaticapopper.com/images/1287A.jpeg,https://numismaticapopper.com/images/1287B.jpeg</t>
        </is>
      </c>
      <c r="F608" t="inlineStr">
        <is>
          <t>1287</t>
        </is>
      </c>
      <c r="G608" s="40" t="n">
        <v>1</v>
      </c>
      <c r="H608" t="n">
        <v>8000</v>
      </c>
      <c r="I608" t="inlineStr">
        <is>
          <t>Estado de conservacion: Sin Circular
Referencia de catalogo: KM# 3083.1
Material: Acero niquelado
Conmemora: Centenario del Bluenose (Color)</t>
        </is>
      </c>
      <c r="J608" s="31">
        <f>IF(INDIRECT(ADDRESS(ROW() + (0),COLUMN() + (1)))="Agregar cuotas", IF(("16%")="", "-", "16%"), IF(INDIRECT(ADDRESS(ROW() + (0),COLUMN() + (1)))="No agregar cuotas", IF(("16%")="", "-", "16%"), "-"))</f>
        <v/>
      </c>
      <c r="K608" s="0" t="inlineStr">
        <is>
          <t>No agregar cuotas</t>
        </is>
      </c>
      <c r="L608" s="31">
        <f>IF(INDIRECT(ADDRESS(ROW() + (0),COLUMN() + (-1)))="Agregar cuotas", IF(("13.4%")="", "Sin costo", "13.4%"), IF(INDIRECT(ADDRESS(ROW() + (0),COLUMN() + (-1)))="No agregar cuotas", IF(("")="", "Sin costo", ""), "-"))</f>
        <v/>
      </c>
      <c r="M608" s="0" t="inlineStr">
        <is>
          <t>Mercado Envíos</t>
        </is>
      </c>
      <c r="N608" s="0" t="inlineStr">
        <is>
          <t>A cargo del comprador</t>
        </is>
      </c>
      <c r="O608" s="0" t="inlineStr">
        <is>
          <t>Acepto</t>
        </is>
      </c>
      <c r="P608" s="47" t="inlineStr">
        <is>
          <t>Sin garantía</t>
        </is>
      </c>
      <c r="R608" s="0" t="inlineStr">
        <is>
          <t>Seleccionar</t>
        </is>
      </c>
      <c r="S608" s="0" t="inlineStr">
        <is>
          <t>No ofrezco</t>
        </is>
      </c>
      <c r="T608" t="n">
        <v>2021</v>
      </c>
      <c r="U608" s="0" t="inlineStr">
        <is>
          <t>Canadá</t>
        </is>
      </c>
      <c r="X608" s="0" t="inlineStr">
        <is>
          <t>Níquel</t>
        </is>
      </c>
      <c r="Y608" t="inlineStr">
        <is>
          <t>Centenario del Bluenose (Color)</t>
        </is>
      </c>
      <c r="Z608" t="inlineStr">
        <is>
          <t>10 Cents</t>
        </is>
      </c>
      <c r="AA608" s="0" t="inlineStr">
        <is>
          <t>Dólar</t>
        </is>
      </c>
      <c r="AB6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8" s="53">
        <f>IF(OR(TRIM(INDIRECT("B"&amp;ROW())) &lt;&gt; "",TRIM(INDIRECT("A"&amp;ROW())) &lt;&gt; ""),AND(TRIM(INDIRECT("A"&amp;ROW())) &lt;&gt; "",TRIM(INDIRECT("D"&amp;ROW())) = "nuevo"),"")</f>
        <v/>
      </c>
    </row>
    <row r="609" ht="27.5" customHeight="1" s="62">
      <c r="B609" t="inlineStr">
        <is>
          <t>Moneda Canadá 10 Cents 2021</t>
        </is>
      </c>
      <c r="C609" s="0">
        <f>LEN(INDIRECT(ADDRESS(ROW() + (0),COLUMN() + (-1))))</f>
        <v/>
      </c>
      <c r="D609" s="0" t="inlineStr">
        <is>
          <t>Usado</t>
        </is>
      </c>
      <c r="E609" s="38" t="inlineStr">
        <is>
          <t>https://numismaticapopper.com/images/1288A.jpeg,https://numismaticapopper.com/images/1288B.jpeg</t>
        </is>
      </c>
      <c r="F609" t="inlineStr">
        <is>
          <t>1288</t>
        </is>
      </c>
      <c r="G609" s="40" t="n">
        <v>1</v>
      </c>
      <c r="H609" t="n">
        <v>7000</v>
      </c>
      <c r="I609" t="inlineStr">
        <is>
          <t>Estado de conservacion: Sin Circular
Referencia de catalogo: KM# 3083
Material: Acero niquelado
Conmemora: Centenario del Bluenose</t>
        </is>
      </c>
      <c r="J609" s="31">
        <f>IF(INDIRECT(ADDRESS(ROW() + (0),COLUMN() + (1)))="Agregar cuotas", IF(("16%")="", "-", "16%"), IF(INDIRECT(ADDRESS(ROW() + (0),COLUMN() + (1)))="No agregar cuotas", IF(("16%")="", "-", "16%"), "-"))</f>
        <v/>
      </c>
      <c r="K609" s="0" t="inlineStr">
        <is>
          <t>No agregar cuotas</t>
        </is>
      </c>
      <c r="L609" s="31">
        <f>IF(INDIRECT(ADDRESS(ROW() + (0),COLUMN() + (-1)))="Agregar cuotas", IF(("13.4%")="", "Sin costo", "13.4%"), IF(INDIRECT(ADDRESS(ROW() + (0),COLUMN() + (-1)))="No agregar cuotas", IF(("")="", "Sin costo", ""), "-"))</f>
        <v/>
      </c>
      <c r="M609" s="0" t="inlineStr">
        <is>
          <t>Mercado Envíos</t>
        </is>
      </c>
      <c r="N609" s="0" t="inlineStr">
        <is>
          <t>A cargo del comprador</t>
        </is>
      </c>
      <c r="O609" s="0" t="inlineStr">
        <is>
          <t>Acepto</t>
        </is>
      </c>
      <c r="P609" s="47" t="inlineStr">
        <is>
          <t>Sin garantía</t>
        </is>
      </c>
      <c r="R609" s="0" t="inlineStr">
        <is>
          <t>Seleccionar</t>
        </is>
      </c>
      <c r="S609" s="0" t="inlineStr">
        <is>
          <t>No ofrezco</t>
        </is>
      </c>
      <c r="T609" t="n">
        <v>2021</v>
      </c>
      <c r="U609" s="0" t="inlineStr">
        <is>
          <t>Canadá</t>
        </is>
      </c>
      <c r="X609" s="0" t="inlineStr">
        <is>
          <t>Níquel</t>
        </is>
      </c>
      <c r="Y609" t="inlineStr">
        <is>
          <t>Centenario del Bluenose</t>
        </is>
      </c>
      <c r="Z609" t="inlineStr">
        <is>
          <t>10 Cents</t>
        </is>
      </c>
      <c r="AA609" s="0" t="inlineStr">
        <is>
          <t>Dólar</t>
        </is>
      </c>
      <c r="AB6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09" s="53">
        <f>IF(OR(TRIM(INDIRECT("B"&amp;ROW())) &lt;&gt; "",TRIM(INDIRECT("A"&amp;ROW())) &lt;&gt; ""),AND(TRIM(INDIRECT("A"&amp;ROW())) &lt;&gt; "",TRIM(INDIRECT("D"&amp;ROW())) = "nuevo"),"")</f>
        <v/>
      </c>
    </row>
    <row r="610" ht="27.5" customHeight="1" s="62">
      <c r="B610" t="inlineStr">
        <is>
          <t>Moneda Argentina 50 Centavos 1883</t>
        </is>
      </c>
      <c r="C610" s="0">
        <f>LEN(INDIRECT(ADDRESS(ROW() + (0),COLUMN() + (-1))))</f>
        <v/>
      </c>
      <c r="D610" s="0" t="inlineStr">
        <is>
          <t>Usado</t>
        </is>
      </c>
      <c r="E610" s="38" t="inlineStr">
        <is>
          <t>https://numismaticapopper.com/images/1289A.jpeg,https://numismaticapopper.com/images/1289B.jpeg</t>
        </is>
      </c>
      <c r="F610" t="inlineStr">
        <is>
          <t>1289</t>
        </is>
      </c>
      <c r="G610" s="40" t="n">
        <v>1</v>
      </c>
      <c r="H610" t="n">
        <v>124000</v>
      </c>
      <c r="I610" t="inlineStr">
        <is>
          <t>Estado de conservacion: Excelente
Referencia de catalogo: CJ# 15-17
Material: Plata .900
Peso: 12.5 g
Diametro: 30.1 mm
Tirada: 2273000</t>
        </is>
      </c>
      <c r="J610" s="31">
        <f>IF(INDIRECT(ADDRESS(ROW() + (0),COLUMN() + (1)))="Agregar cuotas", IF(("16%")="", "-", "16%"), IF(INDIRECT(ADDRESS(ROW() + (0),COLUMN() + (1)))="No agregar cuotas", IF(("16%")="", "-", "16%"), "-"))</f>
        <v/>
      </c>
      <c r="K610" s="0" t="inlineStr">
        <is>
          <t>No agregar cuotas</t>
        </is>
      </c>
      <c r="L610" s="31">
        <f>IF(INDIRECT(ADDRESS(ROW() + (0),COLUMN() + (-1)))="Agregar cuotas", IF(("13.4%")="", "Sin costo", "13.4%"), IF(INDIRECT(ADDRESS(ROW() + (0),COLUMN() + (-1)))="No agregar cuotas", IF(("")="", "Sin costo", ""), "-"))</f>
        <v/>
      </c>
      <c r="M610" s="0" t="inlineStr">
        <is>
          <t>Mercado Envíos</t>
        </is>
      </c>
      <c r="N610" s="0" t="inlineStr">
        <is>
          <t>A cargo del comprador</t>
        </is>
      </c>
      <c r="O610" s="0" t="inlineStr">
        <is>
          <t>Acepto</t>
        </is>
      </c>
      <c r="P610" s="47" t="inlineStr">
        <is>
          <t>Sin garantía</t>
        </is>
      </c>
      <c r="R610" s="0" t="inlineStr">
        <is>
          <t>Seleccionar</t>
        </is>
      </c>
      <c r="S610" s="0" t="inlineStr">
        <is>
          <t>No ofrezco</t>
        </is>
      </c>
      <c r="T610" t="n">
        <v>1883</v>
      </c>
      <c r="U610" s="0" t="inlineStr">
        <is>
          <t>Argentina</t>
        </is>
      </c>
      <c r="X610" s="0" t="inlineStr">
        <is>
          <t>Plata</t>
        </is>
      </c>
      <c r="Z610" t="inlineStr">
        <is>
          <t>50 Centavos</t>
        </is>
      </c>
      <c r="AA610" s="0" t="inlineStr">
        <is>
          <t>Peso</t>
        </is>
      </c>
      <c r="AB6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0" s="53">
        <f>IF(OR(TRIM(INDIRECT("B"&amp;ROW())) &lt;&gt; "",TRIM(INDIRECT("A"&amp;ROW())) &lt;&gt; ""),AND(TRIM(INDIRECT("A"&amp;ROW())) &lt;&gt; "",TRIM(INDIRECT("D"&amp;ROW())) = "nuevo"),"")</f>
        <v/>
      </c>
    </row>
    <row r="611" ht="27.5" customHeight="1" s="62">
      <c r="B611" t="inlineStr">
        <is>
          <t>Moneda Estados Unidos 1/2 Dólar Kennedy 1967</t>
        </is>
      </c>
      <c r="C611" s="0">
        <f>LEN(INDIRECT(ADDRESS(ROW() + (0),COLUMN() + (-1))))</f>
        <v/>
      </c>
      <c r="D611" s="0" t="inlineStr">
        <is>
          <t>Usado</t>
        </is>
      </c>
      <c r="E611" s="38" t="inlineStr">
        <is>
          <t>https://numismaticapopper.com/images/1294A.jpeg,https://numismaticapopper.com/images/1294B.jpeg</t>
        </is>
      </c>
      <c r="F611" t="inlineStr">
        <is>
          <t>1294</t>
        </is>
      </c>
      <c r="G611" s="40" t="n">
        <v>1</v>
      </c>
      <c r="H611" t="n">
        <v>22000</v>
      </c>
      <c r="I611" t="inlineStr">
        <is>
          <t>Estado de conservacion: Excelente C-
Referencia de catalogo: KM# 202a
Material: Plata .400
Peso: 11.5 g
Diametro: 30.61 mm</t>
        </is>
      </c>
      <c r="J611" s="31">
        <f>IF(INDIRECT(ADDRESS(ROW() + (0),COLUMN() + (1)))="Agregar cuotas", IF(("16%")="", "-", "16%"), IF(INDIRECT(ADDRESS(ROW() + (0),COLUMN() + (1)))="No agregar cuotas", IF(("16%")="", "-", "16%"), "-"))</f>
        <v/>
      </c>
      <c r="K611" s="0" t="inlineStr">
        <is>
          <t>No agregar cuotas</t>
        </is>
      </c>
      <c r="L611" s="31">
        <f>IF(INDIRECT(ADDRESS(ROW() + (0),COLUMN() + (-1)))="Agregar cuotas", IF(("13.4%")="", "Sin costo", "13.4%"), IF(INDIRECT(ADDRESS(ROW() + (0),COLUMN() + (-1)))="No agregar cuotas", IF(("")="", "Sin costo", ""), "-"))</f>
        <v/>
      </c>
      <c r="M611" s="0" t="inlineStr">
        <is>
          <t>Mercado Envíos</t>
        </is>
      </c>
      <c r="N611" s="0" t="inlineStr">
        <is>
          <t>A cargo del comprador</t>
        </is>
      </c>
      <c r="O611" s="0" t="inlineStr">
        <is>
          <t>Acepto</t>
        </is>
      </c>
      <c r="P611" s="47" t="inlineStr">
        <is>
          <t>Sin garantía</t>
        </is>
      </c>
      <c r="R611" s="0" t="inlineStr">
        <is>
          <t>Seleccionar</t>
        </is>
      </c>
      <c r="S611" s="0" t="inlineStr">
        <is>
          <t>No ofrezco</t>
        </is>
      </c>
      <c r="T611" t="n">
        <v>1967</v>
      </c>
      <c r="U611" s="0" t="inlineStr">
        <is>
          <t>Estados Unidos</t>
        </is>
      </c>
      <c r="X611" s="0" t="inlineStr">
        <is>
          <t>Plata</t>
        </is>
      </c>
      <c r="Z611" t="inlineStr">
        <is>
          <t>1/2 Dólar Kennedy</t>
        </is>
      </c>
      <c r="AA611" s="0" t="inlineStr">
        <is>
          <t>Dólar</t>
        </is>
      </c>
      <c r="AB6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1" s="53">
        <f>IF(OR(TRIM(INDIRECT("B"&amp;ROW())) &lt;&gt; "",TRIM(INDIRECT("A"&amp;ROW())) &lt;&gt; ""),AND(TRIM(INDIRECT("A"&amp;ROW())) &lt;&gt; "",TRIM(INDIRECT("D"&amp;ROW())) = "nuevo"),"")</f>
        <v/>
      </c>
    </row>
    <row r="612" ht="27.5" customHeight="1" s="62">
      <c r="B612" t="inlineStr">
        <is>
          <t>Moneda Dinamarca 1 Øre 1918</t>
        </is>
      </c>
      <c r="C612" s="0">
        <f>LEN(INDIRECT(ADDRESS(ROW() + (0),COLUMN() + (-1))))</f>
        <v/>
      </c>
      <c r="D612" s="0" t="inlineStr">
        <is>
          <t>Usado</t>
        </is>
      </c>
      <c r="E612" s="38" t="inlineStr">
        <is>
          <t>https://numismaticapopper.com/images/1295A.jpeg,https://numismaticapopper.com/images/1295B.jpeg</t>
        </is>
      </c>
      <c r="F612" t="inlineStr">
        <is>
          <t>1295</t>
        </is>
      </c>
      <c r="G612" s="40" t="n">
        <v>1</v>
      </c>
      <c r="H612" t="n">
        <v>18000</v>
      </c>
      <c r="I612" t="inlineStr">
        <is>
          <t>Estado de conservacion: Muy Buena
Referencia de catalogo: KM# 812.1a
Material: Hierro
Peso: 1.74 g
Diametro: 16 mm</t>
        </is>
      </c>
      <c r="J612" s="31">
        <f>IF(INDIRECT(ADDRESS(ROW() + (0),COLUMN() + (1)))="Agregar cuotas", IF(("16%")="", "-", "16%"), IF(INDIRECT(ADDRESS(ROW() + (0),COLUMN() + (1)))="No agregar cuotas", IF(("16%")="", "-", "16%"), "-"))</f>
        <v/>
      </c>
      <c r="K612" s="0" t="inlineStr">
        <is>
          <t>No agregar cuotas</t>
        </is>
      </c>
      <c r="L612" s="31">
        <f>IF(INDIRECT(ADDRESS(ROW() + (0),COLUMN() + (-1)))="Agregar cuotas", IF(("13.4%")="", "Sin costo", "13.4%"), IF(INDIRECT(ADDRESS(ROW() + (0),COLUMN() + (-1)))="No agregar cuotas", IF(("")="", "Sin costo", ""), "-"))</f>
        <v/>
      </c>
      <c r="M612" s="0" t="inlineStr">
        <is>
          <t>Mercado Envíos</t>
        </is>
      </c>
      <c r="N612" s="0" t="inlineStr">
        <is>
          <t>A cargo del comprador</t>
        </is>
      </c>
      <c r="O612" s="0" t="inlineStr">
        <is>
          <t>Acepto</t>
        </is>
      </c>
      <c r="P612" s="47" t="inlineStr">
        <is>
          <t>Sin garantía</t>
        </is>
      </c>
      <c r="R612" s="0" t="inlineStr">
        <is>
          <t>Seleccionar</t>
        </is>
      </c>
      <c r="S612" s="0" t="inlineStr">
        <is>
          <t>No ofrezco</t>
        </is>
      </c>
      <c r="T612" t="n">
        <v>1918</v>
      </c>
      <c r="U612" s="0" t="inlineStr">
        <is>
          <t>Dinamarca</t>
        </is>
      </c>
      <c r="X612" s="0" t="inlineStr">
        <is>
          <t>Níquel</t>
        </is>
      </c>
      <c r="Z612" t="inlineStr">
        <is>
          <t>1 Øre</t>
        </is>
      </c>
      <c r="AA612" s="0" t="inlineStr">
        <is>
          <t>Euro</t>
        </is>
      </c>
      <c r="AB6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2" s="53">
        <f>IF(OR(TRIM(INDIRECT("B"&amp;ROW())) &lt;&gt; "",TRIM(INDIRECT("A"&amp;ROW())) &lt;&gt; ""),AND(TRIM(INDIRECT("A"&amp;ROW())) &lt;&gt; "",TRIM(INDIRECT("D"&amp;ROW())) = "nuevo"),"")</f>
        <v/>
      </c>
    </row>
    <row r="613" ht="27.5" customHeight="1" s="62">
      <c r="B613" t="inlineStr">
        <is>
          <t>Moneda Dinamarca 2 Øre 1874</t>
        </is>
      </c>
      <c r="C613" s="0">
        <f>LEN(INDIRECT(ADDRESS(ROW() + (0),COLUMN() + (-1))))</f>
        <v/>
      </c>
      <c r="D613" s="0" t="inlineStr">
        <is>
          <t>Usado</t>
        </is>
      </c>
      <c r="E613" s="38" t="inlineStr">
        <is>
          <t>https://numismaticapopper.com/images/1296A.jpeg,https://numismaticapopper.com/images/1296B.jpeg</t>
        </is>
      </c>
      <c r="F613" t="inlineStr">
        <is>
          <t>1296</t>
        </is>
      </c>
      <c r="G613" s="40" t="n">
        <v>1</v>
      </c>
      <c r="H613" t="n">
        <v>15000</v>
      </c>
      <c r="I613" t="inlineStr">
        <is>
          <t>Estado de conservacion: Muy Buena -
Referencia de catalogo: KM# 793.1
Material: Bronce
Peso: 4 g
Diametro: 21 mm</t>
        </is>
      </c>
      <c r="J613" s="31">
        <f>IF(INDIRECT(ADDRESS(ROW() + (0),COLUMN() + (1)))="Agregar cuotas", IF(("16%")="", "-", "16%"), IF(INDIRECT(ADDRESS(ROW() + (0),COLUMN() + (1)))="No agregar cuotas", IF(("16%")="", "-", "16%"), "-"))</f>
        <v/>
      </c>
      <c r="K613" s="0" t="inlineStr">
        <is>
          <t>No agregar cuotas</t>
        </is>
      </c>
      <c r="L613" s="31">
        <f>IF(INDIRECT(ADDRESS(ROW() + (0),COLUMN() + (-1)))="Agregar cuotas", IF(("13.4%")="", "Sin costo", "13.4%"), IF(INDIRECT(ADDRESS(ROW() + (0),COLUMN() + (-1)))="No agregar cuotas", IF(("")="", "Sin costo", ""), "-"))</f>
        <v/>
      </c>
      <c r="M613" s="0" t="inlineStr">
        <is>
          <t>Mercado Envíos</t>
        </is>
      </c>
      <c r="N613" s="0" t="inlineStr">
        <is>
          <t>A cargo del comprador</t>
        </is>
      </c>
      <c r="O613" s="0" t="inlineStr">
        <is>
          <t>Acepto</t>
        </is>
      </c>
      <c r="P613" s="47" t="inlineStr">
        <is>
          <t>Sin garantía</t>
        </is>
      </c>
      <c r="R613" s="0" t="inlineStr">
        <is>
          <t>Seleccionar</t>
        </is>
      </c>
      <c r="S613" s="0" t="inlineStr">
        <is>
          <t>No ofrezco</t>
        </is>
      </c>
      <c r="T613" t="n">
        <v>1874</v>
      </c>
      <c r="U613" s="0" t="inlineStr">
        <is>
          <t>Dinamarca</t>
        </is>
      </c>
      <c r="X613" s="0" t="inlineStr">
        <is>
          <t>Bronce</t>
        </is>
      </c>
      <c r="Z613" t="inlineStr">
        <is>
          <t>2 Øre</t>
        </is>
      </c>
      <c r="AA613" s="0" t="inlineStr">
        <is>
          <t>Euro</t>
        </is>
      </c>
      <c r="AB6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3" s="53">
        <f>IF(OR(TRIM(INDIRECT("B"&amp;ROW())) &lt;&gt; "",TRIM(INDIRECT("A"&amp;ROW())) &lt;&gt; ""),AND(TRIM(INDIRECT("A"&amp;ROW())) &lt;&gt; "",TRIM(INDIRECT("D"&amp;ROW())) = "nuevo"),"")</f>
        <v/>
      </c>
    </row>
    <row r="614" ht="27.5" customHeight="1" s="62">
      <c r="B614" t="inlineStr">
        <is>
          <t>Moneda Dinamarca 5 Øre 1894</t>
        </is>
      </c>
      <c r="C614" s="0">
        <f>LEN(INDIRECT(ADDRESS(ROW() + (0),COLUMN() + (-1))))</f>
        <v/>
      </c>
      <c r="D614" s="0" t="inlineStr">
        <is>
          <t>Usado</t>
        </is>
      </c>
      <c r="E614" s="38" t="inlineStr">
        <is>
          <t>https://numismaticapopper.com/images/1297A.jpeg,https://numismaticapopper.com/images/1297B.jpeg</t>
        </is>
      </c>
      <c r="F614" t="inlineStr">
        <is>
          <t>1297</t>
        </is>
      </c>
      <c r="G614" s="40" t="n">
        <v>1</v>
      </c>
      <c r="H614" t="n">
        <v>16000</v>
      </c>
      <c r="I614" t="inlineStr">
        <is>
          <t>Estado de conservacion: Muy Buena -
Referencia de catalogo: KM# 794.2
Material: Bronce
Peso: 8 g
Diametro: 27 mm
Tirada: 595000</t>
        </is>
      </c>
      <c r="J614" s="31">
        <f>IF(INDIRECT(ADDRESS(ROW() + (0),COLUMN() + (1)))="Agregar cuotas", IF(("16%")="", "-", "16%"), IF(INDIRECT(ADDRESS(ROW() + (0),COLUMN() + (1)))="No agregar cuotas", IF(("16%")="", "-", "16%"), "-"))</f>
        <v/>
      </c>
      <c r="K614" s="0" t="inlineStr">
        <is>
          <t>No agregar cuotas</t>
        </is>
      </c>
      <c r="L614" s="31">
        <f>IF(INDIRECT(ADDRESS(ROW() + (0),COLUMN() + (-1)))="Agregar cuotas", IF(("13.4%")="", "Sin costo", "13.4%"), IF(INDIRECT(ADDRESS(ROW() + (0),COLUMN() + (-1)))="No agregar cuotas", IF(("")="", "Sin costo", ""), "-"))</f>
        <v/>
      </c>
      <c r="M614" s="0" t="inlineStr">
        <is>
          <t>Mercado Envíos</t>
        </is>
      </c>
      <c r="N614" s="0" t="inlineStr">
        <is>
          <t>A cargo del comprador</t>
        </is>
      </c>
      <c r="O614" s="0" t="inlineStr">
        <is>
          <t>Acepto</t>
        </is>
      </c>
      <c r="P614" s="47" t="inlineStr">
        <is>
          <t>Sin garantía</t>
        </is>
      </c>
      <c r="R614" s="0" t="inlineStr">
        <is>
          <t>Seleccionar</t>
        </is>
      </c>
      <c r="S614" s="0" t="inlineStr">
        <is>
          <t>No ofrezco</t>
        </is>
      </c>
      <c r="T614" t="n">
        <v>1894</v>
      </c>
      <c r="U614" s="0" t="inlineStr">
        <is>
          <t>Dinamarca</t>
        </is>
      </c>
      <c r="X614" s="0" t="inlineStr">
        <is>
          <t>Bronce</t>
        </is>
      </c>
      <c r="Z614" t="inlineStr">
        <is>
          <t>5 Øre</t>
        </is>
      </c>
      <c r="AA614" s="0" t="inlineStr">
        <is>
          <t>Euro</t>
        </is>
      </c>
      <c r="AB6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4" s="53">
        <f>IF(OR(TRIM(INDIRECT("B"&amp;ROW())) &lt;&gt; "",TRIM(INDIRECT("A"&amp;ROW())) &lt;&gt; ""),AND(TRIM(INDIRECT("A"&amp;ROW())) &lt;&gt; "",TRIM(INDIRECT("D"&amp;ROW())) = "nuevo"),"")</f>
        <v/>
      </c>
    </row>
    <row r="615" ht="27.5" customHeight="1" s="62">
      <c r="B615" t="inlineStr">
        <is>
          <t>Moneda Francia 10 Francos 1987</t>
        </is>
      </c>
      <c r="C615" s="0">
        <f>LEN(INDIRECT(ADDRESS(ROW() + (0),COLUMN() + (-1))))</f>
        <v/>
      </c>
      <c r="D615" s="0" t="inlineStr">
        <is>
          <t>Usado</t>
        </is>
      </c>
      <c r="E615" s="38" t="inlineStr">
        <is>
          <t>https://numismaticapopper.com/images/1298A.jpeg,https://numismaticapopper.com/images/1298B.jpeg</t>
        </is>
      </c>
      <c r="F615" t="inlineStr">
        <is>
          <t>1298</t>
        </is>
      </c>
      <c r="G615" s="40" t="n">
        <v>1</v>
      </c>
      <c r="H615" t="n">
        <v>12000</v>
      </c>
      <c r="I615" t="inlineStr">
        <is>
          <t>Estado de conservacion: Muy Buena
Referencia de catalogo: KM# 961d
Material: Bronce de aluminio
Peso: 10 g
Diametro: 26 mm
Conmemora: Milenario de la Dinastía Capeta (987-1987)</t>
        </is>
      </c>
      <c r="J615" s="31">
        <f>IF(INDIRECT(ADDRESS(ROW() + (0),COLUMN() + (1)))="Agregar cuotas", IF(("16%")="", "-", "16%"), IF(INDIRECT(ADDRESS(ROW() + (0),COLUMN() + (1)))="No agregar cuotas", IF(("16%")="", "-", "16%"), "-"))</f>
        <v/>
      </c>
      <c r="K615" s="0" t="inlineStr">
        <is>
          <t>No agregar cuotas</t>
        </is>
      </c>
      <c r="L615" s="31">
        <f>IF(INDIRECT(ADDRESS(ROW() + (0),COLUMN() + (-1)))="Agregar cuotas", IF(("13.4%")="", "Sin costo", "13.4%"), IF(INDIRECT(ADDRESS(ROW() + (0),COLUMN() + (-1)))="No agregar cuotas", IF(("")="", "Sin costo", ""), "-"))</f>
        <v/>
      </c>
      <c r="M615" s="0" t="inlineStr">
        <is>
          <t>Mercado Envíos</t>
        </is>
      </c>
      <c r="N615" s="0" t="inlineStr">
        <is>
          <t>A cargo del comprador</t>
        </is>
      </c>
      <c r="O615" s="0" t="inlineStr">
        <is>
          <t>Acepto</t>
        </is>
      </c>
      <c r="P615" s="47" t="inlineStr">
        <is>
          <t>Sin garantía</t>
        </is>
      </c>
      <c r="R615" s="0" t="inlineStr">
        <is>
          <t>Seleccionar</t>
        </is>
      </c>
      <c r="S615" s="0" t="inlineStr">
        <is>
          <t>No ofrezco</t>
        </is>
      </c>
      <c r="T615" t="n">
        <v>1987</v>
      </c>
      <c r="U615" s="0" t="inlineStr">
        <is>
          <t>Francia</t>
        </is>
      </c>
      <c r="X615" s="0" t="inlineStr">
        <is>
          <t>Bronce</t>
        </is>
      </c>
      <c r="Y615" t="inlineStr">
        <is>
          <t>Milenario de la Dinastía Capeta (987-1987)</t>
        </is>
      </c>
      <c r="Z615" t="inlineStr">
        <is>
          <t>10 Francos</t>
        </is>
      </c>
      <c r="AA615" s="0" t="inlineStr">
        <is>
          <t>Euro</t>
        </is>
      </c>
      <c r="AB6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5" s="53">
        <f>IF(OR(TRIM(INDIRECT("B"&amp;ROW())) &lt;&gt; "",TRIM(INDIRECT("A"&amp;ROW())) &lt;&gt; ""),AND(TRIM(INDIRECT("A"&amp;ROW())) &lt;&gt; "",TRIM(INDIRECT("D"&amp;ROW())) = "nuevo"),"")</f>
        <v/>
      </c>
    </row>
    <row r="616" ht="27.5" customHeight="1" s="62">
      <c r="B616" t="inlineStr">
        <is>
          <t>Moneda Francia 25 Céntimos 1903</t>
        </is>
      </c>
      <c r="C616" s="0">
        <f>LEN(INDIRECT(ADDRESS(ROW() + (0),COLUMN() + (-1))))</f>
        <v/>
      </c>
      <c r="D616" s="0" t="inlineStr">
        <is>
          <t>Usado</t>
        </is>
      </c>
      <c r="E616" s="38" t="inlineStr">
        <is>
          <t>https://numismaticapopper.com/images/1299A.jpeg,https://numismaticapopper.com/images/1299B.jpeg</t>
        </is>
      </c>
      <c r="F616" t="inlineStr">
        <is>
          <t>1299</t>
        </is>
      </c>
      <c r="G616" s="40" t="n">
        <v>1</v>
      </c>
      <c r="H616" t="n">
        <v>15000</v>
      </c>
      <c r="I616" t="inlineStr">
        <is>
          <t>Estado de conservacion: Muy Buena
Referencia de catalogo: KM# 855
Material: Níquel
Peso: 7 g
Diametro: 24 mm</t>
        </is>
      </c>
      <c r="J616" s="31">
        <f>IF(INDIRECT(ADDRESS(ROW() + (0),COLUMN() + (1)))="Agregar cuotas", IF(("16%")="", "-", "16%"), IF(INDIRECT(ADDRESS(ROW() + (0),COLUMN() + (1)))="No agregar cuotas", IF(("16%")="", "-", "16%"), "-"))</f>
        <v/>
      </c>
      <c r="K616" s="0" t="inlineStr">
        <is>
          <t>No agregar cuotas</t>
        </is>
      </c>
      <c r="L616" s="31">
        <f>IF(INDIRECT(ADDRESS(ROW() + (0),COLUMN() + (-1)))="Agregar cuotas", IF(("13.4%")="", "Sin costo", "13.4%"), IF(INDIRECT(ADDRESS(ROW() + (0),COLUMN() + (-1)))="No agregar cuotas", IF(("")="", "Sin costo", ""), "-"))</f>
        <v/>
      </c>
      <c r="M616" s="0" t="inlineStr">
        <is>
          <t>Mercado Envíos</t>
        </is>
      </c>
      <c r="N616" s="0" t="inlineStr">
        <is>
          <t>A cargo del comprador</t>
        </is>
      </c>
      <c r="O616" s="0" t="inlineStr">
        <is>
          <t>Acepto</t>
        </is>
      </c>
      <c r="P616" s="47" t="inlineStr">
        <is>
          <t>Sin garantía</t>
        </is>
      </c>
      <c r="R616" s="0" t="inlineStr">
        <is>
          <t>Seleccionar</t>
        </is>
      </c>
      <c r="S616" s="0" t="inlineStr">
        <is>
          <t>No ofrezco</t>
        </is>
      </c>
      <c r="T616" t="n">
        <v>1903</v>
      </c>
      <c r="U616" s="0" t="inlineStr">
        <is>
          <t>Francia</t>
        </is>
      </c>
      <c r="X616" s="0" t="inlineStr">
        <is>
          <t>Níquel</t>
        </is>
      </c>
      <c r="Z616" t="inlineStr">
        <is>
          <t>25 Céntimos</t>
        </is>
      </c>
      <c r="AA616" s="0" t="inlineStr">
        <is>
          <t>Euro</t>
        </is>
      </c>
      <c r="AB6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6" s="53">
        <f>IF(OR(TRIM(INDIRECT("B"&amp;ROW())) &lt;&gt; "",TRIM(INDIRECT("A"&amp;ROW())) &lt;&gt; ""),AND(TRIM(INDIRECT("A"&amp;ROW())) &lt;&gt; "",TRIM(INDIRECT("D"&amp;ROW())) = "nuevo"),"")</f>
        <v/>
      </c>
    </row>
    <row r="617" ht="27.5" customHeight="1" s="62">
      <c r="B617" t="inlineStr">
        <is>
          <t>Moneda Países Bajos 1 Cent 1902</t>
        </is>
      </c>
      <c r="C617" s="0">
        <f>LEN(INDIRECT(ADDRESS(ROW() + (0),COLUMN() + (-1))))</f>
        <v/>
      </c>
      <c r="D617" s="0" t="inlineStr">
        <is>
          <t>Usado</t>
        </is>
      </c>
      <c r="E617" s="38" t="inlineStr">
        <is>
          <t>https://numismaticapopper.com/images/1300A.jpeg,https://numismaticapopper.com/images/1300B.jpeg</t>
        </is>
      </c>
      <c r="F617" t="inlineStr">
        <is>
          <t>1300</t>
        </is>
      </c>
      <c r="G617" s="40" t="n">
        <v>1</v>
      </c>
      <c r="H617" t="n">
        <v>15000</v>
      </c>
      <c r="I617" t="inlineStr">
        <is>
          <t>Estado de conservacion: Excelente C
Referencia de catalogo: KM# 132.1
Material: Bronce
Peso: 2.5 g
Diametro: 19 mm</t>
        </is>
      </c>
      <c r="J617" s="31">
        <f>IF(INDIRECT(ADDRESS(ROW() + (0),COLUMN() + (1)))="Agregar cuotas", IF(("16%")="", "-", "16%"), IF(INDIRECT(ADDRESS(ROW() + (0),COLUMN() + (1)))="No agregar cuotas", IF(("16%")="", "-", "16%"), "-"))</f>
        <v/>
      </c>
      <c r="K617" s="0" t="inlineStr">
        <is>
          <t>No agregar cuotas</t>
        </is>
      </c>
      <c r="L617" s="31">
        <f>IF(INDIRECT(ADDRESS(ROW() + (0),COLUMN() + (-1)))="Agregar cuotas", IF(("13.4%")="", "Sin costo", "13.4%"), IF(INDIRECT(ADDRESS(ROW() + (0),COLUMN() + (-1)))="No agregar cuotas", IF(("")="", "Sin costo", ""), "-"))</f>
        <v/>
      </c>
      <c r="M617" s="0" t="inlineStr">
        <is>
          <t>Mercado Envíos</t>
        </is>
      </c>
      <c r="N617" s="0" t="inlineStr">
        <is>
          <t>A cargo del comprador</t>
        </is>
      </c>
      <c r="O617" s="0" t="inlineStr">
        <is>
          <t>Acepto</t>
        </is>
      </c>
      <c r="P617" s="47" t="inlineStr">
        <is>
          <t>Sin garantía</t>
        </is>
      </c>
      <c r="R617" s="0" t="inlineStr">
        <is>
          <t>Seleccionar</t>
        </is>
      </c>
      <c r="S617" s="0" t="inlineStr">
        <is>
          <t>No ofrezco</t>
        </is>
      </c>
      <c r="T617" t="n">
        <v>1902</v>
      </c>
      <c r="U617" s="0" t="inlineStr">
        <is>
          <t>Holanda</t>
        </is>
      </c>
      <c r="X617" s="0" t="inlineStr">
        <is>
          <t>Bronce</t>
        </is>
      </c>
      <c r="Z617" t="inlineStr">
        <is>
          <t>1 Cent</t>
        </is>
      </c>
      <c r="AA617" s="0" t="inlineStr">
        <is>
          <t>Dólar</t>
        </is>
      </c>
      <c r="AB6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7" s="53">
        <f>IF(OR(TRIM(INDIRECT("B"&amp;ROW())) &lt;&gt; "",TRIM(INDIRECT("A"&amp;ROW())) &lt;&gt; ""),AND(TRIM(INDIRECT("A"&amp;ROW())) &lt;&gt; "",TRIM(INDIRECT("D"&amp;ROW())) = "nuevo"),"")</f>
        <v/>
      </c>
    </row>
    <row r="618" ht="27.5" customHeight="1" s="62">
      <c r="B618" t="inlineStr">
        <is>
          <t>Moneda Italia 1 Soldo 1862</t>
        </is>
      </c>
      <c r="C618" s="0">
        <f>LEN(INDIRECT(ADDRESS(ROW() + (0),COLUMN() + (-1))))</f>
        <v/>
      </c>
      <c r="D618" s="0" t="inlineStr">
        <is>
          <t>Usado</t>
        </is>
      </c>
      <c r="E618" s="38" t="inlineStr">
        <is>
          <t>https://numismaticapopper.com/images/1301A.jpeg,https://numismaticapopper.com/images/1301B.jpeg</t>
        </is>
      </c>
      <c r="F618" t="inlineStr">
        <is>
          <t>1301</t>
        </is>
      </c>
      <c r="G618" s="40" t="n">
        <v>1</v>
      </c>
      <c r="H618" t="n">
        <v>28000</v>
      </c>
      <c r="I618" t="inlineStr">
        <is>
          <t>Estado de conservacion: Buena +
Referencia de catalogo: C# 35.1
Material: Cobre</t>
        </is>
      </c>
      <c r="J618" s="31">
        <f>IF(INDIRECT(ADDRESS(ROW() + (0),COLUMN() + (1)))="Agregar cuotas", IF(("16%")="", "-", "16%"), IF(INDIRECT(ADDRESS(ROW() + (0),COLUMN() + (1)))="No agregar cuotas", IF(("16%")="", "-", "16%"), "-"))</f>
        <v/>
      </c>
      <c r="K618" s="0" t="inlineStr">
        <is>
          <t>No agregar cuotas</t>
        </is>
      </c>
      <c r="L618" s="31">
        <f>IF(INDIRECT(ADDRESS(ROW() + (0),COLUMN() + (-1)))="Agregar cuotas", IF(("13.4%")="", "Sin costo", "13.4%"), IF(INDIRECT(ADDRESS(ROW() + (0),COLUMN() + (-1)))="No agregar cuotas", IF(("")="", "Sin costo", ""), "-"))</f>
        <v/>
      </c>
      <c r="M618" s="0" t="inlineStr">
        <is>
          <t>Mercado Envíos</t>
        </is>
      </c>
      <c r="N618" s="0" t="inlineStr">
        <is>
          <t>A cargo del comprador</t>
        </is>
      </c>
      <c r="O618" s="0" t="inlineStr">
        <is>
          <t>Acepto</t>
        </is>
      </c>
      <c r="P618" s="47" t="inlineStr">
        <is>
          <t>Sin garantía</t>
        </is>
      </c>
      <c r="R618" s="0" t="inlineStr">
        <is>
          <t>Seleccionar</t>
        </is>
      </c>
      <c r="S618" s="0" t="inlineStr">
        <is>
          <t>No ofrezco</t>
        </is>
      </c>
      <c r="T618" t="n">
        <v>1862</v>
      </c>
      <c r="U618" s="0" t="inlineStr">
        <is>
          <t>Italia</t>
        </is>
      </c>
      <c r="X618" s="0" t="inlineStr">
        <is>
          <t>Cobre</t>
        </is>
      </c>
      <c r="Z618" t="inlineStr">
        <is>
          <t>1 Soldo</t>
        </is>
      </c>
      <c r="AA618" s="0" t="inlineStr">
        <is>
          <t>Euro</t>
        </is>
      </c>
      <c r="AB6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8" s="53">
        <f>IF(OR(TRIM(INDIRECT("B"&amp;ROW())) &lt;&gt; "",TRIM(INDIRECT("A"&amp;ROW())) &lt;&gt; ""),AND(TRIM(INDIRECT("A"&amp;ROW())) &lt;&gt; "",TRIM(INDIRECT("D"&amp;ROW())) = "nuevo"),"")</f>
        <v/>
      </c>
    </row>
    <row r="619" ht="27.5" customHeight="1" s="62">
      <c r="B619" t="inlineStr">
        <is>
          <t>Moneda Portugal 1 Centavo 1918</t>
        </is>
      </c>
      <c r="C619" s="0">
        <f>LEN(INDIRECT(ADDRESS(ROW() + (0),COLUMN() + (-1))))</f>
        <v/>
      </c>
      <c r="D619" s="0" t="inlineStr">
        <is>
          <t>Usado</t>
        </is>
      </c>
      <c r="E619" s="38" t="inlineStr">
        <is>
          <t>https://numismaticapopper.com/images/1302A.jpeg,https://numismaticapopper.com/images/1302B.jpeg</t>
        </is>
      </c>
      <c r="F619" t="inlineStr">
        <is>
          <t>1302</t>
        </is>
      </c>
      <c r="G619" s="40" t="n">
        <v>1</v>
      </c>
      <c r="H619" t="n">
        <v>18000</v>
      </c>
      <c r="I619" t="inlineStr">
        <is>
          <t>Estado de conservacion: Excelente C-
Referencia de catalogo: KM# 565
Material: Bronce
Peso: 3 g
Diametro: 19 mm</t>
        </is>
      </c>
      <c r="J619" s="31">
        <f>IF(INDIRECT(ADDRESS(ROW() + (0),COLUMN() + (1)))="Agregar cuotas", IF(("16%")="", "-", "16%"), IF(INDIRECT(ADDRESS(ROW() + (0),COLUMN() + (1)))="No agregar cuotas", IF(("16%")="", "-", "16%"), "-"))</f>
        <v/>
      </c>
      <c r="K619" s="0" t="inlineStr">
        <is>
          <t>No agregar cuotas</t>
        </is>
      </c>
      <c r="L619" s="31">
        <f>IF(INDIRECT(ADDRESS(ROW() + (0),COLUMN() + (-1)))="Agregar cuotas", IF(("13.4%")="", "Sin costo", "13.4%"), IF(INDIRECT(ADDRESS(ROW() + (0),COLUMN() + (-1)))="No agregar cuotas", IF(("")="", "Sin costo", ""), "-"))</f>
        <v/>
      </c>
      <c r="M619" s="0" t="inlineStr">
        <is>
          <t>Mercado Envíos</t>
        </is>
      </c>
      <c r="N619" s="0" t="inlineStr">
        <is>
          <t>A cargo del comprador</t>
        </is>
      </c>
      <c r="O619" s="0" t="inlineStr">
        <is>
          <t>Acepto</t>
        </is>
      </c>
      <c r="P619" s="47" t="inlineStr">
        <is>
          <t>Sin garantía</t>
        </is>
      </c>
      <c r="R619" s="0" t="inlineStr">
        <is>
          <t>Seleccionar</t>
        </is>
      </c>
      <c r="S619" s="0" t="inlineStr">
        <is>
          <t>No ofrezco</t>
        </is>
      </c>
      <c r="T619" t="n">
        <v>1918</v>
      </c>
      <c r="U619" s="0" t="inlineStr">
        <is>
          <t>Portugal</t>
        </is>
      </c>
      <c r="X619" s="0" t="inlineStr">
        <is>
          <t>Bronce</t>
        </is>
      </c>
      <c r="Z619" t="inlineStr">
        <is>
          <t>1 Centavo</t>
        </is>
      </c>
      <c r="AA619" s="0" t="inlineStr">
        <is>
          <t>Peso</t>
        </is>
      </c>
      <c r="AB6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19" s="53">
        <f>IF(OR(TRIM(INDIRECT("B"&amp;ROW())) &lt;&gt; "",TRIM(INDIRECT("A"&amp;ROW())) &lt;&gt; ""),AND(TRIM(INDIRECT("A"&amp;ROW())) &lt;&gt; "",TRIM(INDIRECT("D"&amp;ROW())) = "nuevo"),"")</f>
        <v/>
      </c>
    </row>
    <row r="620" ht="27.5" customHeight="1" s="62">
      <c r="B620" t="inlineStr">
        <is>
          <t>Moneda San Marino 100 Liras 1978</t>
        </is>
      </c>
      <c r="C620" s="0">
        <f>LEN(INDIRECT(ADDRESS(ROW() + (0),COLUMN() + (-1))))</f>
        <v/>
      </c>
      <c r="D620" s="0" t="inlineStr">
        <is>
          <t>Usado</t>
        </is>
      </c>
      <c r="E620" s="38" t="inlineStr">
        <is>
          <t>https://numismaticapopper.com/images/1303A.jpeg,https://numismaticapopper.com/images/1303B.jpeg</t>
        </is>
      </c>
      <c r="F620" t="inlineStr">
        <is>
          <t>1303</t>
        </is>
      </c>
      <c r="G620" s="40" t="n">
        <v>1</v>
      </c>
      <c r="H620" t="n">
        <v>14000</v>
      </c>
      <c r="I620" t="inlineStr">
        <is>
          <t>Estado de conservacion: Sin Circular
Referencia de catalogo: KM# 82
Material: Acmonital
Peso: 8 g
Diametro: 27.8 mm
Tirada: 745000
Conmemora: F.A.O.</t>
        </is>
      </c>
      <c r="J620" s="31">
        <f>IF(INDIRECT(ADDRESS(ROW() + (0),COLUMN() + (1)))="Agregar cuotas", IF(("16%")="", "-", "16%"), IF(INDIRECT(ADDRESS(ROW() + (0),COLUMN() + (1)))="No agregar cuotas", IF(("16%")="", "-", "16%"), "-"))</f>
        <v/>
      </c>
      <c r="K620" s="0" t="inlineStr">
        <is>
          <t>No agregar cuotas</t>
        </is>
      </c>
      <c r="L620" s="31">
        <f>IF(INDIRECT(ADDRESS(ROW() + (0),COLUMN() + (-1)))="Agregar cuotas", IF(("13.4%")="", "Sin costo", "13.4%"), IF(INDIRECT(ADDRESS(ROW() + (0),COLUMN() + (-1)))="No agregar cuotas", IF(("")="", "Sin costo", ""), "-"))</f>
        <v/>
      </c>
      <c r="M620" s="0" t="inlineStr">
        <is>
          <t>Mercado Envíos</t>
        </is>
      </c>
      <c r="N620" s="0" t="inlineStr">
        <is>
          <t>A cargo del comprador</t>
        </is>
      </c>
      <c r="O620" s="0" t="inlineStr">
        <is>
          <t>Acepto</t>
        </is>
      </c>
      <c r="P620" s="47" t="inlineStr">
        <is>
          <t>Sin garantía</t>
        </is>
      </c>
      <c r="R620" s="0" t="inlineStr">
        <is>
          <t>Seleccionar</t>
        </is>
      </c>
      <c r="S620" s="0" t="inlineStr">
        <is>
          <t>No ofrezco</t>
        </is>
      </c>
      <c r="T620" t="n">
        <v>1978</v>
      </c>
      <c r="U620" s="0" t="inlineStr">
        <is>
          <t>Italia</t>
        </is>
      </c>
      <c r="X620" s="0" t="inlineStr">
        <is>
          <t>Bronce</t>
        </is>
      </c>
      <c r="Y620" t="inlineStr">
        <is>
          <t>F.A.O.</t>
        </is>
      </c>
      <c r="Z620" t="inlineStr">
        <is>
          <t>100 Liras</t>
        </is>
      </c>
      <c r="AA620" s="0" t="inlineStr">
        <is>
          <t>Euro</t>
        </is>
      </c>
      <c r="AB6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0" s="53">
        <f>IF(OR(TRIM(INDIRECT("B"&amp;ROW())) &lt;&gt; "",TRIM(INDIRECT("A"&amp;ROW())) &lt;&gt; ""),AND(TRIM(INDIRECT("A"&amp;ROW())) &lt;&gt; "",TRIM(INDIRECT("D"&amp;ROW())) = "nuevo"),"")</f>
        <v/>
      </c>
    </row>
    <row r="621" ht="27.5" customHeight="1" s="62">
      <c r="B621" t="inlineStr">
        <is>
          <t>Moneda San Marino 100 Liras 1985</t>
        </is>
      </c>
      <c r="C621" s="0">
        <f>LEN(INDIRECT(ADDRESS(ROW() + (0),COLUMN() + (-1))))</f>
        <v/>
      </c>
      <c r="D621" s="0" t="inlineStr">
        <is>
          <t>Usado</t>
        </is>
      </c>
      <c r="E621" s="38" t="inlineStr">
        <is>
          <t>https://numismaticapopper.com/images/1304A.jpeg,https://numismaticapopper.com/images/1304B.jpeg</t>
        </is>
      </c>
      <c r="F621" t="inlineStr">
        <is>
          <t>1304</t>
        </is>
      </c>
      <c r="G621" s="40" t="n">
        <v>1</v>
      </c>
      <c r="H621" t="n">
        <v>14000</v>
      </c>
      <c r="I621" t="inlineStr">
        <is>
          <t>Estado de conservacion: Sin Circular
Referencia de catalogo: KM# 179
Material: Acero inoxidable
Peso: 8 g
Diametro: 27.8 mm
Tirada: 150000</t>
        </is>
      </c>
      <c r="J621" s="31">
        <f>IF(INDIRECT(ADDRESS(ROW() + (0),COLUMN() + (1)))="Agregar cuotas", IF(("16%")="", "-", "16%"), IF(INDIRECT(ADDRESS(ROW() + (0),COLUMN() + (1)))="No agregar cuotas", IF(("16%")="", "-", "16%"), "-"))</f>
        <v/>
      </c>
      <c r="K621" s="0" t="inlineStr">
        <is>
          <t>No agregar cuotas</t>
        </is>
      </c>
      <c r="L621" s="31">
        <f>IF(INDIRECT(ADDRESS(ROW() + (0),COLUMN() + (-1)))="Agregar cuotas", IF(("13.4%")="", "Sin costo", "13.4%"), IF(INDIRECT(ADDRESS(ROW() + (0),COLUMN() + (-1)))="No agregar cuotas", IF(("")="", "Sin costo", ""), "-"))</f>
        <v/>
      </c>
      <c r="M621" s="0" t="inlineStr">
        <is>
          <t>Mercado Envíos</t>
        </is>
      </c>
      <c r="N621" s="0" t="inlineStr">
        <is>
          <t>A cargo del comprador</t>
        </is>
      </c>
      <c r="O621" s="0" t="inlineStr">
        <is>
          <t>Acepto</t>
        </is>
      </c>
      <c r="P621" s="47" t="inlineStr">
        <is>
          <t>Sin garantía</t>
        </is>
      </c>
      <c r="R621" s="0" t="inlineStr">
        <is>
          <t>Seleccionar</t>
        </is>
      </c>
      <c r="S621" s="0" t="inlineStr">
        <is>
          <t>No ofrezco</t>
        </is>
      </c>
      <c r="T621" t="n">
        <v>1985</v>
      </c>
      <c r="U621" s="0" t="inlineStr">
        <is>
          <t>Italia</t>
        </is>
      </c>
      <c r="X621" s="0" t="inlineStr">
        <is>
          <t>Níquel</t>
        </is>
      </c>
      <c r="Z621" t="inlineStr">
        <is>
          <t>100 Liras</t>
        </is>
      </c>
      <c r="AA621" s="0" t="inlineStr">
        <is>
          <t>Euro</t>
        </is>
      </c>
      <c r="AB6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1" s="53">
        <f>IF(OR(TRIM(INDIRECT("B"&amp;ROW())) &lt;&gt; "",TRIM(INDIRECT("A"&amp;ROW())) &lt;&gt; ""),AND(TRIM(INDIRECT("A"&amp;ROW())) &lt;&gt; "",TRIM(INDIRECT("D"&amp;ROW())) = "nuevo"),"")</f>
        <v/>
      </c>
    </row>
    <row r="622" ht="27.5" customHeight="1" s="62">
      <c r="B622" t="inlineStr">
        <is>
          <t>Moneda Suecia 10 Øre 1955</t>
        </is>
      </c>
      <c r="C622" s="0">
        <f>LEN(INDIRECT(ADDRESS(ROW() + (0),COLUMN() + (-1))))</f>
        <v/>
      </c>
      <c r="D622" s="0" t="inlineStr">
        <is>
          <t>Usado</t>
        </is>
      </c>
      <c r="E622" s="38" t="inlineStr">
        <is>
          <t>https://numismaticapopper.com/images/1305A.jpeg,https://numismaticapopper.com/images/1305B.jpeg</t>
        </is>
      </c>
      <c r="F622" t="inlineStr">
        <is>
          <t>1305</t>
        </is>
      </c>
      <c r="G622" s="40" t="n">
        <v>1</v>
      </c>
      <c r="H622" t="n">
        <v>10000</v>
      </c>
      <c r="I622" t="inlineStr">
        <is>
          <t>Estado de conservacion: Excelente C-
Referencia de catalogo: KM# 823
Material: Plata .400
Peso: 1.44 g
Diametro: 15.5 mm</t>
        </is>
      </c>
      <c r="J622" s="31">
        <f>IF(INDIRECT(ADDRESS(ROW() + (0),COLUMN() + (1)))="Agregar cuotas", IF(("16%")="", "-", "16%"), IF(INDIRECT(ADDRESS(ROW() + (0),COLUMN() + (1)))="No agregar cuotas", IF(("16%")="", "-", "16%"), "-"))</f>
        <v/>
      </c>
      <c r="K622" s="0" t="inlineStr">
        <is>
          <t>No agregar cuotas</t>
        </is>
      </c>
      <c r="L622" s="31">
        <f>IF(INDIRECT(ADDRESS(ROW() + (0),COLUMN() + (-1)))="Agregar cuotas", IF(("13.4%")="", "Sin costo", "13.4%"), IF(INDIRECT(ADDRESS(ROW() + (0),COLUMN() + (-1)))="No agregar cuotas", IF(("")="", "Sin costo", ""), "-"))</f>
        <v/>
      </c>
      <c r="M622" s="0" t="inlineStr">
        <is>
          <t>Mercado Envíos</t>
        </is>
      </c>
      <c r="N622" s="0" t="inlineStr">
        <is>
          <t>A cargo del comprador</t>
        </is>
      </c>
      <c r="O622" s="0" t="inlineStr">
        <is>
          <t>Acepto</t>
        </is>
      </c>
      <c r="P622" s="47" t="inlineStr">
        <is>
          <t>Sin garantía</t>
        </is>
      </c>
      <c r="R622" s="0" t="inlineStr">
        <is>
          <t>Seleccionar</t>
        </is>
      </c>
      <c r="S622" s="0" t="inlineStr">
        <is>
          <t>No ofrezco</t>
        </is>
      </c>
      <c r="T622" t="n">
        <v>1955</v>
      </c>
      <c r="U622" s="0" t="inlineStr">
        <is>
          <t>Dinamarca</t>
        </is>
      </c>
      <c r="X622" s="0" t="inlineStr">
        <is>
          <t>Plata</t>
        </is>
      </c>
      <c r="Z622" t="inlineStr">
        <is>
          <t>10 Øre</t>
        </is>
      </c>
      <c r="AA622" s="0" t="inlineStr">
        <is>
          <t>Euro</t>
        </is>
      </c>
      <c r="AB6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2" s="53">
        <f>IF(OR(TRIM(INDIRECT("B"&amp;ROW())) &lt;&gt; "",TRIM(INDIRECT("A"&amp;ROW())) &lt;&gt; ""),AND(TRIM(INDIRECT("A"&amp;ROW())) &lt;&gt; "",TRIM(INDIRECT("D"&amp;ROW())) = "nuevo"),"")</f>
        <v/>
      </c>
    </row>
    <row r="623" ht="27.5" customHeight="1" s="62">
      <c r="B623" t="inlineStr">
        <is>
          <t>Moneda Suiza 2 Rappen 1893</t>
        </is>
      </c>
      <c r="C623" s="0">
        <f>LEN(INDIRECT(ADDRESS(ROW() + (0),COLUMN() + (-1))))</f>
        <v/>
      </c>
      <c r="D623" s="0" t="inlineStr">
        <is>
          <t>Usado</t>
        </is>
      </c>
      <c r="E623" s="38" t="inlineStr">
        <is>
          <t>https://numismaticapopper.com/images/1306A.jpeg,https://numismaticapopper.com/images/1306B.jpeg</t>
        </is>
      </c>
      <c r="F623" t="inlineStr">
        <is>
          <t>1306</t>
        </is>
      </c>
      <c r="G623" s="40" t="n">
        <v>1</v>
      </c>
      <c r="H623" t="n">
        <v>22000</v>
      </c>
      <c r="I623" t="inlineStr">
        <is>
          <t>Estado de conservacion: Muy Buena
Referencia de catalogo: KM# 4.2
Material: Bronce
Peso: 2.5 g
Diametro: 20 mm
Tirada: 2000000</t>
        </is>
      </c>
      <c r="J623" s="31">
        <f>IF(INDIRECT(ADDRESS(ROW() + (0),COLUMN() + (1)))="Agregar cuotas", IF(("16%")="", "-", "16%"), IF(INDIRECT(ADDRESS(ROW() + (0),COLUMN() + (1)))="No agregar cuotas", IF(("16%")="", "-", "16%"), "-"))</f>
        <v/>
      </c>
      <c r="K623" s="0" t="inlineStr">
        <is>
          <t>No agregar cuotas</t>
        </is>
      </c>
      <c r="L623" s="31">
        <f>IF(INDIRECT(ADDRESS(ROW() + (0),COLUMN() + (-1)))="Agregar cuotas", IF(("13.4%")="", "Sin costo", "13.4%"), IF(INDIRECT(ADDRESS(ROW() + (0),COLUMN() + (-1)))="No agregar cuotas", IF(("")="", "Sin costo", ""), "-"))</f>
        <v/>
      </c>
      <c r="M623" s="0" t="inlineStr">
        <is>
          <t>Mercado Envíos</t>
        </is>
      </c>
      <c r="N623" s="0" t="inlineStr">
        <is>
          <t>A cargo del comprador</t>
        </is>
      </c>
      <c r="O623" s="0" t="inlineStr">
        <is>
          <t>Acepto</t>
        </is>
      </c>
      <c r="P623" s="47" t="inlineStr">
        <is>
          <t>Sin garantía</t>
        </is>
      </c>
      <c r="R623" s="0" t="inlineStr">
        <is>
          <t>Seleccionar</t>
        </is>
      </c>
      <c r="S623" s="0" t="inlineStr">
        <is>
          <t>No ofrezco</t>
        </is>
      </c>
      <c r="T623" t="n">
        <v>1893</v>
      </c>
      <c r="U623" s="0" t="inlineStr">
        <is>
          <t>Alemania</t>
        </is>
      </c>
      <c r="X623" s="0" t="inlineStr">
        <is>
          <t>Bronce</t>
        </is>
      </c>
      <c r="Z623" t="inlineStr">
        <is>
          <t>2 Rappen</t>
        </is>
      </c>
      <c r="AA623" s="0" t="inlineStr">
        <is>
          <t>Euro</t>
        </is>
      </c>
      <c r="AB6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3" s="53">
        <f>IF(OR(TRIM(INDIRECT("B"&amp;ROW())) &lt;&gt; "",TRIM(INDIRECT("A"&amp;ROW())) &lt;&gt; ""),AND(TRIM(INDIRECT("A"&amp;ROW())) &lt;&gt; "",TRIM(INDIRECT("D"&amp;ROW())) = "nuevo"),"")</f>
        <v/>
      </c>
    </row>
    <row r="624" ht="27.5" customHeight="1" s="62">
      <c r="B624" t="inlineStr">
        <is>
          <t>Moneda Uruguay 2 Centésimos 1869</t>
        </is>
      </c>
      <c r="C624" s="0">
        <f>LEN(INDIRECT(ADDRESS(ROW() + (0),COLUMN() + (-1))))</f>
        <v/>
      </c>
      <c r="D624" s="0" t="inlineStr">
        <is>
          <t>Usado</t>
        </is>
      </c>
      <c r="E624" s="38" t="inlineStr">
        <is>
          <t>https://numismaticapopper.com/images/1307A.jpeg,https://numismaticapopper.com/images/1307B.jpeg</t>
        </is>
      </c>
      <c r="F624" t="inlineStr">
        <is>
          <t>1307</t>
        </is>
      </c>
      <c r="G624" s="40" t="n">
        <v>1</v>
      </c>
      <c r="H624" t="n">
        <v>26000</v>
      </c>
      <c r="I624" t="inlineStr">
        <is>
          <t>Estado de conservacion: Muy Buena -
Referencia de catalogo: KM# 12
Material: Bronce
Peso: 10 g
Diametro: 30 mm
Ceca París (A)</t>
        </is>
      </c>
      <c r="J624" s="31">
        <f>IF(INDIRECT(ADDRESS(ROW() + (0),COLUMN() + (1)))="Agregar cuotas", IF(("16%")="", "-", "16%"), IF(INDIRECT(ADDRESS(ROW() + (0),COLUMN() + (1)))="No agregar cuotas", IF(("16%")="", "-", "16%"), "-"))</f>
        <v/>
      </c>
      <c r="K624" s="0" t="inlineStr">
        <is>
          <t>No agregar cuotas</t>
        </is>
      </c>
      <c r="L624" s="31">
        <f>IF(INDIRECT(ADDRESS(ROW() + (0),COLUMN() + (-1)))="Agregar cuotas", IF(("13.4%")="", "Sin costo", "13.4%"), IF(INDIRECT(ADDRESS(ROW() + (0),COLUMN() + (-1)))="No agregar cuotas", IF(("")="", "Sin costo", ""), "-"))</f>
        <v/>
      </c>
      <c r="M624" s="0" t="inlineStr">
        <is>
          <t>Mercado Envíos</t>
        </is>
      </c>
      <c r="N624" s="0" t="inlineStr">
        <is>
          <t>A cargo del comprador</t>
        </is>
      </c>
      <c r="O624" s="0" t="inlineStr">
        <is>
          <t>Acepto</t>
        </is>
      </c>
      <c r="P624" s="47" t="inlineStr">
        <is>
          <t>Sin garantía</t>
        </is>
      </c>
      <c r="R624" s="0" t="inlineStr">
        <is>
          <t>Seleccionar</t>
        </is>
      </c>
      <c r="S624" s="0" t="inlineStr">
        <is>
          <t>No ofrezco</t>
        </is>
      </c>
      <c r="T624" t="n">
        <v>1869</v>
      </c>
      <c r="U624" s="0" t="inlineStr">
        <is>
          <t>Uruguay</t>
        </is>
      </c>
      <c r="X624" s="0" t="inlineStr">
        <is>
          <t>Bronce</t>
        </is>
      </c>
      <c r="Z624" t="inlineStr">
        <is>
          <t>2 Centésimos</t>
        </is>
      </c>
      <c r="AA624" s="0" t="inlineStr">
        <is>
          <t>Euro</t>
        </is>
      </c>
      <c r="AB6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4" s="53">
        <f>IF(OR(TRIM(INDIRECT("B"&amp;ROW())) &lt;&gt; "",TRIM(INDIRECT("A"&amp;ROW())) &lt;&gt; ""),AND(TRIM(INDIRECT("A"&amp;ROW())) &lt;&gt; "",TRIM(INDIRECT("D"&amp;ROW())) = "nuevo"),"")</f>
        <v/>
      </c>
    </row>
    <row r="625" ht="27.5" customHeight="1" s="62">
      <c r="B625" t="inlineStr">
        <is>
          <t>Moneda México 1 Centavo 1946</t>
        </is>
      </c>
      <c r="C625" s="0">
        <f>LEN(INDIRECT(ADDRESS(ROW() + (0),COLUMN() + (-1))))</f>
        <v/>
      </c>
      <c r="D625" s="0" t="inlineStr">
        <is>
          <t>Usado</t>
        </is>
      </c>
      <c r="E625" s="38" t="inlineStr">
        <is>
          <t>https://numismaticapopper.com/images/1308A.jpeg,https://numismaticapopper.com/images/1308B.jpeg</t>
        </is>
      </c>
      <c r="F625" t="inlineStr">
        <is>
          <t>1308</t>
        </is>
      </c>
      <c r="G625" s="40" t="n">
        <v>1</v>
      </c>
      <c r="H625" t="n">
        <v>11000</v>
      </c>
      <c r="I625" t="inlineStr">
        <is>
          <t>Estado de conservacion: Excelente C-
Referencia de catalogo: KM# 415
Material: Bronce
Peso: 3 g
Diametro: 19.5 mm</t>
        </is>
      </c>
      <c r="J625" s="31">
        <f>IF(INDIRECT(ADDRESS(ROW() + (0),COLUMN() + (1)))="Agregar cuotas", IF(("16%")="", "-", "16%"), IF(INDIRECT(ADDRESS(ROW() + (0),COLUMN() + (1)))="No agregar cuotas", IF(("16%")="", "-", "16%"), "-"))</f>
        <v/>
      </c>
      <c r="K625" s="0" t="inlineStr">
        <is>
          <t>No agregar cuotas</t>
        </is>
      </c>
      <c r="L625" s="31">
        <f>IF(INDIRECT(ADDRESS(ROW() + (0),COLUMN() + (-1)))="Agregar cuotas", IF(("13.4%")="", "Sin costo", "13.4%"), IF(INDIRECT(ADDRESS(ROW() + (0),COLUMN() + (-1)))="No agregar cuotas", IF(("")="", "Sin costo", ""), "-"))</f>
        <v/>
      </c>
      <c r="M625" s="0" t="inlineStr">
        <is>
          <t>Mercado Envíos</t>
        </is>
      </c>
      <c r="N625" s="0" t="inlineStr">
        <is>
          <t>A cargo del comprador</t>
        </is>
      </c>
      <c r="O625" s="0" t="inlineStr">
        <is>
          <t>Acepto</t>
        </is>
      </c>
      <c r="P625" s="47" t="inlineStr">
        <is>
          <t>Sin garantía</t>
        </is>
      </c>
      <c r="R625" s="0" t="inlineStr">
        <is>
          <t>Seleccionar</t>
        </is>
      </c>
      <c r="S625" s="0" t="inlineStr">
        <is>
          <t>No ofrezco</t>
        </is>
      </c>
      <c r="T625" t="n">
        <v>1946</v>
      </c>
      <c r="U625" s="0" t="inlineStr">
        <is>
          <t>México</t>
        </is>
      </c>
      <c r="X625" s="0" t="inlineStr">
        <is>
          <t>Bronce</t>
        </is>
      </c>
      <c r="Z625" t="inlineStr">
        <is>
          <t>1 Centavo</t>
        </is>
      </c>
      <c r="AA625" s="0" t="inlineStr">
        <is>
          <t>Peso</t>
        </is>
      </c>
      <c r="AB6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5" s="53">
        <f>IF(OR(TRIM(INDIRECT("B"&amp;ROW())) &lt;&gt; "",TRIM(INDIRECT("A"&amp;ROW())) &lt;&gt; ""),AND(TRIM(INDIRECT("A"&amp;ROW())) &lt;&gt; "",TRIM(INDIRECT("D"&amp;ROW())) = "nuevo"),"")</f>
        <v/>
      </c>
    </row>
    <row r="626" ht="27.5" customHeight="1" s="62">
      <c r="B626" t="inlineStr">
        <is>
          <t>Moneda Perú 1 Centavo 1946</t>
        </is>
      </c>
      <c r="C626" s="0">
        <f>LEN(INDIRECT(ADDRESS(ROW() + (0),COLUMN() + (-1))))</f>
        <v/>
      </c>
      <c r="D626" s="0" t="inlineStr">
        <is>
          <t>Usado</t>
        </is>
      </c>
      <c r="E626" s="38" t="inlineStr">
        <is>
          <t>https://numismaticapopper.com/images/1309A.jpeg,https://numismaticapopper.com/images/1309B.jpeg</t>
        </is>
      </c>
      <c r="F626" t="inlineStr">
        <is>
          <t>1309</t>
        </is>
      </c>
      <c r="G626" s="40" t="n">
        <v>1</v>
      </c>
      <c r="H626" t="n">
        <v>14000</v>
      </c>
      <c r="I626" t="inlineStr">
        <is>
          <t>Estado de conservacion: Sin Circular
Referencia de catalogo: KM# 211a
Material: Bronce
Peso: 2.66 g
Diametro: 19.2 mm</t>
        </is>
      </c>
      <c r="J626" s="31">
        <f>IF(INDIRECT(ADDRESS(ROW() + (0),COLUMN() + (1)))="Agregar cuotas", IF(("16%")="", "-", "16%"), IF(INDIRECT(ADDRESS(ROW() + (0),COLUMN() + (1)))="No agregar cuotas", IF(("16%")="", "-", "16%"), "-"))</f>
        <v/>
      </c>
      <c r="K626" s="0" t="inlineStr">
        <is>
          <t>No agregar cuotas</t>
        </is>
      </c>
      <c r="L626" s="31">
        <f>IF(INDIRECT(ADDRESS(ROW() + (0),COLUMN() + (-1)))="Agregar cuotas", IF(("13.4%")="", "Sin costo", "13.4%"), IF(INDIRECT(ADDRESS(ROW() + (0),COLUMN() + (-1)))="No agregar cuotas", IF(("")="", "Sin costo", ""), "-"))</f>
        <v/>
      </c>
      <c r="M626" s="0" t="inlineStr">
        <is>
          <t>Mercado Envíos</t>
        </is>
      </c>
      <c r="N626" s="0" t="inlineStr">
        <is>
          <t>A cargo del comprador</t>
        </is>
      </c>
      <c r="O626" s="0" t="inlineStr">
        <is>
          <t>Acepto</t>
        </is>
      </c>
      <c r="P626" s="47" t="inlineStr">
        <is>
          <t>Sin garantía</t>
        </is>
      </c>
      <c r="R626" s="0" t="inlineStr">
        <is>
          <t>Seleccionar</t>
        </is>
      </c>
      <c r="S626" s="0" t="inlineStr">
        <is>
          <t>No ofrezco</t>
        </is>
      </c>
      <c r="T626" t="n">
        <v>1946</v>
      </c>
      <c r="U626" s="0" t="inlineStr">
        <is>
          <t>Perú</t>
        </is>
      </c>
      <c r="X626" s="0" t="inlineStr">
        <is>
          <t>Bronce</t>
        </is>
      </c>
      <c r="Z626" t="inlineStr">
        <is>
          <t>1 Centavo</t>
        </is>
      </c>
      <c r="AA626" s="0" t="inlineStr">
        <is>
          <t>Peso</t>
        </is>
      </c>
      <c r="AB6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6" s="53">
        <f>IF(OR(TRIM(INDIRECT("B"&amp;ROW())) &lt;&gt; "",TRIM(INDIRECT("A"&amp;ROW())) &lt;&gt; ""),AND(TRIM(INDIRECT("A"&amp;ROW())) &lt;&gt; "",TRIM(INDIRECT("D"&amp;ROW())) = "nuevo"),"")</f>
        <v/>
      </c>
    </row>
    <row r="627" ht="27.5" customHeight="1" s="62">
      <c r="B627" t="inlineStr">
        <is>
          <t>Moneda Perú 2 Centavos 1863</t>
        </is>
      </c>
      <c r="C627" s="0">
        <f>LEN(INDIRECT(ADDRESS(ROW() + (0),COLUMN() + (-1))))</f>
        <v/>
      </c>
      <c r="D627" s="0" t="inlineStr">
        <is>
          <t>Usado</t>
        </is>
      </c>
      <c r="E627" s="38" t="inlineStr">
        <is>
          <t>https://numismaticapopper.com/images/1310A.jpeg,https://numismaticapopper.com/images/1310B.jpeg</t>
        </is>
      </c>
      <c r="F627" t="inlineStr">
        <is>
          <t>1310</t>
        </is>
      </c>
      <c r="G627" s="40" t="n">
        <v>1</v>
      </c>
      <c r="H627" t="n">
        <v>26000</v>
      </c>
      <c r="I627" t="inlineStr">
        <is>
          <t>Estado de conservacion: Muy Buena -
Referencia de catalogo: KM# 188.1
Material: Cuproníquel
Peso: 9 g
Diametro: 24 mm</t>
        </is>
      </c>
      <c r="J627" s="31">
        <f>IF(INDIRECT(ADDRESS(ROW() + (0),COLUMN() + (1)))="Agregar cuotas", IF(("16%")="", "-", "16%"), IF(INDIRECT(ADDRESS(ROW() + (0),COLUMN() + (1)))="No agregar cuotas", IF(("16%")="", "-", "16%"), "-"))</f>
        <v/>
      </c>
      <c r="K627" s="0" t="inlineStr">
        <is>
          <t>No agregar cuotas</t>
        </is>
      </c>
      <c r="L627" s="31">
        <f>IF(INDIRECT(ADDRESS(ROW() + (0),COLUMN() + (-1)))="Agregar cuotas", IF(("13.4%")="", "Sin costo", "13.4%"), IF(INDIRECT(ADDRESS(ROW() + (0),COLUMN() + (-1)))="No agregar cuotas", IF(("")="", "Sin costo", ""), "-"))</f>
        <v/>
      </c>
      <c r="M627" s="0" t="inlineStr">
        <is>
          <t>Mercado Envíos</t>
        </is>
      </c>
      <c r="N627" s="0" t="inlineStr">
        <is>
          <t>A cargo del comprador</t>
        </is>
      </c>
      <c r="O627" s="0" t="inlineStr">
        <is>
          <t>Acepto</t>
        </is>
      </c>
      <c r="P627" s="47" t="inlineStr">
        <is>
          <t>Sin garantía</t>
        </is>
      </c>
      <c r="R627" s="0" t="inlineStr">
        <is>
          <t>Seleccionar</t>
        </is>
      </c>
      <c r="S627" s="0" t="inlineStr">
        <is>
          <t>No ofrezco</t>
        </is>
      </c>
      <c r="T627" t="n">
        <v>1863</v>
      </c>
      <c r="U627" s="0" t="inlineStr">
        <is>
          <t>Perú</t>
        </is>
      </c>
      <c r="X627" s="0" t="inlineStr">
        <is>
          <t>Níquel</t>
        </is>
      </c>
      <c r="Z627" t="inlineStr">
        <is>
          <t>2 Centavos</t>
        </is>
      </c>
      <c r="AA627" s="0" t="inlineStr">
        <is>
          <t>Peso</t>
        </is>
      </c>
      <c r="AB6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7" s="53">
        <f>IF(OR(TRIM(INDIRECT("B"&amp;ROW())) &lt;&gt; "",TRIM(INDIRECT("A"&amp;ROW())) &lt;&gt; ""),AND(TRIM(INDIRECT("A"&amp;ROW())) &lt;&gt; "",TRIM(INDIRECT("D"&amp;ROW())) = "nuevo"),"")</f>
        <v/>
      </c>
    </row>
    <row r="628" ht="27.5" customHeight="1" s="62">
      <c r="B628" t="inlineStr">
        <is>
          <t>Moneda Venezuela 25 Céntimos 1954</t>
        </is>
      </c>
      <c r="C628" s="0">
        <f>LEN(INDIRECT(ADDRESS(ROW() + (0),COLUMN() + (-1))))</f>
        <v/>
      </c>
      <c r="D628" s="0" t="inlineStr">
        <is>
          <t>Usado</t>
        </is>
      </c>
      <c r="E628" s="38" t="inlineStr">
        <is>
          <t>https://numismaticapopper.com/images/1311A.jpeg,https://numismaticapopper.com/images/1311B.jpeg</t>
        </is>
      </c>
      <c r="F628" t="inlineStr">
        <is>
          <t>1311</t>
        </is>
      </c>
      <c r="G628" s="40" t="n">
        <v>1</v>
      </c>
      <c r="H628" t="n">
        <v>13000</v>
      </c>
      <c r="I628" t="inlineStr">
        <is>
          <t>Estado de conservacion: Excelente C+
Referencia de catalogo: Y# 35
Material: Plata .835
Peso: 1.25 g
Diametro: 16 mm</t>
        </is>
      </c>
      <c r="J628" s="31">
        <f>IF(INDIRECT(ADDRESS(ROW() + (0),COLUMN() + (1)))="Agregar cuotas", IF(("16%")="", "-", "16%"), IF(INDIRECT(ADDRESS(ROW() + (0),COLUMN() + (1)))="No agregar cuotas", IF(("16%")="", "-", "16%"), "-"))</f>
        <v/>
      </c>
      <c r="K628" s="0" t="inlineStr">
        <is>
          <t>No agregar cuotas</t>
        </is>
      </c>
      <c r="L628" s="31">
        <f>IF(INDIRECT(ADDRESS(ROW() + (0),COLUMN() + (-1)))="Agregar cuotas", IF(("13.4%")="", "Sin costo", "13.4%"), IF(INDIRECT(ADDRESS(ROW() + (0),COLUMN() + (-1)))="No agregar cuotas", IF(("")="", "Sin costo", ""), "-"))</f>
        <v/>
      </c>
      <c r="M628" s="0" t="inlineStr">
        <is>
          <t>Mercado Envíos</t>
        </is>
      </c>
      <c r="N628" s="0" t="inlineStr">
        <is>
          <t>A cargo del comprador</t>
        </is>
      </c>
      <c r="O628" s="0" t="inlineStr">
        <is>
          <t>Acepto</t>
        </is>
      </c>
      <c r="P628" s="47" t="inlineStr">
        <is>
          <t>Sin garantía</t>
        </is>
      </c>
      <c r="R628" s="0" t="inlineStr">
        <is>
          <t>Seleccionar</t>
        </is>
      </c>
      <c r="S628" s="0" t="inlineStr">
        <is>
          <t>No ofrezco</t>
        </is>
      </c>
      <c r="T628" t="n">
        <v>1954</v>
      </c>
      <c r="U628" s="0" t="inlineStr">
        <is>
          <t>Perú</t>
        </is>
      </c>
      <c r="X628" s="0" t="inlineStr">
        <is>
          <t>Plata</t>
        </is>
      </c>
      <c r="Z628" t="inlineStr">
        <is>
          <t>25 Céntimos</t>
        </is>
      </c>
      <c r="AA628" s="0" t="inlineStr">
        <is>
          <t>Euro</t>
        </is>
      </c>
      <c r="AB6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8" s="53">
        <f>IF(OR(TRIM(INDIRECT("B"&amp;ROW())) &lt;&gt; "",TRIM(INDIRECT("A"&amp;ROW())) &lt;&gt; ""),AND(TRIM(INDIRECT("A"&amp;ROW())) &lt;&gt; "",TRIM(INDIRECT("D"&amp;ROW())) = "nuevo"),"")</f>
        <v/>
      </c>
    </row>
    <row r="629" ht="27.5" customHeight="1" s="62">
      <c r="B629" t="inlineStr">
        <is>
          <t>Moneda Estados Unidos 1/2 Dólar Kennedy 1968</t>
        </is>
      </c>
      <c r="C629" s="0">
        <f>LEN(INDIRECT(ADDRESS(ROW() + (0),COLUMN() + (-1))))</f>
        <v/>
      </c>
      <c r="D629" s="0" t="inlineStr">
        <is>
          <t>Usado</t>
        </is>
      </c>
      <c r="E629" s="38" t="inlineStr">
        <is>
          <t>https://numismaticapopper.com/images/1312A.jpeg,https://numismaticapopper.com/images/1312B.jpeg</t>
        </is>
      </c>
      <c r="F629" t="inlineStr">
        <is>
          <t>1312</t>
        </is>
      </c>
      <c r="G629" s="40" t="n">
        <v>1</v>
      </c>
      <c r="H629" t="n">
        <v>22000</v>
      </c>
      <c r="I629" t="inlineStr">
        <is>
          <t>Estado de conservacion: Excelente C
Referencia de catalogo: KM# 202a
Material: Plata .400
Peso: 11.5 g
Diametro: 30.61 mm
Ceca Denver (D)</t>
        </is>
      </c>
      <c r="J629" s="31">
        <f>IF(INDIRECT(ADDRESS(ROW() + (0),COLUMN() + (1)))="Agregar cuotas", IF(("16%")="", "-", "16%"), IF(INDIRECT(ADDRESS(ROW() + (0),COLUMN() + (1)))="No agregar cuotas", IF(("16%")="", "-", "16%"), "-"))</f>
        <v/>
      </c>
      <c r="K629" s="0" t="inlineStr">
        <is>
          <t>No agregar cuotas</t>
        </is>
      </c>
      <c r="L629" s="31">
        <f>IF(INDIRECT(ADDRESS(ROW() + (0),COLUMN() + (-1)))="Agregar cuotas", IF(("13.4%")="", "Sin costo", "13.4%"), IF(INDIRECT(ADDRESS(ROW() + (0),COLUMN() + (-1)))="No agregar cuotas", IF(("")="", "Sin costo", ""), "-"))</f>
        <v/>
      </c>
      <c r="M629" s="0" t="inlineStr">
        <is>
          <t>Mercado Envíos</t>
        </is>
      </c>
      <c r="N629" s="0" t="inlineStr">
        <is>
          <t>A cargo del comprador</t>
        </is>
      </c>
      <c r="O629" s="0" t="inlineStr">
        <is>
          <t>Acepto</t>
        </is>
      </c>
      <c r="P629" s="47" t="inlineStr">
        <is>
          <t>Sin garantía</t>
        </is>
      </c>
      <c r="R629" s="0" t="inlineStr">
        <is>
          <t>Seleccionar</t>
        </is>
      </c>
      <c r="S629" s="0" t="inlineStr">
        <is>
          <t>No ofrezco</t>
        </is>
      </c>
      <c r="T629" t="n">
        <v>1968</v>
      </c>
      <c r="U629" s="0" t="inlineStr">
        <is>
          <t>Estados Unidos</t>
        </is>
      </c>
      <c r="X629" s="0" t="inlineStr">
        <is>
          <t>Plata</t>
        </is>
      </c>
      <c r="Z629" t="inlineStr">
        <is>
          <t>1/2 Dólar Kennedy</t>
        </is>
      </c>
      <c r="AA629" s="0" t="inlineStr">
        <is>
          <t>Dólar</t>
        </is>
      </c>
      <c r="AB6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29" s="53">
        <f>IF(OR(TRIM(INDIRECT("B"&amp;ROW())) &lt;&gt; "",TRIM(INDIRECT("A"&amp;ROW())) &lt;&gt; ""),AND(TRIM(INDIRECT("A"&amp;ROW())) &lt;&gt; "",TRIM(INDIRECT("D"&amp;ROW())) = "nuevo"),"")</f>
        <v/>
      </c>
    </row>
    <row r="630" ht="27.5" customHeight="1" s="62">
      <c r="B630" t="inlineStr">
        <is>
          <t>Moneda Canadá 1 Cent 1919</t>
        </is>
      </c>
      <c r="C630" s="0">
        <f>LEN(INDIRECT(ADDRESS(ROW() + (0),COLUMN() + (-1))))</f>
        <v/>
      </c>
      <c r="D630" s="0" t="inlineStr">
        <is>
          <t>Usado</t>
        </is>
      </c>
      <c r="E630" s="38" t="inlineStr">
        <is>
          <t>https://numismaticapopper.com/images/1313A.jpeg,https://numismaticapopper.com/images/1313B.jpeg</t>
        </is>
      </c>
      <c r="F630" t="inlineStr">
        <is>
          <t>1313</t>
        </is>
      </c>
      <c r="G630" s="40" t="n">
        <v>1</v>
      </c>
      <c r="H630" t="n">
        <v>20000</v>
      </c>
      <c r="I630" t="inlineStr">
        <is>
          <t>Estado de conservacion: Excelente C
Referencia de catalogo: KM# 21
Material: Bronce
Peso: 5.67 g
Diametro: 25.5 mm</t>
        </is>
      </c>
      <c r="J630" s="31">
        <f>IF(INDIRECT(ADDRESS(ROW() + (0),COLUMN() + (1)))="Agregar cuotas", IF(("16%")="", "-", "16%"), IF(INDIRECT(ADDRESS(ROW() + (0),COLUMN() + (1)))="No agregar cuotas", IF(("16%")="", "-", "16%"), "-"))</f>
        <v/>
      </c>
      <c r="K630" s="0" t="inlineStr">
        <is>
          <t>No agregar cuotas</t>
        </is>
      </c>
      <c r="L630" s="31">
        <f>IF(INDIRECT(ADDRESS(ROW() + (0),COLUMN() + (-1)))="Agregar cuotas", IF(("13.4%")="", "Sin costo", "13.4%"), IF(INDIRECT(ADDRESS(ROW() + (0),COLUMN() + (-1)))="No agregar cuotas", IF(("")="", "Sin costo", ""), "-"))</f>
        <v/>
      </c>
      <c r="M630" s="0" t="inlineStr">
        <is>
          <t>Mercado Envíos</t>
        </is>
      </c>
      <c r="N630" s="0" t="inlineStr">
        <is>
          <t>A cargo del comprador</t>
        </is>
      </c>
      <c r="O630" s="0" t="inlineStr">
        <is>
          <t>Acepto</t>
        </is>
      </c>
      <c r="P630" s="47" t="inlineStr">
        <is>
          <t>Sin garantía</t>
        </is>
      </c>
      <c r="R630" s="0" t="inlineStr">
        <is>
          <t>Seleccionar</t>
        </is>
      </c>
      <c r="S630" s="0" t="inlineStr">
        <is>
          <t>No ofrezco</t>
        </is>
      </c>
      <c r="T630" t="n">
        <v>1919</v>
      </c>
      <c r="U630" s="0" t="inlineStr">
        <is>
          <t>Canadá</t>
        </is>
      </c>
      <c r="X630" s="0" t="inlineStr">
        <is>
          <t>Bronce</t>
        </is>
      </c>
      <c r="Z630" t="inlineStr">
        <is>
          <t>1 Cent</t>
        </is>
      </c>
      <c r="AA630" s="0" t="inlineStr">
        <is>
          <t>Dólar</t>
        </is>
      </c>
      <c r="AB6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0" s="53">
        <f>IF(OR(TRIM(INDIRECT("B"&amp;ROW())) &lt;&gt; "",TRIM(INDIRECT("A"&amp;ROW())) &lt;&gt; ""),AND(TRIM(INDIRECT("A"&amp;ROW())) &lt;&gt; "",TRIM(INDIRECT("D"&amp;ROW())) = "nuevo"),"")</f>
        <v/>
      </c>
    </row>
    <row r="631" ht="27.5" customHeight="1" s="62">
      <c r="B631" t="inlineStr">
        <is>
          <t>Moneda Argentina 5 Centavos 1975</t>
        </is>
      </c>
      <c r="C631" s="0">
        <f>LEN(INDIRECT(ADDRESS(ROW() + (0),COLUMN() + (-1))))</f>
        <v/>
      </c>
      <c r="D631" s="0" t="inlineStr">
        <is>
          <t>Usado</t>
        </is>
      </c>
      <c r="E631" s="38" t="inlineStr">
        <is>
          <t>https://numismaticapopper.com/images/1314A.jpeg,https://numismaticapopper.com/images/1314B.jpeg</t>
        </is>
      </c>
      <c r="F631" t="inlineStr">
        <is>
          <t>1314</t>
        </is>
      </c>
      <c r="G631" s="40" t="n">
        <v>1</v>
      </c>
      <c r="H631" t="n">
        <v>11000</v>
      </c>
      <c r="I631" t="inlineStr">
        <is>
          <t>Estado de conservacion: Sin Circular
Referencia de catalogo: CJ# 354
Material: Aluminio
Peso: 0.9 g
Diametro: 17.7 mm</t>
        </is>
      </c>
      <c r="J631" s="31">
        <f>IF(INDIRECT(ADDRESS(ROW() + (0),COLUMN() + (1)))="Agregar cuotas", IF(("16%")="", "-", "16%"), IF(INDIRECT(ADDRESS(ROW() + (0),COLUMN() + (1)))="No agregar cuotas", IF(("16%")="", "-", "16%"), "-"))</f>
        <v/>
      </c>
      <c r="K631" s="0" t="inlineStr">
        <is>
          <t>No agregar cuotas</t>
        </is>
      </c>
      <c r="L631" s="31">
        <f>IF(INDIRECT(ADDRESS(ROW() + (0),COLUMN() + (-1)))="Agregar cuotas", IF(("13.4%")="", "Sin costo", "13.4%"), IF(INDIRECT(ADDRESS(ROW() + (0),COLUMN() + (-1)))="No agregar cuotas", IF(("")="", "Sin costo", ""), "-"))</f>
        <v/>
      </c>
      <c r="M631" s="0" t="inlineStr">
        <is>
          <t>Mercado Envíos</t>
        </is>
      </c>
      <c r="N631" s="0" t="inlineStr">
        <is>
          <t>A cargo del comprador</t>
        </is>
      </c>
      <c r="O631" s="0" t="inlineStr">
        <is>
          <t>Acepto</t>
        </is>
      </c>
      <c r="P631" s="47" t="inlineStr">
        <is>
          <t>Sin garantía</t>
        </is>
      </c>
      <c r="R631" s="0" t="inlineStr">
        <is>
          <t>Seleccionar</t>
        </is>
      </c>
      <c r="S631" s="0" t="inlineStr">
        <is>
          <t>No ofrezco</t>
        </is>
      </c>
      <c r="T631" t="n">
        <v>1975</v>
      </c>
      <c r="U631" s="0" t="inlineStr">
        <is>
          <t>Argentina</t>
        </is>
      </c>
      <c r="X631" s="0" t="inlineStr">
        <is>
          <t>Níquel</t>
        </is>
      </c>
      <c r="Z631" t="inlineStr">
        <is>
          <t>5 Centavos</t>
        </is>
      </c>
      <c r="AA631" s="0" t="inlineStr">
        <is>
          <t>Peso</t>
        </is>
      </c>
      <c r="AB6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1" s="53">
        <f>IF(OR(TRIM(INDIRECT("B"&amp;ROW())) &lt;&gt; "",TRIM(INDIRECT("A"&amp;ROW())) &lt;&gt; ""),AND(TRIM(INDIRECT("A"&amp;ROW())) &lt;&gt; "",TRIM(INDIRECT("D"&amp;ROW())) = "nuevo"),"")</f>
        <v/>
      </c>
    </row>
    <row r="632" ht="27.5" customHeight="1" s="62">
      <c r="B632" t="inlineStr">
        <is>
          <t>Moneda Argentina 1 Peso 1983</t>
        </is>
      </c>
      <c r="C632" s="0">
        <f>LEN(INDIRECT(ADDRESS(ROW() + (0),COLUMN() + (-1))))</f>
        <v/>
      </c>
      <c r="D632" s="0" t="inlineStr">
        <is>
          <t>Usado</t>
        </is>
      </c>
      <c r="E632" s="38" t="inlineStr">
        <is>
          <t>https://numismaticapopper.com/images/1315A.jpeg,https://numismaticapopper.com/images/1315B.jpeg</t>
        </is>
      </c>
      <c r="F632" t="inlineStr">
        <is>
          <t>1315</t>
        </is>
      </c>
      <c r="G632" s="40" t="n">
        <v>1</v>
      </c>
      <c r="H632" t="n">
        <v>22000</v>
      </c>
      <c r="I632" t="inlineStr">
        <is>
          <t>Estado de conservacion: Sin Circular -
Referencia de catalogo: CJ# 366
Material: Aluminio-Bronce
Peso: 5.0 g
Diametro: 23.0 mm
Variante con reloj en el frontispicio del Congreso Nacional</t>
        </is>
      </c>
      <c r="J632" s="31">
        <f>IF(INDIRECT(ADDRESS(ROW() + (0),COLUMN() + (1)))="Agregar cuotas", IF(("16%")="", "-", "16%"), IF(INDIRECT(ADDRESS(ROW() + (0),COLUMN() + (1)))="No agregar cuotas", IF(("16%")="", "-", "16%"), "-"))</f>
        <v/>
      </c>
      <c r="K632" s="0" t="inlineStr">
        <is>
          <t>No agregar cuotas</t>
        </is>
      </c>
      <c r="L632" s="31">
        <f>IF(INDIRECT(ADDRESS(ROW() + (0),COLUMN() + (-1)))="Agregar cuotas", IF(("13.4%")="", "Sin costo", "13.4%"), IF(INDIRECT(ADDRESS(ROW() + (0),COLUMN() + (-1)))="No agregar cuotas", IF(("")="", "Sin costo", ""), "-"))</f>
        <v/>
      </c>
      <c r="M632" s="0" t="inlineStr">
        <is>
          <t>Mercado Envíos</t>
        </is>
      </c>
      <c r="N632" s="0" t="inlineStr">
        <is>
          <t>A cargo del comprador</t>
        </is>
      </c>
      <c r="O632" s="0" t="inlineStr">
        <is>
          <t>Acepto</t>
        </is>
      </c>
      <c r="P632" s="47" t="inlineStr">
        <is>
          <t>Sin garantía</t>
        </is>
      </c>
      <c r="R632" s="0" t="inlineStr">
        <is>
          <t>Seleccionar</t>
        </is>
      </c>
      <c r="S632" s="0" t="inlineStr">
        <is>
          <t>No ofrezco</t>
        </is>
      </c>
      <c r="T632" t="n">
        <v>1983</v>
      </c>
      <c r="U632" s="0" t="inlineStr">
        <is>
          <t>Argentina</t>
        </is>
      </c>
      <c r="X632" s="0" t="inlineStr">
        <is>
          <t>Bronce</t>
        </is>
      </c>
      <c r="Z632" t="inlineStr">
        <is>
          <t>1 Peso</t>
        </is>
      </c>
      <c r="AA632" s="0" t="inlineStr">
        <is>
          <t>Peso</t>
        </is>
      </c>
      <c r="AB6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2" s="53">
        <f>IF(OR(TRIM(INDIRECT("B"&amp;ROW())) &lt;&gt; "",TRIM(INDIRECT("A"&amp;ROW())) &lt;&gt; ""),AND(TRIM(INDIRECT("A"&amp;ROW())) &lt;&gt; "",TRIM(INDIRECT("D"&amp;ROW())) = "nuevo"),"")</f>
        <v/>
      </c>
    </row>
    <row r="633" ht="27.5" customHeight="1" s="62">
      <c r="B633" t="inlineStr">
        <is>
          <t>Moneda Argentina 10 Centavos 1883</t>
        </is>
      </c>
      <c r="C633" s="0">
        <f>LEN(INDIRECT(ADDRESS(ROW() + (0),COLUMN() + (-1))))</f>
        <v/>
      </c>
      <c r="D633" s="0" t="inlineStr">
        <is>
          <t>Usado</t>
        </is>
      </c>
      <c r="E633" s="38" t="inlineStr">
        <is>
          <t>https://numismaticapopper.com/images/1316A.jpeg,https://numismaticapopper.com/images/1316B.jpeg</t>
        </is>
      </c>
      <c r="F633" t="inlineStr">
        <is>
          <t>1316</t>
        </is>
      </c>
      <c r="G633" s="40" t="n">
        <v>1</v>
      </c>
      <c r="H633" t="n">
        <v>44000</v>
      </c>
      <c r="I633" t="inlineStr">
        <is>
          <t>Estado de conservacion: Sin Circular -
Referencia de catalogo: CJ# 23.1
Material: Plata .900
Peso: 2.5 g
Diametro: 18.3 mm</t>
        </is>
      </c>
      <c r="J633" s="31">
        <f>IF(INDIRECT(ADDRESS(ROW() + (0),COLUMN() + (1)))="Agregar cuotas", IF(("16%")="", "-", "16%"), IF(INDIRECT(ADDRESS(ROW() + (0),COLUMN() + (1)))="No agregar cuotas", IF(("16%")="", "-", "16%"), "-"))</f>
        <v/>
      </c>
      <c r="K633" s="0" t="inlineStr">
        <is>
          <t>No agregar cuotas</t>
        </is>
      </c>
      <c r="L633" s="31">
        <f>IF(INDIRECT(ADDRESS(ROW() + (0),COLUMN() + (-1)))="Agregar cuotas", IF(("13.4%")="", "Sin costo", "13.4%"), IF(INDIRECT(ADDRESS(ROW() + (0),COLUMN() + (-1)))="No agregar cuotas", IF(("")="", "Sin costo", ""), "-"))</f>
        <v/>
      </c>
      <c r="M633" s="0" t="inlineStr">
        <is>
          <t>Mercado Envíos</t>
        </is>
      </c>
      <c r="N633" s="0" t="inlineStr">
        <is>
          <t>A cargo del comprador</t>
        </is>
      </c>
      <c r="O633" s="0" t="inlineStr">
        <is>
          <t>Acepto</t>
        </is>
      </c>
      <c r="P633" s="47" t="inlineStr">
        <is>
          <t>Sin garantía</t>
        </is>
      </c>
      <c r="R633" s="0" t="inlineStr">
        <is>
          <t>Seleccionar</t>
        </is>
      </c>
      <c r="S633" s="0" t="inlineStr">
        <is>
          <t>No ofrezco</t>
        </is>
      </c>
      <c r="T633" t="n">
        <v>1883</v>
      </c>
      <c r="U633" s="0" t="inlineStr">
        <is>
          <t>Argentina</t>
        </is>
      </c>
      <c r="X633" s="0" t="inlineStr">
        <is>
          <t>Plata</t>
        </is>
      </c>
      <c r="Z633" t="inlineStr">
        <is>
          <t>10 Centavos</t>
        </is>
      </c>
      <c r="AA633" s="0" t="inlineStr">
        <is>
          <t>Peso</t>
        </is>
      </c>
      <c r="AB6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3" s="53">
        <f>IF(OR(TRIM(INDIRECT("B"&amp;ROW())) &lt;&gt; "",TRIM(INDIRECT("A"&amp;ROW())) &lt;&gt; ""),AND(TRIM(INDIRECT("A"&amp;ROW())) &lt;&gt; "",TRIM(INDIRECT("D"&amp;ROW())) = "nuevo"),"")</f>
        <v/>
      </c>
    </row>
    <row r="634" ht="27.5" customHeight="1" s="62">
      <c r="B634" t="inlineStr">
        <is>
          <t>Moneda Imperio Otomano 10 Para 1900</t>
        </is>
      </c>
      <c r="C634" s="0">
        <f>LEN(INDIRECT(ADDRESS(ROW() + (0),COLUMN() + (-1))))</f>
        <v/>
      </c>
      <c r="D634" s="0" t="inlineStr">
        <is>
          <t>Usado</t>
        </is>
      </c>
      <c r="E634" s="38" t="inlineStr">
        <is>
          <t>https://numismaticapopper.com/images/1317A.jpeg,https://numismaticapopper.com/images/1317B.jpeg</t>
        </is>
      </c>
      <c r="F634" t="inlineStr">
        <is>
          <t>1317</t>
        </is>
      </c>
      <c r="G634" s="40" t="n">
        <v>1</v>
      </c>
      <c r="H634" t="n">
        <v>26000</v>
      </c>
      <c r="I634" t="inlineStr">
        <is>
          <t>Estado de conservacion: Muy Buena
Referencia de catalogo: KM# 744
Material: Vellón (Plata .100)
Peso: 1.0 g
Diametro: 15.0 mm
AH 1293 (año 26 regnal - Constantinopla)</t>
        </is>
      </c>
      <c r="J634" s="31">
        <f>IF(INDIRECT(ADDRESS(ROW() + (0),COLUMN() + (1)))="Agregar cuotas", IF(("16%")="", "-", "16%"), IF(INDIRECT(ADDRESS(ROW() + (0),COLUMN() + (1)))="No agregar cuotas", IF(("16%")="", "-", "16%"), "-"))</f>
        <v/>
      </c>
      <c r="K634" s="0" t="inlineStr">
        <is>
          <t>No agregar cuotas</t>
        </is>
      </c>
      <c r="L634" s="31">
        <f>IF(INDIRECT(ADDRESS(ROW() + (0),COLUMN() + (-1)))="Agregar cuotas", IF(("13.4%")="", "Sin costo", "13.4%"), IF(INDIRECT(ADDRESS(ROW() + (0),COLUMN() + (-1)))="No agregar cuotas", IF(("")="", "Sin costo", ""), "-"))</f>
        <v/>
      </c>
      <c r="M634" s="0" t="inlineStr">
        <is>
          <t>Mercado Envíos</t>
        </is>
      </c>
      <c r="N634" s="0" t="inlineStr">
        <is>
          <t>A cargo del comprador</t>
        </is>
      </c>
      <c r="O634" s="0" t="inlineStr">
        <is>
          <t>Acepto</t>
        </is>
      </c>
      <c r="P634" s="47" t="inlineStr">
        <is>
          <t>Sin garantía</t>
        </is>
      </c>
      <c r="R634" s="0" t="inlineStr">
        <is>
          <t>Seleccionar</t>
        </is>
      </c>
      <c r="S634" s="0" t="inlineStr">
        <is>
          <t>No ofrezco</t>
        </is>
      </c>
      <c r="T634" t="n">
        <v>1900</v>
      </c>
      <c r="U634" s="0" t="inlineStr">
        <is>
          <t>Grecia</t>
        </is>
      </c>
      <c r="X634" s="0" t="inlineStr">
        <is>
          <t>Plata</t>
        </is>
      </c>
      <c r="Z634" t="inlineStr">
        <is>
          <t>10 Para</t>
        </is>
      </c>
      <c r="AA634" s="0" t="inlineStr">
        <is>
          <t>Euro</t>
        </is>
      </c>
      <c r="AB6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4" s="53">
        <f>IF(OR(TRIM(INDIRECT("B"&amp;ROW())) &lt;&gt; "",TRIM(INDIRECT("A"&amp;ROW())) &lt;&gt; ""),AND(TRIM(INDIRECT("A"&amp;ROW())) &lt;&gt; "",TRIM(INDIRECT("D"&amp;ROW())) = "nuevo"),"")</f>
        <v/>
      </c>
    </row>
    <row r="635" ht="27.5" customHeight="1" s="62">
      <c r="B635" t="inlineStr">
        <is>
          <t>Moneda Jamaica 10 Dólares 2000</t>
        </is>
      </c>
      <c r="C635" s="0">
        <f>LEN(INDIRECT(ADDRESS(ROW() + (0),COLUMN() + (-1))))</f>
        <v/>
      </c>
      <c r="D635" s="0" t="inlineStr">
        <is>
          <t>Usado</t>
        </is>
      </c>
      <c r="E635" s="38" t="inlineStr">
        <is>
          <t>https://numismaticapopper.com/images/1318A.jpeg,https://numismaticapopper.com/images/1318B.jpeg</t>
        </is>
      </c>
      <c r="F635" t="inlineStr">
        <is>
          <t>1318</t>
        </is>
      </c>
      <c r="G635" s="40" t="n">
        <v>1</v>
      </c>
      <c r="H635" t="n">
        <v>9000</v>
      </c>
      <c r="I635" t="inlineStr">
        <is>
          <t>Estado de conservacion: Excelente
Referencia de catalogo: KM# 181
Material: Acero niquelado
Peso: 5.94 g
Diametro: 24 mm</t>
        </is>
      </c>
      <c r="J635" s="31">
        <f>IF(INDIRECT(ADDRESS(ROW() + (0),COLUMN() + (1)))="Agregar cuotas", IF(("16%")="", "-", "16%"), IF(INDIRECT(ADDRESS(ROW() + (0),COLUMN() + (1)))="No agregar cuotas", IF(("16%")="", "-", "16%"), "-"))</f>
        <v/>
      </c>
      <c r="K635" s="0" t="inlineStr">
        <is>
          <t>No agregar cuotas</t>
        </is>
      </c>
      <c r="L635" s="31">
        <f>IF(INDIRECT(ADDRESS(ROW() + (0),COLUMN() + (-1)))="Agregar cuotas", IF(("13.4%")="", "Sin costo", "13.4%"), IF(INDIRECT(ADDRESS(ROW() + (0),COLUMN() + (-1)))="No agregar cuotas", IF(("")="", "Sin costo", ""), "-"))</f>
        <v/>
      </c>
      <c r="M635" s="0" t="inlineStr">
        <is>
          <t>Mercado Envíos</t>
        </is>
      </c>
      <c r="N635" s="0" t="inlineStr">
        <is>
          <t>A cargo del comprador</t>
        </is>
      </c>
      <c r="O635" s="0" t="inlineStr">
        <is>
          <t>Acepto</t>
        </is>
      </c>
      <c r="P635" s="47" t="inlineStr">
        <is>
          <t>Sin garantía</t>
        </is>
      </c>
      <c r="R635" s="0" t="inlineStr">
        <is>
          <t>Seleccionar</t>
        </is>
      </c>
      <c r="S635" s="0" t="inlineStr">
        <is>
          <t>No ofrezco</t>
        </is>
      </c>
      <c r="T635" t="n">
        <v>2000</v>
      </c>
      <c r="U635" s="0" t="inlineStr">
        <is>
          <t>Inglaterra</t>
        </is>
      </c>
      <c r="X635" s="0" t="inlineStr">
        <is>
          <t>Níquel</t>
        </is>
      </c>
      <c r="Z635" t="inlineStr">
        <is>
          <t>10 Dólares</t>
        </is>
      </c>
      <c r="AA635" s="0" t="inlineStr">
        <is>
          <t>Dólar</t>
        </is>
      </c>
      <c r="AB6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5" s="53">
        <f>IF(OR(TRIM(INDIRECT("B"&amp;ROW())) &lt;&gt; "",TRIM(INDIRECT("A"&amp;ROW())) &lt;&gt; ""),AND(TRIM(INDIRECT("A"&amp;ROW())) &lt;&gt; "",TRIM(INDIRECT("D"&amp;ROW())) = "nuevo"),"")</f>
        <v/>
      </c>
    </row>
    <row r="636" ht="27.5" customHeight="1" s="62">
      <c r="B636" t="inlineStr">
        <is>
          <t>Moneda Costa Rica 50 Céntimos 1983</t>
        </is>
      </c>
      <c r="C636" s="0">
        <f>LEN(INDIRECT(ADDRESS(ROW() + (0),COLUMN() + (-1))))</f>
        <v/>
      </c>
      <c r="D636" s="0" t="inlineStr">
        <is>
          <t>Usado</t>
        </is>
      </c>
      <c r="E636" s="38" t="inlineStr">
        <is>
          <t>https://numismaticapopper.com/images/1319A.jpeg,https://numismaticapopper.com/images/1319B.jpeg</t>
        </is>
      </c>
      <c r="F636" t="inlineStr">
        <is>
          <t>1319</t>
        </is>
      </c>
      <c r="G636" s="40" t="n">
        <v>1</v>
      </c>
      <c r="H636" t="n">
        <v>7000</v>
      </c>
      <c r="I636" t="inlineStr">
        <is>
          <t>Estado de conservacion: Excelente
Referencia de catalogo: KM# 209
Material: Acero inoxidable
Peso: 2.2 g
Diametro: 19 mm</t>
        </is>
      </c>
      <c r="J636" s="31">
        <f>IF(INDIRECT(ADDRESS(ROW() + (0),COLUMN() + (1)))="Agregar cuotas", IF(("16%")="", "-", "16%"), IF(INDIRECT(ADDRESS(ROW() + (0),COLUMN() + (1)))="No agregar cuotas", IF(("16%")="", "-", "16%"), "-"))</f>
        <v/>
      </c>
      <c r="K636" s="0" t="inlineStr">
        <is>
          <t>No agregar cuotas</t>
        </is>
      </c>
      <c r="L636" s="31">
        <f>IF(INDIRECT(ADDRESS(ROW() + (0),COLUMN() + (-1)))="Agregar cuotas", IF(("13.4%")="", "Sin costo", "13.4%"), IF(INDIRECT(ADDRESS(ROW() + (0),COLUMN() + (-1)))="No agregar cuotas", IF(("")="", "Sin costo", ""), "-"))</f>
        <v/>
      </c>
      <c r="M636" s="0" t="inlineStr">
        <is>
          <t>Mercado Envíos</t>
        </is>
      </c>
      <c r="N636" s="0" t="inlineStr">
        <is>
          <t>A cargo del comprador</t>
        </is>
      </c>
      <c r="O636" s="0" t="inlineStr">
        <is>
          <t>Acepto</t>
        </is>
      </c>
      <c r="P636" s="47" t="inlineStr">
        <is>
          <t>Sin garantía</t>
        </is>
      </c>
      <c r="R636" s="0" t="inlineStr">
        <is>
          <t>Seleccionar</t>
        </is>
      </c>
      <c r="S636" s="0" t="inlineStr">
        <is>
          <t>No ofrezco</t>
        </is>
      </c>
      <c r="T636" t="n">
        <v>1983</v>
      </c>
      <c r="U636" s="0" t="inlineStr">
        <is>
          <t>México</t>
        </is>
      </c>
      <c r="X636" s="0" t="inlineStr">
        <is>
          <t>Níquel</t>
        </is>
      </c>
      <c r="Z636" t="inlineStr">
        <is>
          <t>50 Céntimos</t>
        </is>
      </c>
      <c r="AA636" s="0" t="inlineStr">
        <is>
          <t>Euro</t>
        </is>
      </c>
      <c r="AB6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6" s="53">
        <f>IF(OR(TRIM(INDIRECT("B"&amp;ROW())) &lt;&gt; "",TRIM(INDIRECT("A"&amp;ROW())) &lt;&gt; ""),AND(TRIM(INDIRECT("A"&amp;ROW())) &lt;&gt; "",TRIM(INDIRECT("D"&amp;ROW())) = "nuevo"),"")</f>
        <v/>
      </c>
    </row>
    <row r="637" ht="27.5" customHeight="1" s="62">
      <c r="B637" t="inlineStr">
        <is>
          <t>Moneda Nueva Zelanda 50 Cents 2006</t>
        </is>
      </c>
      <c r="C637" s="0">
        <f>LEN(INDIRECT(ADDRESS(ROW() + (0),COLUMN() + (-1))))</f>
        <v/>
      </c>
      <c r="D637" s="0" t="inlineStr">
        <is>
          <t>Usado</t>
        </is>
      </c>
      <c r="E637" s="38" t="inlineStr">
        <is>
          <t>https://numismaticapopper.com/images/1320A.jpeg,https://numismaticapopper.com/images/1320B.jpeg</t>
        </is>
      </c>
      <c r="F637" t="inlineStr">
        <is>
          <t>1320</t>
        </is>
      </c>
      <c r="G637" s="40" t="n">
        <v>1</v>
      </c>
      <c r="H637" t="n">
        <v>8000</v>
      </c>
      <c r="I637" t="inlineStr">
        <is>
          <t>Estado de conservacion: Excelente
Referencia de catalogo: KM# 119
Material: Cuproníquel
Peso: 13.61 g
Diametro: 31.75 mm
Tirada: 3000</t>
        </is>
      </c>
      <c r="J637" s="31">
        <f>IF(INDIRECT(ADDRESS(ROW() + (0),COLUMN() + (1)))="Agregar cuotas", IF(("16%")="", "-", "16%"), IF(INDIRECT(ADDRESS(ROW() + (0),COLUMN() + (1)))="No agregar cuotas", IF(("16%")="", "-", "16%"), "-"))</f>
        <v/>
      </c>
      <c r="K637" s="0" t="inlineStr">
        <is>
          <t>No agregar cuotas</t>
        </is>
      </c>
      <c r="L637" s="31">
        <f>IF(INDIRECT(ADDRESS(ROW() + (0),COLUMN() + (-1)))="Agregar cuotas", IF(("13.4%")="", "Sin costo", "13.4%"), IF(INDIRECT(ADDRESS(ROW() + (0),COLUMN() + (-1)))="No agregar cuotas", IF(("")="", "Sin costo", ""), "-"))</f>
        <v/>
      </c>
      <c r="M637" s="0" t="inlineStr">
        <is>
          <t>Mercado Envíos</t>
        </is>
      </c>
      <c r="N637" s="0" t="inlineStr">
        <is>
          <t>A cargo del comprador</t>
        </is>
      </c>
      <c r="O637" s="0" t="inlineStr">
        <is>
          <t>Acepto</t>
        </is>
      </c>
      <c r="P637" s="47" t="inlineStr">
        <is>
          <t>Sin garantía</t>
        </is>
      </c>
      <c r="R637" s="0" t="inlineStr">
        <is>
          <t>Seleccionar</t>
        </is>
      </c>
      <c r="S637" s="0" t="inlineStr">
        <is>
          <t>No ofrezco</t>
        </is>
      </c>
      <c r="T637" t="n">
        <v>2006</v>
      </c>
      <c r="U637" s="0" t="inlineStr">
        <is>
          <t>Inglaterra</t>
        </is>
      </c>
      <c r="X637" s="0" t="inlineStr">
        <is>
          <t>Níquel</t>
        </is>
      </c>
      <c r="Z637" t="inlineStr">
        <is>
          <t>50 Cents</t>
        </is>
      </c>
      <c r="AA637" s="0" t="inlineStr">
        <is>
          <t>Dólar</t>
        </is>
      </c>
      <c r="AB6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7" s="53">
        <f>IF(OR(TRIM(INDIRECT("B"&amp;ROW())) &lt;&gt; "",TRIM(INDIRECT("A"&amp;ROW())) &lt;&gt; ""),AND(TRIM(INDIRECT("A"&amp;ROW())) &lt;&gt; "",TRIM(INDIRECT("D"&amp;ROW())) = "nuevo"),"")</f>
        <v/>
      </c>
    </row>
    <row r="638" ht="27.5" customHeight="1" s="62">
      <c r="B638" t="inlineStr">
        <is>
          <t>Moneda México 1 Centavo 1945</t>
        </is>
      </c>
      <c r="C638" s="0">
        <f>LEN(INDIRECT(ADDRESS(ROW() + (0),COLUMN() + (-1))))</f>
        <v/>
      </c>
      <c r="D638" s="0" t="inlineStr">
        <is>
          <t>Usado</t>
        </is>
      </c>
      <c r="E638" s="38" t="inlineStr">
        <is>
          <t>https://numismaticapopper.com/images/1321A.jpeg,https://numismaticapopper.com/images/1321B.jpeg</t>
        </is>
      </c>
      <c r="F638" t="inlineStr">
        <is>
          <t>1321</t>
        </is>
      </c>
      <c r="G638" s="40" t="n">
        <v>1</v>
      </c>
      <c r="H638" t="n">
        <v>11000</v>
      </c>
      <c r="I638" t="inlineStr">
        <is>
          <t>Estado de conservacion: Excelente
Referencia de catalogo: KM# 415
Material: Bronce
Peso: 3 g
Diametro: 19.5 mm</t>
        </is>
      </c>
      <c r="J638" s="31">
        <f>IF(INDIRECT(ADDRESS(ROW() + (0),COLUMN() + (1)))="Agregar cuotas", IF(("16%")="", "-", "16%"), IF(INDIRECT(ADDRESS(ROW() + (0),COLUMN() + (1)))="No agregar cuotas", IF(("16%")="", "-", "16%"), "-"))</f>
        <v/>
      </c>
      <c r="K638" s="0" t="inlineStr">
        <is>
          <t>No agregar cuotas</t>
        </is>
      </c>
      <c r="L638" s="31">
        <f>IF(INDIRECT(ADDRESS(ROW() + (0),COLUMN() + (-1)))="Agregar cuotas", IF(("13.4%")="", "Sin costo", "13.4%"), IF(INDIRECT(ADDRESS(ROW() + (0),COLUMN() + (-1)))="No agregar cuotas", IF(("")="", "Sin costo", ""), "-"))</f>
        <v/>
      </c>
      <c r="M638" s="0" t="inlineStr">
        <is>
          <t>Mercado Envíos</t>
        </is>
      </c>
      <c r="N638" s="0" t="inlineStr">
        <is>
          <t>A cargo del comprador</t>
        </is>
      </c>
      <c r="O638" s="0" t="inlineStr">
        <is>
          <t>Acepto</t>
        </is>
      </c>
      <c r="P638" s="47" t="inlineStr">
        <is>
          <t>Sin garantía</t>
        </is>
      </c>
      <c r="R638" s="0" t="inlineStr">
        <is>
          <t>Seleccionar</t>
        </is>
      </c>
      <c r="S638" s="0" t="inlineStr">
        <is>
          <t>No ofrezco</t>
        </is>
      </c>
      <c r="T638" t="n">
        <v>1945</v>
      </c>
      <c r="U638" s="0" t="inlineStr">
        <is>
          <t>México</t>
        </is>
      </c>
      <c r="X638" s="0" t="inlineStr">
        <is>
          <t>Bronce</t>
        </is>
      </c>
      <c r="Z638" t="inlineStr">
        <is>
          <t>1 Centavo</t>
        </is>
      </c>
      <c r="AA638" s="0" t="inlineStr">
        <is>
          <t>Peso</t>
        </is>
      </c>
      <c r="AB6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8" s="53">
        <f>IF(OR(TRIM(INDIRECT("B"&amp;ROW())) &lt;&gt; "",TRIM(INDIRECT("A"&amp;ROW())) &lt;&gt; ""),AND(TRIM(INDIRECT("A"&amp;ROW())) &lt;&gt; "",TRIM(INDIRECT("D"&amp;ROW())) = "nuevo"),"")</f>
        <v/>
      </c>
    </row>
    <row r="639" ht="27.5" customHeight="1" s="62">
      <c r="B639" t="inlineStr">
        <is>
          <t>Moneda Argentina 20 Centavos 1883</t>
        </is>
      </c>
      <c r="C639" s="0">
        <f>LEN(INDIRECT(ADDRESS(ROW() + (0),COLUMN() + (-1))))</f>
        <v/>
      </c>
      <c r="D639" s="0" t="inlineStr">
        <is>
          <t>Usado</t>
        </is>
      </c>
      <c r="E639" s="38" t="inlineStr">
        <is>
          <t>https://numismaticapopper.com/images/1322A.jpeg,https://numismaticapopper.com/images/1322B.jpeg</t>
        </is>
      </c>
      <c r="F639" t="inlineStr">
        <is>
          <t>1322</t>
        </is>
      </c>
      <c r="G639" s="40" t="n">
        <v>1</v>
      </c>
      <c r="H639" t="n">
        <v>50000</v>
      </c>
      <c r="I639" t="inlineStr">
        <is>
          <t>Estado de conservacion: Muy Buena +
Referencia de catalogo: CJ# 20
Material: Plata .900
Peso: 5 g
Diametro: 23.3 mm
Tirada: 1510950</t>
        </is>
      </c>
      <c r="J639" s="31">
        <f>IF(INDIRECT(ADDRESS(ROW() + (0),COLUMN() + (1)))="Agregar cuotas", IF(("16%")="", "-", "16%"), IF(INDIRECT(ADDRESS(ROW() + (0),COLUMN() + (1)))="No agregar cuotas", IF(("16%")="", "-", "16%"), "-"))</f>
        <v/>
      </c>
      <c r="K639" s="0" t="inlineStr">
        <is>
          <t>No agregar cuotas</t>
        </is>
      </c>
      <c r="L639" s="31">
        <f>IF(INDIRECT(ADDRESS(ROW() + (0),COLUMN() + (-1)))="Agregar cuotas", IF(("13.4%")="", "Sin costo", "13.4%"), IF(INDIRECT(ADDRESS(ROW() + (0),COLUMN() + (-1)))="No agregar cuotas", IF(("")="", "Sin costo", ""), "-"))</f>
        <v/>
      </c>
      <c r="M639" s="0" t="inlineStr">
        <is>
          <t>Mercado Envíos</t>
        </is>
      </c>
      <c r="N639" s="0" t="inlineStr">
        <is>
          <t>A cargo del comprador</t>
        </is>
      </c>
      <c r="O639" s="0" t="inlineStr">
        <is>
          <t>Acepto</t>
        </is>
      </c>
      <c r="P639" s="47" t="inlineStr">
        <is>
          <t>Sin garantía</t>
        </is>
      </c>
      <c r="R639" s="0" t="inlineStr">
        <is>
          <t>Seleccionar</t>
        </is>
      </c>
      <c r="S639" s="0" t="inlineStr">
        <is>
          <t>No ofrezco</t>
        </is>
      </c>
      <c r="T639" t="n">
        <v>1883</v>
      </c>
      <c r="U639" s="0" t="inlineStr">
        <is>
          <t>Argentina</t>
        </is>
      </c>
      <c r="X639" s="0" t="inlineStr">
        <is>
          <t>Plata</t>
        </is>
      </c>
      <c r="Z639" t="inlineStr">
        <is>
          <t>20 Centavos</t>
        </is>
      </c>
      <c r="AA639" s="0" t="inlineStr">
        <is>
          <t>Peso</t>
        </is>
      </c>
      <c r="AB6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39" s="53">
        <f>IF(OR(TRIM(INDIRECT("B"&amp;ROW())) &lt;&gt; "",TRIM(INDIRECT("A"&amp;ROW())) &lt;&gt; ""),AND(TRIM(INDIRECT("A"&amp;ROW())) &lt;&gt; "",TRIM(INDIRECT("D"&amp;ROW())) = "nuevo"),"")</f>
        <v/>
      </c>
    </row>
    <row r="640" ht="27.5" customHeight="1" s="62">
      <c r="B640" t="inlineStr">
        <is>
          <t>Moneda Bolivia 1/2 Melgarejo 1865</t>
        </is>
      </c>
      <c r="C640" s="0">
        <f>LEN(INDIRECT(ADDRESS(ROW() + (0),COLUMN() + (-1))))</f>
        <v/>
      </c>
      <c r="D640" s="0" t="inlineStr">
        <is>
          <t>Usado</t>
        </is>
      </c>
      <c r="E640" s="38" t="inlineStr">
        <is>
          <t>https://numismaticapopper.com/images/1324A.jpeg,https://numismaticapopper.com/images/1324B.jpeg</t>
        </is>
      </c>
      <c r="F640" t="inlineStr">
        <is>
          <t>1324</t>
        </is>
      </c>
      <c r="G640" s="40" t="n">
        <v>1</v>
      </c>
      <c r="H640" t="n">
        <v>40000</v>
      </c>
      <c r="I640" t="inlineStr">
        <is>
          <t>Estado de conservacion: Muy Buena **
Referencia de catalogo: KM# 142
Material: Plata .667
Peso: 1.25 g
Diametro: 15 mm
Medalla monetaria de Mariano Melgarejo: El héroe de diciembre / Salva la patria de la anarquía.</t>
        </is>
      </c>
      <c r="J640" s="31">
        <f>IF(INDIRECT(ADDRESS(ROW() + (0),COLUMN() + (1)))="Agregar cuotas", IF(("16%")="", "-", "16%"), IF(INDIRECT(ADDRESS(ROW() + (0),COLUMN() + (1)))="No agregar cuotas", IF(("16%")="", "-", "16%"), "-"))</f>
        <v/>
      </c>
      <c r="K640" s="0" t="inlineStr">
        <is>
          <t>No agregar cuotas</t>
        </is>
      </c>
      <c r="L640" s="31">
        <f>IF(INDIRECT(ADDRESS(ROW() + (0),COLUMN() + (-1)))="Agregar cuotas", IF(("13.4%")="", "Sin costo", "13.4%"), IF(INDIRECT(ADDRESS(ROW() + (0),COLUMN() + (-1)))="No agregar cuotas", IF(("")="", "Sin costo", ""), "-"))</f>
        <v/>
      </c>
      <c r="M640" s="0" t="inlineStr">
        <is>
          <t>Mercado Envíos</t>
        </is>
      </c>
      <c r="N640" s="0" t="inlineStr">
        <is>
          <t>A cargo del comprador</t>
        </is>
      </c>
      <c r="O640" s="0" t="inlineStr">
        <is>
          <t>Acepto</t>
        </is>
      </c>
      <c r="P640" s="47" t="inlineStr">
        <is>
          <t>Sin garantía</t>
        </is>
      </c>
      <c r="R640" s="0" t="inlineStr">
        <is>
          <t>Seleccionar</t>
        </is>
      </c>
      <c r="S640" s="0" t="inlineStr">
        <is>
          <t>No ofrezco</t>
        </is>
      </c>
      <c r="T640" t="n">
        <v>1865</v>
      </c>
      <c r="U640" s="0" t="inlineStr">
        <is>
          <t>Bolivia</t>
        </is>
      </c>
      <c r="X640" s="0" t="inlineStr">
        <is>
          <t>Plata</t>
        </is>
      </c>
      <c r="Z640" t="inlineStr">
        <is>
          <t>1/2 Melgarejo</t>
        </is>
      </c>
      <c r="AA640" s="0" t="inlineStr">
        <is>
          <t>Peso</t>
        </is>
      </c>
      <c r="AB6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0" s="53">
        <f>IF(OR(TRIM(INDIRECT("B"&amp;ROW())) &lt;&gt; "",TRIM(INDIRECT("A"&amp;ROW())) &lt;&gt; ""),AND(TRIM(INDIRECT("A"&amp;ROW())) &lt;&gt; "",TRIM(INDIRECT("D"&amp;ROW())) = "nuevo"),"")</f>
        <v/>
      </c>
    </row>
    <row r="641" ht="27.5" customHeight="1" s="62">
      <c r="B641" t="inlineStr">
        <is>
          <t>Moneda Estados Unidos 1 Dólar Peace 1922</t>
        </is>
      </c>
      <c r="C641" s="0">
        <f>LEN(INDIRECT(ADDRESS(ROW() + (0),COLUMN() + (-1))))</f>
        <v/>
      </c>
      <c r="D641" s="0" t="inlineStr">
        <is>
          <t>Usado</t>
        </is>
      </c>
      <c r="E641" s="38" t="inlineStr">
        <is>
          <t>https://numismaticapopper.com/images/1325A.jpeg,https://numismaticapopper.com/images/1325B.jpeg</t>
        </is>
      </c>
      <c r="F641" t="inlineStr">
        <is>
          <t>1325</t>
        </is>
      </c>
      <c r="G641" s="40" t="n">
        <v>1</v>
      </c>
      <c r="H641" t="n">
        <v>105000</v>
      </c>
      <c r="I641" t="inlineStr">
        <is>
          <t>Estado de conservacion: Muy Buena +
Referencia de catalogo: KM# 150
Material: Plata .900
Peso: 26.73 g
Diametro: 38.1 mm
Dólar Peace</t>
        </is>
      </c>
      <c r="J641" s="31">
        <f>IF(INDIRECT(ADDRESS(ROW() + (0),COLUMN() + (1)))="Agregar cuotas", IF(("16%")="", "-", "16%"), IF(INDIRECT(ADDRESS(ROW() + (0),COLUMN() + (1)))="No agregar cuotas", IF(("16%")="", "-", "16%"), "-"))</f>
        <v/>
      </c>
      <c r="K641" s="0" t="inlineStr">
        <is>
          <t>No agregar cuotas</t>
        </is>
      </c>
      <c r="L641" s="31">
        <f>IF(INDIRECT(ADDRESS(ROW() + (0),COLUMN() + (-1)))="Agregar cuotas", IF(("13.4%")="", "Sin costo", "13.4%"), IF(INDIRECT(ADDRESS(ROW() + (0),COLUMN() + (-1)))="No agregar cuotas", IF(("")="", "Sin costo", ""), "-"))</f>
        <v/>
      </c>
      <c r="M641" s="0" t="inlineStr">
        <is>
          <t>Mercado Envíos</t>
        </is>
      </c>
      <c r="N641" s="0" t="inlineStr">
        <is>
          <t>A cargo del comprador</t>
        </is>
      </c>
      <c r="O641" s="0" t="inlineStr">
        <is>
          <t>Acepto</t>
        </is>
      </c>
      <c r="P641" s="47" t="inlineStr">
        <is>
          <t>Sin garantía</t>
        </is>
      </c>
      <c r="R641" s="0" t="inlineStr">
        <is>
          <t>Seleccionar</t>
        </is>
      </c>
      <c r="S641" s="0" t="inlineStr">
        <is>
          <t>No ofrezco</t>
        </is>
      </c>
      <c r="T641" t="n">
        <v>1922</v>
      </c>
      <c r="U641" s="0" t="inlineStr">
        <is>
          <t>Estados Unidos</t>
        </is>
      </c>
      <c r="X641" s="0" t="inlineStr">
        <is>
          <t>Plata</t>
        </is>
      </c>
      <c r="Z641" t="inlineStr">
        <is>
          <t>1 Dólar Peace</t>
        </is>
      </c>
      <c r="AA641" s="0" t="inlineStr">
        <is>
          <t>Dólar</t>
        </is>
      </c>
      <c r="AB6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1" s="53">
        <f>IF(OR(TRIM(INDIRECT("B"&amp;ROW())) &lt;&gt; "",TRIM(INDIRECT("A"&amp;ROW())) &lt;&gt; ""),AND(TRIM(INDIRECT("A"&amp;ROW())) &lt;&gt; "",TRIM(INDIRECT("D"&amp;ROW())) = "nuevo"),"")</f>
        <v/>
      </c>
    </row>
    <row r="642" ht="27.5" customHeight="1" s="62">
      <c r="C642" s="0">
        <f>LEN(INDIRECT(ADDRESS(ROW() + (0),COLUMN() + (-1))))</f>
        <v/>
      </c>
      <c r="D642" s="0" t="n"/>
      <c r="E642" s="38" t="n"/>
      <c r="G642" s="40" t="n"/>
      <c r="J642" s="31">
        <f>IF(INDIRECT(ADDRESS(ROW() + (0),COLUMN() + (1)))="Agregar cuotas", IF(("16%")="", "-", "16%"), IF(INDIRECT(ADDRESS(ROW() + (0),COLUMN() + (1)))="No agregar cuotas", IF(("16%")="", "-", "16%"), "-"))</f>
        <v/>
      </c>
      <c r="K642" s="0" t="n"/>
      <c r="L642" s="31">
        <f>IF(INDIRECT(ADDRESS(ROW() + (0),COLUMN() + (-1)))="Agregar cuotas", IF(("13.4%")="", "Sin costo", "13.4%"), IF(INDIRECT(ADDRESS(ROW() + (0),COLUMN() + (-1)))="No agregar cuotas", IF(("")="", "Sin costo", ""), "-"))</f>
        <v/>
      </c>
      <c r="M642" s="0" t="n"/>
      <c r="N642" s="0" t="n"/>
      <c r="O642" s="0" t="n"/>
      <c r="P642" s="47" t="n"/>
      <c r="R642" s="0" t="n"/>
      <c r="S642" s="0" t="n"/>
      <c r="U642" s="0" t="n"/>
      <c r="X642" s="0" t="n"/>
      <c r="AA642" s="0" t="n"/>
      <c r="AB6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2" s="53">
        <f>IF(OR(TRIM(INDIRECT("B"&amp;ROW())) &lt;&gt; "",TRIM(INDIRECT("A"&amp;ROW())) &lt;&gt; ""),AND(TRIM(INDIRECT("A"&amp;ROW())) &lt;&gt; "",TRIM(INDIRECT("D"&amp;ROW())) = "nuevo"),"")</f>
        <v/>
      </c>
    </row>
    <row r="643" ht="27.5" customHeight="1" s="62">
      <c r="C643" s="0">
        <f>LEN(INDIRECT(ADDRESS(ROW() + (0),COLUMN() + (-1))))</f>
        <v/>
      </c>
      <c r="D643" s="0" t="n"/>
      <c r="E643" s="38" t="n"/>
      <c r="G643" s="40" t="n"/>
      <c r="J643" s="31">
        <f>IF(INDIRECT(ADDRESS(ROW() + (0),COLUMN() + (1)))="Agregar cuotas", IF(("16%")="", "-", "16%"), IF(INDIRECT(ADDRESS(ROW() + (0),COLUMN() + (1)))="No agregar cuotas", IF(("16%")="", "-", "16%"), "-"))</f>
        <v/>
      </c>
      <c r="K643" s="0" t="n"/>
      <c r="L643" s="31">
        <f>IF(INDIRECT(ADDRESS(ROW() + (0),COLUMN() + (-1)))="Agregar cuotas", IF(("13.4%")="", "Sin costo", "13.4%"), IF(INDIRECT(ADDRESS(ROW() + (0),COLUMN() + (-1)))="No agregar cuotas", IF(("")="", "Sin costo", ""), "-"))</f>
        <v/>
      </c>
      <c r="M643" s="0" t="n"/>
      <c r="N643" s="0" t="n"/>
      <c r="O643" s="0" t="n"/>
      <c r="P643" s="47" t="n"/>
      <c r="R643" s="0" t="n"/>
      <c r="S643" s="0" t="n"/>
      <c r="U643" s="0" t="n"/>
      <c r="X643" s="0" t="n"/>
      <c r="AA643" s="0" t="n"/>
      <c r="AB6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3" s="53">
        <f>IF(OR(TRIM(INDIRECT("B"&amp;ROW())) &lt;&gt; "",TRIM(INDIRECT("A"&amp;ROW())) &lt;&gt; ""),AND(TRIM(INDIRECT("A"&amp;ROW())) &lt;&gt; "",TRIM(INDIRECT("D"&amp;ROW())) = "nuevo"),"")</f>
        <v/>
      </c>
    </row>
    <row r="644" ht="27.5" customHeight="1" s="62">
      <c r="C644" s="0">
        <f>LEN(INDIRECT(ADDRESS(ROW() + (0),COLUMN() + (-1))))</f>
        <v/>
      </c>
      <c r="D644" s="0" t="n"/>
      <c r="E644" s="38" t="n"/>
      <c r="G644" s="40" t="n"/>
      <c r="J644" s="31">
        <f>IF(INDIRECT(ADDRESS(ROW() + (0),COLUMN() + (1)))="Agregar cuotas", IF(("16%")="", "-", "16%"), IF(INDIRECT(ADDRESS(ROW() + (0),COLUMN() + (1)))="No agregar cuotas", IF(("16%")="", "-", "16%"), "-"))</f>
        <v/>
      </c>
      <c r="K644" s="0" t="n"/>
      <c r="L644" s="31">
        <f>IF(INDIRECT(ADDRESS(ROW() + (0),COLUMN() + (-1)))="Agregar cuotas", IF(("13.4%")="", "Sin costo", "13.4%"), IF(INDIRECT(ADDRESS(ROW() + (0),COLUMN() + (-1)))="No agregar cuotas", IF(("")="", "Sin costo", ""), "-"))</f>
        <v/>
      </c>
      <c r="M644" s="0" t="n"/>
      <c r="N644" s="0" t="n"/>
      <c r="O644" s="0" t="n"/>
      <c r="P644" s="47" t="n"/>
      <c r="R644" s="0" t="n"/>
      <c r="S644" s="0" t="n"/>
      <c r="U644" s="0" t="n"/>
      <c r="X644" s="0" t="n"/>
      <c r="AA644" s="0" t="n"/>
      <c r="AB6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4" s="53">
        <f>IF(OR(TRIM(INDIRECT("B"&amp;ROW())) &lt;&gt; "",TRIM(INDIRECT("A"&amp;ROW())) &lt;&gt; ""),AND(TRIM(INDIRECT("A"&amp;ROW())) &lt;&gt; "",TRIM(INDIRECT("D"&amp;ROW())) = "nuevo"),"")</f>
        <v/>
      </c>
    </row>
    <row r="645" ht="27.5" customHeight="1" s="62">
      <c r="C645" s="0">
        <f>LEN(INDIRECT(ADDRESS(ROW() + (0),COLUMN() + (-1))))</f>
        <v/>
      </c>
      <c r="D645" s="0" t="n"/>
      <c r="E645" s="38" t="n"/>
      <c r="G645" s="40" t="n"/>
      <c r="J645" s="31">
        <f>IF(INDIRECT(ADDRESS(ROW() + (0),COLUMN() + (1)))="Agregar cuotas", IF(("16%")="", "-", "16%"), IF(INDIRECT(ADDRESS(ROW() + (0),COLUMN() + (1)))="No agregar cuotas", IF(("16%")="", "-", "16%"), "-"))</f>
        <v/>
      </c>
      <c r="K645" s="0" t="n"/>
      <c r="L645" s="31">
        <f>IF(INDIRECT(ADDRESS(ROW() + (0),COLUMN() + (-1)))="Agregar cuotas", IF(("13.4%")="", "Sin costo", "13.4%"), IF(INDIRECT(ADDRESS(ROW() + (0),COLUMN() + (-1)))="No agregar cuotas", IF(("")="", "Sin costo", ""), "-"))</f>
        <v/>
      </c>
      <c r="M645" s="0" t="n"/>
      <c r="N645" s="0" t="n"/>
      <c r="O645" s="0" t="n"/>
      <c r="P645" s="47" t="n"/>
      <c r="R645" s="0" t="n"/>
      <c r="S645" s="0" t="n"/>
      <c r="U645" s="0" t="n"/>
      <c r="X645" s="0" t="n"/>
      <c r="AA645" s="0" t="n"/>
      <c r="AB6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5" s="53">
        <f>IF(OR(TRIM(INDIRECT("B"&amp;ROW())) &lt;&gt; "",TRIM(INDIRECT("A"&amp;ROW())) &lt;&gt; ""),AND(TRIM(INDIRECT("A"&amp;ROW())) &lt;&gt; "",TRIM(INDIRECT("D"&amp;ROW())) = "nuevo"),"")</f>
        <v/>
      </c>
    </row>
    <row r="646" ht="27.5" customHeight="1" s="62">
      <c r="C646" s="0">
        <f>LEN(INDIRECT(ADDRESS(ROW() + (0),COLUMN() + (-1))))</f>
        <v/>
      </c>
      <c r="D646" s="0" t="n"/>
      <c r="E646" s="38" t="n"/>
      <c r="G646" s="40" t="n"/>
      <c r="J646" s="31">
        <f>IF(INDIRECT(ADDRESS(ROW() + (0),COLUMN() + (1)))="Agregar cuotas", IF(("16%")="", "-", "16%"), IF(INDIRECT(ADDRESS(ROW() + (0),COLUMN() + (1)))="No agregar cuotas", IF(("16%")="", "-", "16%"), "-"))</f>
        <v/>
      </c>
      <c r="K646" s="0" t="n"/>
      <c r="L646" s="31">
        <f>IF(INDIRECT(ADDRESS(ROW() + (0),COLUMN() + (-1)))="Agregar cuotas", IF(("13.4%")="", "Sin costo", "13.4%"), IF(INDIRECT(ADDRESS(ROW() + (0),COLUMN() + (-1)))="No agregar cuotas", IF(("")="", "Sin costo", ""), "-"))</f>
        <v/>
      </c>
      <c r="M646" s="0" t="n"/>
      <c r="N646" s="0" t="n"/>
      <c r="O646" s="0" t="n"/>
      <c r="P646" s="47" t="n"/>
      <c r="R646" s="0" t="n"/>
      <c r="S646" s="0" t="n"/>
      <c r="U646" s="0" t="n"/>
      <c r="X646" s="0" t="n"/>
      <c r="AA646" s="0" t="n"/>
      <c r="AB6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6" s="53">
        <f>IF(OR(TRIM(INDIRECT("B"&amp;ROW())) &lt;&gt; "",TRIM(INDIRECT("A"&amp;ROW())) &lt;&gt; ""),AND(TRIM(INDIRECT("A"&amp;ROW())) &lt;&gt; "",TRIM(INDIRECT("D"&amp;ROW())) = "nuevo"),"")</f>
        <v/>
      </c>
    </row>
    <row r="647" ht="27.5" customHeight="1" s="62">
      <c r="C647" s="0">
        <f>LEN(INDIRECT(ADDRESS(ROW() + (0),COLUMN() + (-1))))</f>
        <v/>
      </c>
      <c r="D647" s="0" t="n"/>
      <c r="E647" s="38" t="n"/>
      <c r="G647" s="40" t="n"/>
      <c r="J647" s="31">
        <f>IF(INDIRECT(ADDRESS(ROW() + (0),COLUMN() + (1)))="Agregar cuotas", IF(("16%")="", "-", "16%"), IF(INDIRECT(ADDRESS(ROW() + (0),COLUMN() + (1)))="No agregar cuotas", IF(("16%")="", "-", "16%"), "-"))</f>
        <v/>
      </c>
      <c r="K647" s="0" t="n"/>
      <c r="L647" s="31">
        <f>IF(INDIRECT(ADDRESS(ROW() + (0),COLUMN() + (-1)))="Agregar cuotas", IF(("13.4%")="", "Sin costo", "13.4%"), IF(INDIRECT(ADDRESS(ROW() + (0),COLUMN() + (-1)))="No agregar cuotas", IF(("")="", "Sin costo", ""), "-"))</f>
        <v/>
      </c>
      <c r="M647" s="0" t="n"/>
      <c r="N647" s="0" t="n"/>
      <c r="O647" s="0" t="n"/>
      <c r="P647" s="47" t="n"/>
      <c r="R647" s="0" t="n"/>
      <c r="S647" s="0" t="n"/>
      <c r="U647" s="0" t="n"/>
      <c r="X647" s="0" t="n"/>
      <c r="AA647" s="0" t="n"/>
      <c r="AB6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7" s="53">
        <f>IF(OR(TRIM(INDIRECT("B"&amp;ROW())) &lt;&gt; "",TRIM(INDIRECT("A"&amp;ROW())) &lt;&gt; ""),AND(TRIM(INDIRECT("A"&amp;ROW())) &lt;&gt; "",TRIM(INDIRECT("D"&amp;ROW())) = "nuevo"),"")</f>
        <v/>
      </c>
    </row>
    <row r="648" ht="27.5" customHeight="1" s="62">
      <c r="C648" s="0">
        <f>LEN(INDIRECT(ADDRESS(ROW() + (0),COLUMN() + (-1))))</f>
        <v/>
      </c>
      <c r="D648" s="0" t="n"/>
      <c r="E648" s="38" t="n"/>
      <c r="G648" s="40" t="n"/>
      <c r="J648" s="31">
        <f>IF(INDIRECT(ADDRESS(ROW() + (0),COLUMN() + (1)))="Agregar cuotas", IF(("16%")="", "-", "16%"), IF(INDIRECT(ADDRESS(ROW() + (0),COLUMN() + (1)))="No agregar cuotas", IF(("16%")="", "-", "16%"), "-"))</f>
        <v/>
      </c>
      <c r="K648" s="0" t="n"/>
      <c r="L648" s="31">
        <f>IF(INDIRECT(ADDRESS(ROW() + (0),COLUMN() + (-1)))="Agregar cuotas", IF(("13.4%")="", "Sin costo", "13.4%"), IF(INDIRECT(ADDRESS(ROW() + (0),COLUMN() + (-1)))="No agregar cuotas", IF(("")="", "Sin costo", ""), "-"))</f>
        <v/>
      </c>
      <c r="M648" s="0" t="n"/>
      <c r="N648" s="0" t="n"/>
      <c r="O648" s="0" t="n"/>
      <c r="P648" s="47" t="n"/>
      <c r="R648" s="0" t="n"/>
      <c r="S648" s="0" t="n"/>
      <c r="U648" s="0" t="n"/>
      <c r="X648" s="0" t="n"/>
      <c r="AA648" s="0" t="n"/>
      <c r="AB6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8" s="53">
        <f>IF(OR(TRIM(INDIRECT("B"&amp;ROW())) &lt;&gt; "",TRIM(INDIRECT("A"&amp;ROW())) &lt;&gt; ""),AND(TRIM(INDIRECT("A"&amp;ROW())) &lt;&gt; "",TRIM(INDIRECT("D"&amp;ROW())) = "nuevo"),"")</f>
        <v/>
      </c>
    </row>
    <row r="649" ht="27.5" customHeight="1" s="62">
      <c r="C649" s="0">
        <f>LEN(INDIRECT(ADDRESS(ROW() + (0),COLUMN() + (-1))))</f>
        <v/>
      </c>
      <c r="D649" s="0" t="n"/>
      <c r="E649" s="38" t="n"/>
      <c r="G649" s="40" t="n"/>
      <c r="J649" s="31">
        <f>IF(INDIRECT(ADDRESS(ROW() + (0),COLUMN() + (1)))="Agregar cuotas", IF(("16%")="", "-", "16%"), IF(INDIRECT(ADDRESS(ROW() + (0),COLUMN() + (1)))="No agregar cuotas", IF(("16%")="", "-", "16%"), "-"))</f>
        <v/>
      </c>
      <c r="K649" s="0" t="n"/>
      <c r="L649" s="31">
        <f>IF(INDIRECT(ADDRESS(ROW() + (0),COLUMN() + (-1)))="Agregar cuotas", IF(("13.4%")="", "Sin costo", "13.4%"), IF(INDIRECT(ADDRESS(ROW() + (0),COLUMN() + (-1)))="No agregar cuotas", IF(("")="", "Sin costo", ""), "-"))</f>
        <v/>
      </c>
      <c r="M649" s="0" t="n"/>
      <c r="N649" s="0" t="n"/>
      <c r="O649" s="0" t="n"/>
      <c r="P649" s="47" t="n"/>
      <c r="R649" s="0" t="n"/>
      <c r="S649" s="0" t="n"/>
      <c r="U649" s="0" t="n"/>
      <c r="X649" s="0" t="n"/>
      <c r="AA649" s="0" t="n"/>
      <c r="AB6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49" s="53">
        <f>IF(OR(TRIM(INDIRECT("B"&amp;ROW())) &lt;&gt; "",TRIM(INDIRECT("A"&amp;ROW())) &lt;&gt; ""),AND(TRIM(INDIRECT("A"&amp;ROW())) &lt;&gt; "",TRIM(INDIRECT("D"&amp;ROW())) = "nuevo"),"")</f>
        <v/>
      </c>
    </row>
    <row r="650" ht="27.5" customHeight="1" s="62">
      <c r="C650" s="0">
        <f>LEN(INDIRECT(ADDRESS(ROW() + (0),COLUMN() + (-1))))</f>
        <v/>
      </c>
      <c r="D650" s="0" t="n"/>
      <c r="E650" s="38" t="n"/>
      <c r="G650" s="40" t="n"/>
      <c r="J650" s="31">
        <f>IF(INDIRECT(ADDRESS(ROW() + (0),COLUMN() + (1)))="Agregar cuotas", IF(("16%")="", "-", "16%"), IF(INDIRECT(ADDRESS(ROW() + (0),COLUMN() + (1)))="No agregar cuotas", IF(("16%")="", "-", "16%"), "-"))</f>
        <v/>
      </c>
      <c r="K650" s="0" t="n"/>
      <c r="L650" s="31">
        <f>IF(INDIRECT(ADDRESS(ROW() + (0),COLUMN() + (-1)))="Agregar cuotas", IF(("13.4%")="", "Sin costo", "13.4%"), IF(INDIRECT(ADDRESS(ROW() + (0),COLUMN() + (-1)))="No agregar cuotas", IF(("")="", "Sin costo", ""), "-"))</f>
        <v/>
      </c>
      <c r="M650" s="0" t="n"/>
      <c r="N650" s="0" t="n"/>
      <c r="O650" s="0" t="n"/>
      <c r="P650" s="47" t="n"/>
      <c r="R650" s="0" t="n"/>
      <c r="S650" s="0" t="n"/>
      <c r="U650" s="0" t="n"/>
      <c r="X650" s="0" t="n"/>
      <c r="AA650" s="0" t="n"/>
      <c r="AB6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0" s="53">
        <f>IF(OR(TRIM(INDIRECT("B"&amp;ROW())) &lt;&gt; "",TRIM(INDIRECT("A"&amp;ROW())) &lt;&gt; ""),AND(TRIM(INDIRECT("A"&amp;ROW())) &lt;&gt; "",TRIM(INDIRECT("D"&amp;ROW())) = "nuevo"),"")</f>
        <v/>
      </c>
    </row>
    <row r="651" ht="27.5" customHeight="1" s="62">
      <c r="C651" s="0">
        <f>LEN(INDIRECT(ADDRESS(ROW() + (0),COLUMN() + (-1))))</f>
        <v/>
      </c>
      <c r="D651" s="0" t="n"/>
      <c r="E651" s="38" t="n"/>
      <c r="G651" s="40" t="n"/>
      <c r="J651" s="31">
        <f>IF(INDIRECT(ADDRESS(ROW() + (0),COLUMN() + (1)))="Agregar cuotas", IF(("16%")="", "-", "16%"), IF(INDIRECT(ADDRESS(ROW() + (0),COLUMN() + (1)))="No agregar cuotas", IF(("16%")="", "-", "16%"), "-"))</f>
        <v/>
      </c>
      <c r="K651" s="0" t="n"/>
      <c r="L651" s="31">
        <f>IF(INDIRECT(ADDRESS(ROW() + (0),COLUMN() + (-1)))="Agregar cuotas", IF(("13.4%")="", "Sin costo", "13.4%"), IF(INDIRECT(ADDRESS(ROW() + (0),COLUMN() + (-1)))="No agregar cuotas", IF(("")="", "Sin costo", ""), "-"))</f>
        <v/>
      </c>
      <c r="M651" s="0" t="n"/>
      <c r="N651" s="0" t="n"/>
      <c r="O651" s="0" t="n"/>
      <c r="P651" s="47" t="n"/>
      <c r="R651" s="0" t="n"/>
      <c r="S651" s="0" t="n"/>
      <c r="U651" s="0" t="n"/>
      <c r="X651" s="0" t="n"/>
      <c r="AA651" s="0" t="n"/>
      <c r="AB6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1" s="53">
        <f>IF(OR(TRIM(INDIRECT("B"&amp;ROW())) &lt;&gt; "",TRIM(INDIRECT("A"&amp;ROW())) &lt;&gt; ""),AND(TRIM(INDIRECT("A"&amp;ROW())) &lt;&gt; "",TRIM(INDIRECT("D"&amp;ROW())) = "nuevo"),"")</f>
        <v/>
      </c>
    </row>
    <row r="652" ht="27.5" customHeight="1" s="62">
      <c r="C652" s="0">
        <f>LEN(INDIRECT(ADDRESS(ROW() + (0),COLUMN() + (-1))))</f>
        <v/>
      </c>
      <c r="D652" s="0" t="n"/>
      <c r="E652" s="38" t="n"/>
      <c r="G652" s="40" t="n"/>
      <c r="J652" s="31">
        <f>IF(INDIRECT(ADDRESS(ROW() + (0),COLUMN() + (1)))="Agregar cuotas", IF(("16%")="", "-", "16%"), IF(INDIRECT(ADDRESS(ROW() + (0),COLUMN() + (1)))="No agregar cuotas", IF(("16%")="", "-", "16%"), "-"))</f>
        <v/>
      </c>
      <c r="K652" s="0" t="n"/>
      <c r="L652" s="31">
        <f>IF(INDIRECT(ADDRESS(ROW() + (0),COLUMN() + (-1)))="Agregar cuotas", IF(("13.4%")="", "Sin costo", "13.4%"), IF(INDIRECT(ADDRESS(ROW() + (0),COLUMN() + (-1)))="No agregar cuotas", IF(("")="", "Sin costo", ""), "-"))</f>
        <v/>
      </c>
      <c r="M652" s="0" t="n"/>
      <c r="N652" s="0" t="n"/>
      <c r="O652" s="0" t="n"/>
      <c r="P652" s="47" t="n"/>
      <c r="R652" s="0" t="n"/>
      <c r="S652" s="0" t="n"/>
      <c r="U652" s="0" t="n"/>
      <c r="X652" s="0" t="n"/>
      <c r="AA652" s="0" t="n"/>
      <c r="AB6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2" s="53">
        <f>IF(OR(TRIM(INDIRECT("B"&amp;ROW())) &lt;&gt; "",TRIM(INDIRECT("A"&amp;ROW())) &lt;&gt; ""),AND(TRIM(INDIRECT("A"&amp;ROW())) &lt;&gt; "",TRIM(INDIRECT("D"&amp;ROW())) = "nuevo"),"")</f>
        <v/>
      </c>
    </row>
    <row r="653" ht="27.5" customHeight="1" s="62">
      <c r="C653" s="0">
        <f>LEN(INDIRECT(ADDRESS(ROW() + (0),COLUMN() + (-1))))</f>
        <v/>
      </c>
      <c r="D653" s="0" t="n"/>
      <c r="E653" s="38" t="n"/>
      <c r="G653" s="40" t="n"/>
      <c r="J653" s="31">
        <f>IF(INDIRECT(ADDRESS(ROW() + (0),COLUMN() + (1)))="Agregar cuotas", IF(("16%")="", "-", "16%"), IF(INDIRECT(ADDRESS(ROW() + (0),COLUMN() + (1)))="No agregar cuotas", IF(("16%")="", "-", "16%"), "-"))</f>
        <v/>
      </c>
      <c r="K653" s="0" t="n"/>
      <c r="L653" s="31">
        <f>IF(INDIRECT(ADDRESS(ROW() + (0),COLUMN() + (-1)))="Agregar cuotas", IF(("13.4%")="", "Sin costo", "13.4%"), IF(INDIRECT(ADDRESS(ROW() + (0),COLUMN() + (-1)))="No agregar cuotas", IF(("")="", "Sin costo", ""), "-"))</f>
        <v/>
      </c>
      <c r="M653" s="0" t="n"/>
      <c r="N653" s="0" t="n"/>
      <c r="O653" s="0" t="n"/>
      <c r="P653" s="47" t="n"/>
      <c r="R653" s="0" t="n"/>
      <c r="S653" s="0" t="n"/>
      <c r="U653" s="0" t="n"/>
      <c r="X653" s="0" t="n"/>
      <c r="AA653" s="0" t="n"/>
      <c r="AB6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3" s="53">
        <f>IF(OR(TRIM(INDIRECT("B"&amp;ROW())) &lt;&gt; "",TRIM(INDIRECT("A"&amp;ROW())) &lt;&gt; ""),AND(TRIM(INDIRECT("A"&amp;ROW())) &lt;&gt; "",TRIM(INDIRECT("D"&amp;ROW())) = "nuevo"),"")</f>
        <v/>
      </c>
    </row>
    <row r="654" ht="27.5" customHeight="1" s="62">
      <c r="C654" s="0">
        <f>LEN(INDIRECT(ADDRESS(ROW() + (0),COLUMN() + (-1))))</f>
        <v/>
      </c>
      <c r="D654" s="0" t="n"/>
      <c r="E654" s="38" t="n"/>
      <c r="G654" s="40" t="n"/>
      <c r="J654" s="31">
        <f>IF(INDIRECT(ADDRESS(ROW() + (0),COLUMN() + (1)))="Agregar cuotas", IF(("16%")="", "-", "16%"), IF(INDIRECT(ADDRESS(ROW() + (0),COLUMN() + (1)))="No agregar cuotas", IF(("16%")="", "-", "16%"), "-"))</f>
        <v/>
      </c>
      <c r="K654" s="0" t="n"/>
      <c r="L654" s="31">
        <f>IF(INDIRECT(ADDRESS(ROW() + (0),COLUMN() + (-1)))="Agregar cuotas", IF(("13.4%")="", "Sin costo", "13.4%"), IF(INDIRECT(ADDRESS(ROW() + (0),COLUMN() + (-1)))="No agregar cuotas", IF(("")="", "Sin costo", ""), "-"))</f>
        <v/>
      </c>
      <c r="M654" s="0" t="n"/>
      <c r="N654" s="0" t="n"/>
      <c r="O654" s="0" t="n"/>
      <c r="P654" s="47" t="n"/>
      <c r="R654" s="0" t="n"/>
      <c r="S654" s="0" t="n"/>
      <c r="U654" s="0" t="n"/>
      <c r="X654" s="0" t="n"/>
      <c r="AA654" s="0" t="n"/>
      <c r="AB6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4" s="53">
        <f>IF(OR(TRIM(INDIRECT("B"&amp;ROW())) &lt;&gt; "",TRIM(INDIRECT("A"&amp;ROW())) &lt;&gt; ""),AND(TRIM(INDIRECT("A"&amp;ROW())) &lt;&gt; "",TRIM(INDIRECT("D"&amp;ROW())) = "nuevo"),"")</f>
        <v/>
      </c>
    </row>
    <row r="655" ht="27.5" customHeight="1" s="62">
      <c r="C655" s="0">
        <f>LEN(INDIRECT(ADDRESS(ROW() + (0),COLUMN() + (-1))))</f>
        <v/>
      </c>
      <c r="D655" s="0" t="n"/>
      <c r="E655" s="38" t="n"/>
      <c r="G655" s="40" t="n"/>
      <c r="J655" s="31">
        <f>IF(INDIRECT(ADDRESS(ROW() + (0),COLUMN() + (1)))="Agregar cuotas", IF(("16%")="", "-", "16%"), IF(INDIRECT(ADDRESS(ROW() + (0),COLUMN() + (1)))="No agregar cuotas", IF(("16%")="", "-", "16%"), "-"))</f>
        <v/>
      </c>
      <c r="K655" s="0" t="n"/>
      <c r="L655" s="31">
        <f>IF(INDIRECT(ADDRESS(ROW() + (0),COLUMN() + (-1)))="Agregar cuotas", IF(("13.4%")="", "Sin costo", "13.4%"), IF(INDIRECT(ADDRESS(ROW() + (0),COLUMN() + (-1)))="No agregar cuotas", IF(("")="", "Sin costo", ""), "-"))</f>
        <v/>
      </c>
      <c r="M655" s="0" t="n"/>
      <c r="N655" s="0" t="n"/>
      <c r="O655" s="0" t="n"/>
      <c r="P655" s="47" t="n"/>
      <c r="R655" s="0" t="n"/>
      <c r="S655" s="0" t="n"/>
      <c r="U655" s="0" t="n"/>
      <c r="X655" s="0" t="n"/>
      <c r="AA655" s="0" t="n"/>
      <c r="AB6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5" s="53">
        <f>IF(OR(TRIM(INDIRECT("B"&amp;ROW())) &lt;&gt; "",TRIM(INDIRECT("A"&amp;ROW())) &lt;&gt; ""),AND(TRIM(INDIRECT("A"&amp;ROW())) &lt;&gt; "",TRIM(INDIRECT("D"&amp;ROW())) = "nuevo"),"")</f>
        <v/>
      </c>
    </row>
    <row r="656" ht="27.5" customHeight="1" s="62">
      <c r="C656" s="0">
        <f>LEN(INDIRECT(ADDRESS(ROW() + (0),COLUMN() + (-1))))</f>
        <v/>
      </c>
      <c r="D656" s="0" t="n"/>
      <c r="E656" s="38" t="n"/>
      <c r="G656" s="40" t="n"/>
      <c r="J656" s="31">
        <f>IF(INDIRECT(ADDRESS(ROW() + (0),COLUMN() + (1)))="Agregar cuotas", IF(("16%")="", "-", "16%"), IF(INDIRECT(ADDRESS(ROW() + (0),COLUMN() + (1)))="No agregar cuotas", IF(("16%")="", "-", "16%"), "-"))</f>
        <v/>
      </c>
      <c r="K656" s="0" t="n"/>
      <c r="L656" s="31">
        <f>IF(INDIRECT(ADDRESS(ROW() + (0),COLUMN() + (-1)))="Agregar cuotas", IF(("13.4%")="", "Sin costo", "13.4%"), IF(INDIRECT(ADDRESS(ROW() + (0),COLUMN() + (-1)))="No agregar cuotas", IF(("")="", "Sin costo", ""), "-"))</f>
        <v/>
      </c>
      <c r="M656" s="0" t="n"/>
      <c r="N656" s="0" t="n"/>
      <c r="O656" s="0" t="n"/>
      <c r="P656" s="47" t="n"/>
      <c r="R656" s="0" t="n"/>
      <c r="S656" s="0" t="n"/>
      <c r="U656" s="0" t="n"/>
      <c r="X656" s="0" t="n"/>
      <c r="AA656" s="0" t="n"/>
      <c r="AB6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6" s="53">
        <f>IF(OR(TRIM(INDIRECT("B"&amp;ROW())) &lt;&gt; "",TRIM(INDIRECT("A"&amp;ROW())) &lt;&gt; ""),AND(TRIM(INDIRECT("A"&amp;ROW())) &lt;&gt; "",TRIM(INDIRECT("D"&amp;ROW())) = "nuevo"),"")</f>
        <v/>
      </c>
    </row>
    <row r="657" ht="27.5" customHeight="1" s="62">
      <c r="C657" s="0">
        <f>LEN(INDIRECT(ADDRESS(ROW() + (0),COLUMN() + (-1))))</f>
        <v/>
      </c>
      <c r="D657" s="0" t="n"/>
      <c r="E657" s="38" t="n"/>
      <c r="G657" s="40" t="n"/>
      <c r="J657" s="31">
        <f>IF(INDIRECT(ADDRESS(ROW() + (0),COLUMN() + (1)))="Agregar cuotas", IF(("16%")="", "-", "16%"), IF(INDIRECT(ADDRESS(ROW() + (0),COLUMN() + (1)))="No agregar cuotas", IF(("16%")="", "-", "16%"), "-"))</f>
        <v/>
      </c>
      <c r="K657" s="0" t="n"/>
      <c r="L657" s="31">
        <f>IF(INDIRECT(ADDRESS(ROW() + (0),COLUMN() + (-1)))="Agregar cuotas", IF(("13.4%")="", "Sin costo", "13.4%"), IF(INDIRECT(ADDRESS(ROW() + (0),COLUMN() + (-1)))="No agregar cuotas", IF(("")="", "Sin costo", ""), "-"))</f>
        <v/>
      </c>
      <c r="M657" s="0" t="n"/>
      <c r="N657" s="0" t="n"/>
      <c r="O657" s="0" t="n"/>
      <c r="P657" s="47" t="n"/>
      <c r="R657" s="0" t="n"/>
      <c r="S657" s="0" t="n"/>
      <c r="U657" s="0" t="n"/>
      <c r="X657" s="0" t="n"/>
      <c r="AA657" s="0" t="n"/>
      <c r="AB6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7" s="53">
        <f>IF(OR(TRIM(INDIRECT("B"&amp;ROW())) &lt;&gt; "",TRIM(INDIRECT("A"&amp;ROW())) &lt;&gt; ""),AND(TRIM(INDIRECT("A"&amp;ROW())) &lt;&gt; "",TRIM(INDIRECT("D"&amp;ROW())) = "nuevo"),"")</f>
        <v/>
      </c>
    </row>
    <row r="658" ht="27.5" customHeight="1" s="62">
      <c r="C658" s="0">
        <f>LEN(INDIRECT(ADDRESS(ROW() + (0),COLUMN() + (-1))))</f>
        <v/>
      </c>
      <c r="D658" s="0" t="n"/>
      <c r="E658" s="38" t="n"/>
      <c r="G658" s="40" t="n"/>
      <c r="J658" s="31">
        <f>IF(INDIRECT(ADDRESS(ROW() + (0),COLUMN() + (1)))="Agregar cuotas", IF(("16%")="", "-", "16%"), IF(INDIRECT(ADDRESS(ROW() + (0),COLUMN() + (1)))="No agregar cuotas", IF(("16%")="", "-", "16%"), "-"))</f>
        <v/>
      </c>
      <c r="K658" s="0" t="n"/>
      <c r="L658" s="31">
        <f>IF(INDIRECT(ADDRESS(ROW() + (0),COLUMN() + (-1)))="Agregar cuotas", IF(("13.4%")="", "Sin costo", "13.4%"), IF(INDIRECT(ADDRESS(ROW() + (0),COLUMN() + (-1)))="No agregar cuotas", IF(("")="", "Sin costo", ""), "-"))</f>
        <v/>
      </c>
      <c r="M658" s="0" t="n"/>
      <c r="N658" s="0" t="n"/>
      <c r="O658" s="0" t="n"/>
      <c r="P658" s="47" t="n"/>
      <c r="R658" s="0" t="n"/>
      <c r="S658" s="0" t="n"/>
      <c r="U658" s="0" t="n"/>
      <c r="X658" s="0" t="n"/>
      <c r="AA658" s="0" t="n"/>
      <c r="AB6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8" s="53">
        <f>IF(OR(TRIM(INDIRECT("B"&amp;ROW())) &lt;&gt; "",TRIM(INDIRECT("A"&amp;ROW())) &lt;&gt; ""),AND(TRIM(INDIRECT("A"&amp;ROW())) &lt;&gt; "",TRIM(INDIRECT("D"&amp;ROW())) = "nuevo"),"")</f>
        <v/>
      </c>
    </row>
    <row r="659" ht="27.5" customHeight="1" s="62">
      <c r="C659" s="0">
        <f>LEN(INDIRECT(ADDRESS(ROW() + (0),COLUMN() + (-1))))</f>
        <v/>
      </c>
      <c r="D659" s="0" t="n"/>
      <c r="E659" s="38" t="n"/>
      <c r="G659" s="40" t="n"/>
      <c r="J659" s="31">
        <f>IF(INDIRECT(ADDRESS(ROW() + (0),COLUMN() + (1)))="Agregar cuotas", IF(("16%")="", "-", "16%"), IF(INDIRECT(ADDRESS(ROW() + (0),COLUMN() + (1)))="No agregar cuotas", IF(("16%")="", "-", "16%"), "-"))</f>
        <v/>
      </c>
      <c r="K659" s="0" t="n"/>
      <c r="L659" s="31">
        <f>IF(INDIRECT(ADDRESS(ROW() + (0),COLUMN() + (-1)))="Agregar cuotas", IF(("13.4%")="", "Sin costo", "13.4%"), IF(INDIRECT(ADDRESS(ROW() + (0),COLUMN() + (-1)))="No agregar cuotas", IF(("")="", "Sin costo", ""), "-"))</f>
        <v/>
      </c>
      <c r="M659" s="0" t="n"/>
      <c r="N659" s="0" t="n"/>
      <c r="O659" s="0" t="n"/>
      <c r="P659" s="47" t="n"/>
      <c r="R659" s="0" t="n"/>
      <c r="S659" s="0" t="n"/>
      <c r="U659" s="0" t="n"/>
      <c r="X659" s="0" t="n"/>
      <c r="AA659" s="0" t="n"/>
      <c r="AB6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59" s="53">
        <f>IF(OR(TRIM(INDIRECT("B"&amp;ROW())) &lt;&gt; "",TRIM(INDIRECT("A"&amp;ROW())) &lt;&gt; ""),AND(TRIM(INDIRECT("A"&amp;ROW())) &lt;&gt; "",TRIM(INDIRECT("D"&amp;ROW())) = "nuevo"),"")</f>
        <v/>
      </c>
    </row>
    <row r="660" ht="27.5" customHeight="1" s="62">
      <c r="C660" s="0">
        <f>LEN(INDIRECT(ADDRESS(ROW() + (0),COLUMN() + (-1))))</f>
        <v/>
      </c>
      <c r="D660" s="0" t="n"/>
      <c r="E660" s="38" t="n"/>
      <c r="G660" s="40" t="n"/>
      <c r="J660" s="31">
        <f>IF(INDIRECT(ADDRESS(ROW() + (0),COLUMN() + (1)))="Agregar cuotas", IF(("16%")="", "-", "16%"), IF(INDIRECT(ADDRESS(ROW() + (0),COLUMN() + (1)))="No agregar cuotas", IF(("16%")="", "-", "16%"), "-"))</f>
        <v/>
      </c>
      <c r="K660" s="0" t="n"/>
      <c r="L660" s="31">
        <f>IF(INDIRECT(ADDRESS(ROW() + (0),COLUMN() + (-1)))="Agregar cuotas", IF(("13.4%")="", "Sin costo", "13.4%"), IF(INDIRECT(ADDRESS(ROW() + (0),COLUMN() + (-1)))="No agregar cuotas", IF(("")="", "Sin costo", ""), "-"))</f>
        <v/>
      </c>
      <c r="M660" s="0" t="n"/>
      <c r="N660" s="0" t="n"/>
      <c r="O660" s="0" t="n"/>
      <c r="P660" s="47" t="n"/>
      <c r="R660" s="0" t="n"/>
      <c r="S660" s="0" t="n"/>
      <c r="U660" s="0" t="n"/>
      <c r="X660" s="0" t="n"/>
      <c r="AA660" s="0" t="n"/>
      <c r="AB6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0" s="53">
        <f>IF(OR(TRIM(INDIRECT("B"&amp;ROW())) &lt;&gt; "",TRIM(INDIRECT("A"&amp;ROW())) &lt;&gt; ""),AND(TRIM(INDIRECT("A"&amp;ROW())) &lt;&gt; "",TRIM(INDIRECT("D"&amp;ROW())) = "nuevo"),"")</f>
        <v/>
      </c>
    </row>
    <row r="661" ht="27.5" customHeight="1" s="62">
      <c r="C661" s="0">
        <f>LEN(INDIRECT(ADDRESS(ROW() + (0),COLUMN() + (-1))))</f>
        <v/>
      </c>
      <c r="D661" s="0" t="n"/>
      <c r="E661" s="38" t="n"/>
      <c r="G661" s="40" t="n"/>
      <c r="J661" s="31">
        <f>IF(INDIRECT(ADDRESS(ROW() + (0),COLUMN() + (1)))="Agregar cuotas", IF(("16%")="", "-", "16%"), IF(INDIRECT(ADDRESS(ROW() + (0),COLUMN() + (1)))="No agregar cuotas", IF(("16%")="", "-", "16%"), "-"))</f>
        <v/>
      </c>
      <c r="K661" s="0" t="n"/>
      <c r="L661" s="31">
        <f>IF(INDIRECT(ADDRESS(ROW() + (0),COLUMN() + (-1)))="Agregar cuotas", IF(("13.4%")="", "Sin costo", "13.4%"), IF(INDIRECT(ADDRESS(ROW() + (0),COLUMN() + (-1)))="No agregar cuotas", IF(("")="", "Sin costo", ""), "-"))</f>
        <v/>
      </c>
      <c r="M661" s="0" t="n"/>
      <c r="N661" s="0" t="n"/>
      <c r="O661" s="0" t="n"/>
      <c r="P661" s="47" t="n"/>
      <c r="R661" s="0" t="n"/>
      <c r="S661" s="0" t="n"/>
      <c r="U661" s="0" t="n"/>
      <c r="X661" s="0" t="n"/>
      <c r="AA661" s="0" t="n"/>
      <c r="AB6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1" s="53">
        <f>IF(OR(TRIM(INDIRECT("B"&amp;ROW())) &lt;&gt; "",TRIM(INDIRECT("A"&amp;ROW())) &lt;&gt; ""),AND(TRIM(INDIRECT("A"&amp;ROW())) &lt;&gt; "",TRIM(INDIRECT("D"&amp;ROW())) = "nuevo"),"")</f>
        <v/>
      </c>
    </row>
    <row r="662" ht="27.5" customHeight="1" s="62">
      <c r="C662" s="0">
        <f>LEN(INDIRECT(ADDRESS(ROW() + (0),COLUMN() + (-1))))</f>
        <v/>
      </c>
      <c r="D662" s="0" t="n"/>
      <c r="E662" s="38" t="n"/>
      <c r="G662" s="40" t="n"/>
      <c r="J662" s="31">
        <f>IF(INDIRECT(ADDRESS(ROW() + (0),COLUMN() + (1)))="Agregar cuotas", IF(("16%")="", "-", "16%"), IF(INDIRECT(ADDRESS(ROW() + (0),COLUMN() + (1)))="No agregar cuotas", IF(("16%")="", "-", "16%"), "-"))</f>
        <v/>
      </c>
      <c r="K662" s="0" t="n"/>
      <c r="L662" s="31">
        <f>IF(INDIRECT(ADDRESS(ROW() + (0),COLUMN() + (-1)))="Agregar cuotas", IF(("13.4%")="", "Sin costo", "13.4%"), IF(INDIRECT(ADDRESS(ROW() + (0),COLUMN() + (-1)))="No agregar cuotas", IF(("")="", "Sin costo", ""), "-"))</f>
        <v/>
      </c>
      <c r="M662" s="0" t="n"/>
      <c r="N662" s="0" t="n"/>
      <c r="O662" s="0" t="n"/>
      <c r="P662" s="47" t="n"/>
      <c r="R662" s="0" t="n"/>
      <c r="S662" s="0" t="n"/>
      <c r="U662" s="0" t="n"/>
      <c r="X662" s="0" t="n"/>
      <c r="AA662" s="0" t="n"/>
      <c r="AB6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2" s="53">
        <f>IF(OR(TRIM(INDIRECT("B"&amp;ROW())) &lt;&gt; "",TRIM(INDIRECT("A"&amp;ROW())) &lt;&gt; ""),AND(TRIM(INDIRECT("A"&amp;ROW())) &lt;&gt; "",TRIM(INDIRECT("D"&amp;ROW())) = "nuevo"),"")</f>
        <v/>
      </c>
    </row>
    <row r="663" ht="27.5" customHeight="1" s="62">
      <c r="C663" s="0">
        <f>LEN(INDIRECT(ADDRESS(ROW() + (0),COLUMN() + (-1))))</f>
        <v/>
      </c>
      <c r="D663" s="0" t="n"/>
      <c r="E663" s="38" t="n"/>
      <c r="G663" s="40" t="n"/>
      <c r="J663" s="31">
        <f>IF(INDIRECT(ADDRESS(ROW() + (0),COLUMN() + (1)))="Agregar cuotas", IF(("16%")="", "-", "16%"), IF(INDIRECT(ADDRESS(ROW() + (0),COLUMN() + (1)))="No agregar cuotas", IF(("16%")="", "-", "16%"), "-"))</f>
        <v/>
      </c>
      <c r="K663" s="0" t="n"/>
      <c r="L663" s="31">
        <f>IF(INDIRECT(ADDRESS(ROW() + (0),COLUMN() + (-1)))="Agregar cuotas", IF(("13.4%")="", "Sin costo", "13.4%"), IF(INDIRECT(ADDRESS(ROW() + (0),COLUMN() + (-1)))="No agregar cuotas", IF(("")="", "Sin costo", ""), "-"))</f>
        <v/>
      </c>
      <c r="M663" s="0" t="n"/>
      <c r="N663" s="0" t="n"/>
      <c r="O663" s="0" t="n"/>
      <c r="P663" s="47" t="n"/>
      <c r="R663" s="0" t="n"/>
      <c r="S663" s="0" t="n"/>
      <c r="U663" s="0" t="n"/>
      <c r="X663" s="0" t="n"/>
      <c r="AA663" s="0" t="n"/>
      <c r="AB6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3" s="53">
        <f>IF(OR(TRIM(INDIRECT("B"&amp;ROW())) &lt;&gt; "",TRIM(INDIRECT("A"&amp;ROW())) &lt;&gt; ""),AND(TRIM(INDIRECT("A"&amp;ROW())) &lt;&gt; "",TRIM(INDIRECT("D"&amp;ROW())) = "nuevo"),"")</f>
        <v/>
      </c>
    </row>
    <row r="664" ht="27.5" customHeight="1" s="62">
      <c r="C664" s="0">
        <f>LEN(INDIRECT(ADDRESS(ROW() + (0),COLUMN() + (-1))))</f>
        <v/>
      </c>
      <c r="D664" s="0" t="n"/>
      <c r="E664" s="38" t="n"/>
      <c r="G664" s="40" t="n"/>
      <c r="J664" s="31">
        <f>IF(INDIRECT(ADDRESS(ROW() + (0),COLUMN() + (1)))="Agregar cuotas", IF(("16%")="", "-", "16%"), IF(INDIRECT(ADDRESS(ROW() + (0),COLUMN() + (1)))="No agregar cuotas", IF(("16%")="", "-", "16%"), "-"))</f>
        <v/>
      </c>
      <c r="K664" s="0" t="n"/>
      <c r="L664" s="31">
        <f>IF(INDIRECT(ADDRESS(ROW() + (0),COLUMN() + (-1)))="Agregar cuotas", IF(("13.4%")="", "Sin costo", "13.4%"), IF(INDIRECT(ADDRESS(ROW() + (0),COLUMN() + (-1)))="No agregar cuotas", IF(("")="", "Sin costo", ""), "-"))</f>
        <v/>
      </c>
      <c r="M664" s="0" t="n"/>
      <c r="N664" s="0" t="n"/>
      <c r="O664" s="0" t="n"/>
      <c r="P664" s="47" t="n"/>
      <c r="R664" s="0" t="n"/>
      <c r="S664" s="0" t="n"/>
      <c r="U664" s="0" t="n"/>
      <c r="X664" s="0" t="n"/>
      <c r="AA664" s="0" t="n"/>
      <c r="AB6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4" s="53">
        <f>IF(OR(TRIM(INDIRECT("B"&amp;ROW())) &lt;&gt; "",TRIM(INDIRECT("A"&amp;ROW())) &lt;&gt; ""),AND(TRIM(INDIRECT("A"&amp;ROW())) &lt;&gt; "",TRIM(INDIRECT("D"&amp;ROW())) = "nuevo"),"")</f>
        <v/>
      </c>
    </row>
    <row r="665" ht="27.5" customHeight="1" s="62">
      <c r="C665" s="0">
        <f>LEN(INDIRECT(ADDRESS(ROW() + (0),COLUMN() + (-1))))</f>
        <v/>
      </c>
      <c r="D665" s="0" t="n"/>
      <c r="E665" s="38" t="n"/>
      <c r="G665" s="40" t="n"/>
      <c r="J665" s="31">
        <f>IF(INDIRECT(ADDRESS(ROW() + (0),COLUMN() + (1)))="Agregar cuotas", IF(("16%")="", "-", "16%"), IF(INDIRECT(ADDRESS(ROW() + (0),COLUMN() + (1)))="No agregar cuotas", IF(("16%")="", "-", "16%"), "-"))</f>
        <v/>
      </c>
      <c r="K665" s="0" t="n"/>
      <c r="L665" s="31">
        <f>IF(INDIRECT(ADDRESS(ROW() + (0),COLUMN() + (-1)))="Agregar cuotas", IF(("13.4%")="", "Sin costo", "13.4%"), IF(INDIRECT(ADDRESS(ROW() + (0),COLUMN() + (-1)))="No agregar cuotas", IF(("")="", "Sin costo", ""), "-"))</f>
        <v/>
      </c>
      <c r="M665" s="0" t="n"/>
      <c r="N665" s="0" t="n"/>
      <c r="O665" s="0" t="n"/>
      <c r="P665" s="47" t="n"/>
      <c r="R665" s="0" t="n"/>
      <c r="S665" s="0" t="n"/>
      <c r="U665" s="0" t="n"/>
      <c r="X665" s="0" t="n"/>
      <c r="AA665" s="0" t="n"/>
      <c r="AB6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5" s="53">
        <f>IF(OR(TRIM(INDIRECT("B"&amp;ROW())) &lt;&gt; "",TRIM(INDIRECT("A"&amp;ROW())) &lt;&gt; ""),AND(TRIM(INDIRECT("A"&amp;ROW())) &lt;&gt; "",TRIM(INDIRECT("D"&amp;ROW())) = "nuevo"),"")</f>
        <v/>
      </c>
    </row>
    <row r="666" ht="27.5" customHeight="1" s="62">
      <c r="C666" s="0">
        <f>LEN(INDIRECT(ADDRESS(ROW() + (0),COLUMN() + (-1))))</f>
        <v/>
      </c>
      <c r="D666" s="0" t="n"/>
      <c r="E666" s="38" t="n"/>
      <c r="G666" s="40" t="n"/>
      <c r="J666" s="31">
        <f>IF(INDIRECT(ADDRESS(ROW() + (0),COLUMN() + (1)))="Agregar cuotas", IF(("16%")="", "-", "16%"), IF(INDIRECT(ADDRESS(ROW() + (0),COLUMN() + (1)))="No agregar cuotas", IF(("16%")="", "-", "16%"), "-"))</f>
        <v/>
      </c>
      <c r="K666" s="0" t="n"/>
      <c r="L666" s="31">
        <f>IF(INDIRECT(ADDRESS(ROW() + (0),COLUMN() + (-1)))="Agregar cuotas", IF(("13.4%")="", "Sin costo", "13.4%"), IF(INDIRECT(ADDRESS(ROW() + (0),COLUMN() + (-1)))="No agregar cuotas", IF(("")="", "Sin costo", ""), "-"))</f>
        <v/>
      </c>
      <c r="M666" s="0" t="n"/>
      <c r="N666" s="0" t="n"/>
      <c r="O666" s="0" t="n"/>
      <c r="P666" s="47" t="n"/>
      <c r="R666" s="0" t="n"/>
      <c r="S666" s="0" t="n"/>
      <c r="U666" s="0" t="n"/>
      <c r="X666" s="0" t="n"/>
      <c r="AA666" s="0" t="n"/>
      <c r="AB6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6" s="53">
        <f>IF(OR(TRIM(INDIRECT("B"&amp;ROW())) &lt;&gt; "",TRIM(INDIRECT("A"&amp;ROW())) &lt;&gt; ""),AND(TRIM(INDIRECT("A"&amp;ROW())) &lt;&gt; "",TRIM(INDIRECT("D"&amp;ROW())) = "nuevo"),"")</f>
        <v/>
      </c>
    </row>
    <row r="667" ht="27.5" customHeight="1" s="62">
      <c r="C667" s="0">
        <f>LEN(INDIRECT(ADDRESS(ROW() + (0),COLUMN() + (-1))))</f>
        <v/>
      </c>
      <c r="D667" s="0" t="n"/>
      <c r="E667" s="38" t="n"/>
      <c r="G667" s="40" t="n"/>
      <c r="J667" s="31">
        <f>IF(INDIRECT(ADDRESS(ROW() + (0),COLUMN() + (1)))="Agregar cuotas", IF(("16%")="", "-", "16%"), IF(INDIRECT(ADDRESS(ROW() + (0),COLUMN() + (1)))="No agregar cuotas", IF(("16%")="", "-", "16%"), "-"))</f>
        <v/>
      </c>
      <c r="K667" s="0" t="n"/>
      <c r="L667" s="31">
        <f>IF(INDIRECT(ADDRESS(ROW() + (0),COLUMN() + (-1)))="Agregar cuotas", IF(("13.4%")="", "Sin costo", "13.4%"), IF(INDIRECT(ADDRESS(ROW() + (0),COLUMN() + (-1)))="No agregar cuotas", IF(("")="", "Sin costo", ""), "-"))</f>
        <v/>
      </c>
      <c r="M667" s="0" t="n"/>
      <c r="N667" s="0" t="n"/>
      <c r="O667" s="0" t="n"/>
      <c r="P667" s="47" t="n"/>
      <c r="R667" s="0" t="n"/>
      <c r="S667" s="0" t="n"/>
      <c r="U667" s="0" t="n"/>
      <c r="X667" s="0" t="n"/>
      <c r="AA667" s="0" t="n"/>
      <c r="AB6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7" s="53">
        <f>IF(OR(TRIM(INDIRECT("B"&amp;ROW())) &lt;&gt; "",TRIM(INDIRECT("A"&amp;ROW())) &lt;&gt; ""),AND(TRIM(INDIRECT("A"&amp;ROW())) &lt;&gt; "",TRIM(INDIRECT("D"&amp;ROW())) = "nuevo"),"")</f>
        <v/>
      </c>
    </row>
    <row r="668" ht="27.5" customHeight="1" s="62">
      <c r="C668" s="0">
        <f>LEN(INDIRECT(ADDRESS(ROW() + (0),COLUMN() + (-1))))</f>
        <v/>
      </c>
      <c r="D668" s="0" t="n"/>
      <c r="E668" s="38" t="n"/>
      <c r="G668" s="40" t="n"/>
      <c r="J668" s="31">
        <f>IF(INDIRECT(ADDRESS(ROW() + (0),COLUMN() + (1)))="Agregar cuotas", IF(("16%")="", "-", "16%"), IF(INDIRECT(ADDRESS(ROW() + (0),COLUMN() + (1)))="No agregar cuotas", IF(("16%")="", "-", "16%"), "-"))</f>
        <v/>
      </c>
      <c r="K668" s="0" t="n"/>
      <c r="L668" s="31">
        <f>IF(INDIRECT(ADDRESS(ROW() + (0),COLUMN() + (-1)))="Agregar cuotas", IF(("13.4%")="", "Sin costo", "13.4%"), IF(INDIRECT(ADDRESS(ROW() + (0),COLUMN() + (-1)))="No agregar cuotas", IF(("")="", "Sin costo", ""), "-"))</f>
        <v/>
      </c>
      <c r="M668" s="0" t="n"/>
      <c r="N668" s="0" t="n"/>
      <c r="O668" s="0" t="n"/>
      <c r="P668" s="47" t="n"/>
      <c r="R668" s="0" t="n"/>
      <c r="S668" s="0" t="n"/>
      <c r="U668" s="0" t="n"/>
      <c r="X668" s="0" t="n"/>
      <c r="AA668" s="0" t="n"/>
      <c r="AB6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8" s="53">
        <f>IF(OR(TRIM(INDIRECT("B"&amp;ROW())) &lt;&gt; "",TRIM(INDIRECT("A"&amp;ROW())) &lt;&gt; ""),AND(TRIM(INDIRECT("A"&amp;ROW())) &lt;&gt; "",TRIM(INDIRECT("D"&amp;ROW())) = "nuevo"),"")</f>
        <v/>
      </c>
    </row>
    <row r="669" ht="27.5" customHeight="1" s="62">
      <c r="C669" s="0">
        <f>LEN(INDIRECT(ADDRESS(ROW() + (0),COLUMN() + (-1))))</f>
        <v/>
      </c>
      <c r="D669" s="0" t="n"/>
      <c r="E669" s="38" t="n"/>
      <c r="G669" s="40" t="n"/>
      <c r="J669" s="31">
        <f>IF(INDIRECT(ADDRESS(ROW() + (0),COLUMN() + (1)))="Agregar cuotas", IF(("16%")="", "-", "16%"), IF(INDIRECT(ADDRESS(ROW() + (0),COLUMN() + (1)))="No agregar cuotas", IF(("16%")="", "-", "16%"), "-"))</f>
        <v/>
      </c>
      <c r="K669" s="0" t="n"/>
      <c r="L669" s="31">
        <f>IF(INDIRECT(ADDRESS(ROW() + (0),COLUMN() + (-1)))="Agregar cuotas", IF(("13.4%")="", "Sin costo", "13.4%"), IF(INDIRECT(ADDRESS(ROW() + (0),COLUMN() + (-1)))="No agregar cuotas", IF(("")="", "Sin costo", ""), "-"))</f>
        <v/>
      </c>
      <c r="M669" s="0" t="n"/>
      <c r="N669" s="0" t="n"/>
      <c r="O669" s="0" t="n"/>
      <c r="P669" s="47" t="n"/>
      <c r="R669" s="0" t="n"/>
      <c r="S669" s="0" t="n"/>
      <c r="U669" s="0" t="n"/>
      <c r="X669" s="0" t="n"/>
      <c r="AA669" s="0" t="n"/>
      <c r="AB6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69" s="53">
        <f>IF(OR(TRIM(INDIRECT("B"&amp;ROW())) &lt;&gt; "",TRIM(INDIRECT("A"&amp;ROW())) &lt;&gt; ""),AND(TRIM(INDIRECT("A"&amp;ROW())) &lt;&gt; "",TRIM(INDIRECT("D"&amp;ROW())) = "nuevo"),"")</f>
        <v/>
      </c>
    </row>
    <row r="670" ht="27.5" customHeight="1" s="62">
      <c r="C670" s="0">
        <f>LEN(INDIRECT(ADDRESS(ROW() + (0),COLUMN() + (-1))))</f>
        <v/>
      </c>
      <c r="D670" s="0" t="n"/>
      <c r="E670" s="38" t="n"/>
      <c r="G670" s="40" t="n"/>
      <c r="J670" s="31">
        <f>IF(INDIRECT(ADDRESS(ROW() + (0),COLUMN() + (1)))="Agregar cuotas", IF(("16%")="", "-", "16%"), IF(INDIRECT(ADDRESS(ROW() + (0),COLUMN() + (1)))="No agregar cuotas", IF(("16%")="", "-", "16%"), "-"))</f>
        <v/>
      </c>
      <c r="K670" s="0" t="n"/>
      <c r="L670" s="31">
        <f>IF(INDIRECT(ADDRESS(ROW() + (0),COLUMN() + (-1)))="Agregar cuotas", IF(("13.4%")="", "Sin costo", "13.4%"), IF(INDIRECT(ADDRESS(ROW() + (0),COLUMN() + (-1)))="No agregar cuotas", IF(("")="", "Sin costo", ""), "-"))</f>
        <v/>
      </c>
      <c r="M670" s="0" t="n"/>
      <c r="N670" s="0" t="n"/>
      <c r="O670" s="0" t="n"/>
      <c r="P670" s="47" t="n"/>
      <c r="R670" s="0" t="n"/>
      <c r="S670" s="0" t="n"/>
      <c r="U670" s="0" t="n"/>
      <c r="X670" s="0" t="n"/>
      <c r="AA670" s="0" t="n"/>
      <c r="AB6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0" s="53">
        <f>IF(OR(TRIM(INDIRECT("B"&amp;ROW())) &lt;&gt; "",TRIM(INDIRECT("A"&amp;ROW())) &lt;&gt; ""),AND(TRIM(INDIRECT("A"&amp;ROW())) &lt;&gt; "",TRIM(INDIRECT("D"&amp;ROW())) = "nuevo"),"")</f>
        <v/>
      </c>
    </row>
    <row r="671" ht="27.5" customHeight="1" s="62">
      <c r="C671" s="0">
        <f>LEN(INDIRECT(ADDRESS(ROW() + (0),COLUMN() + (-1))))</f>
        <v/>
      </c>
      <c r="D671" s="0" t="n"/>
      <c r="E671" s="38" t="n"/>
      <c r="G671" s="40" t="n"/>
      <c r="J671" s="31">
        <f>IF(INDIRECT(ADDRESS(ROW() + (0),COLUMN() + (1)))="Agregar cuotas", IF(("16%")="", "-", "16%"), IF(INDIRECT(ADDRESS(ROW() + (0),COLUMN() + (1)))="No agregar cuotas", IF(("16%")="", "-", "16%"), "-"))</f>
        <v/>
      </c>
      <c r="K671" s="0" t="n"/>
      <c r="L671" s="31">
        <f>IF(INDIRECT(ADDRESS(ROW() + (0),COLUMN() + (-1)))="Agregar cuotas", IF(("13.4%")="", "Sin costo", "13.4%"), IF(INDIRECT(ADDRESS(ROW() + (0),COLUMN() + (-1)))="No agregar cuotas", IF(("")="", "Sin costo", ""), "-"))</f>
        <v/>
      </c>
      <c r="M671" s="0" t="n"/>
      <c r="N671" s="0" t="n"/>
      <c r="O671" s="0" t="n"/>
      <c r="P671" s="47" t="n"/>
      <c r="R671" s="0" t="n"/>
      <c r="S671" s="0" t="n"/>
      <c r="U671" s="0" t="n"/>
      <c r="X671" s="0" t="n"/>
      <c r="AA671" s="0" t="n"/>
      <c r="AB6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1" s="53">
        <f>IF(OR(TRIM(INDIRECT("B"&amp;ROW())) &lt;&gt; "",TRIM(INDIRECT("A"&amp;ROW())) &lt;&gt; ""),AND(TRIM(INDIRECT("A"&amp;ROW())) &lt;&gt; "",TRIM(INDIRECT("D"&amp;ROW())) = "nuevo"),"")</f>
        <v/>
      </c>
    </row>
    <row r="672" ht="27.5" customHeight="1" s="62">
      <c r="C672" s="0">
        <f>LEN(INDIRECT(ADDRESS(ROW() + (0),COLUMN() + (-1))))</f>
        <v/>
      </c>
      <c r="D672" s="0" t="n"/>
      <c r="E672" s="38" t="n"/>
      <c r="G672" s="40" t="n"/>
      <c r="J672" s="31">
        <f>IF(INDIRECT(ADDRESS(ROW() + (0),COLUMN() + (1)))="Agregar cuotas", IF(("16%")="", "-", "16%"), IF(INDIRECT(ADDRESS(ROW() + (0),COLUMN() + (1)))="No agregar cuotas", IF(("16%")="", "-", "16%"), "-"))</f>
        <v/>
      </c>
      <c r="K672" s="0" t="n"/>
      <c r="L672" s="31">
        <f>IF(INDIRECT(ADDRESS(ROW() + (0),COLUMN() + (-1)))="Agregar cuotas", IF(("13.4%")="", "Sin costo", "13.4%"), IF(INDIRECT(ADDRESS(ROW() + (0),COLUMN() + (-1)))="No agregar cuotas", IF(("")="", "Sin costo", ""), "-"))</f>
        <v/>
      </c>
      <c r="M672" s="0" t="n"/>
      <c r="N672" s="0" t="n"/>
      <c r="O672" s="0" t="n"/>
      <c r="P672" s="47" t="n"/>
      <c r="R672" s="0" t="n"/>
      <c r="S672" s="0" t="n"/>
      <c r="U672" s="0" t="n"/>
      <c r="X672" s="0" t="n"/>
      <c r="AA672" s="0" t="n"/>
      <c r="AB6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2" s="53">
        <f>IF(OR(TRIM(INDIRECT("B"&amp;ROW())) &lt;&gt; "",TRIM(INDIRECT("A"&amp;ROW())) &lt;&gt; ""),AND(TRIM(INDIRECT("A"&amp;ROW())) &lt;&gt; "",TRIM(INDIRECT("D"&amp;ROW())) = "nuevo"),"")</f>
        <v/>
      </c>
    </row>
    <row r="673" ht="27.5" customHeight="1" s="62">
      <c r="C673" s="0">
        <f>LEN(INDIRECT(ADDRESS(ROW() + (0),COLUMN() + (-1))))</f>
        <v/>
      </c>
      <c r="D673" s="0" t="n"/>
      <c r="E673" s="38" t="n"/>
      <c r="G673" s="40" t="n"/>
      <c r="J673" s="31">
        <f>IF(INDIRECT(ADDRESS(ROW() + (0),COLUMN() + (1)))="Agregar cuotas", IF(("16%")="", "-", "16%"), IF(INDIRECT(ADDRESS(ROW() + (0),COLUMN() + (1)))="No agregar cuotas", IF(("16%")="", "-", "16%"), "-"))</f>
        <v/>
      </c>
      <c r="K673" s="0" t="n"/>
      <c r="L673" s="31">
        <f>IF(INDIRECT(ADDRESS(ROW() + (0),COLUMN() + (-1)))="Agregar cuotas", IF(("13.4%")="", "Sin costo", "13.4%"), IF(INDIRECT(ADDRESS(ROW() + (0),COLUMN() + (-1)))="No agregar cuotas", IF(("")="", "Sin costo", ""), "-"))</f>
        <v/>
      </c>
      <c r="M673" s="0" t="n"/>
      <c r="N673" s="0" t="n"/>
      <c r="O673" s="0" t="n"/>
      <c r="P673" s="47" t="n"/>
      <c r="R673" s="0" t="n"/>
      <c r="S673" s="0" t="n"/>
      <c r="U673" s="0" t="n"/>
      <c r="X673" s="0" t="n"/>
      <c r="AA673" s="0" t="n"/>
      <c r="AB6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3" s="53">
        <f>IF(OR(TRIM(INDIRECT("B"&amp;ROW())) &lt;&gt; "",TRIM(INDIRECT("A"&amp;ROW())) &lt;&gt; ""),AND(TRIM(INDIRECT("A"&amp;ROW())) &lt;&gt; "",TRIM(INDIRECT("D"&amp;ROW())) = "nuevo"),"")</f>
        <v/>
      </c>
    </row>
    <row r="674" ht="27.5" customHeight="1" s="62">
      <c r="C674" s="0">
        <f>LEN(INDIRECT(ADDRESS(ROW() + (0),COLUMN() + (-1))))</f>
        <v/>
      </c>
      <c r="D674" s="0" t="n"/>
      <c r="E674" s="38" t="n"/>
      <c r="G674" s="40" t="n"/>
      <c r="J674" s="31">
        <f>IF(INDIRECT(ADDRESS(ROW() + (0),COLUMN() + (1)))="Agregar cuotas", IF(("16%")="", "-", "16%"), IF(INDIRECT(ADDRESS(ROW() + (0),COLUMN() + (1)))="No agregar cuotas", IF(("16%")="", "-", "16%"), "-"))</f>
        <v/>
      </c>
      <c r="K674" s="0" t="n"/>
      <c r="L674" s="31">
        <f>IF(INDIRECT(ADDRESS(ROW() + (0),COLUMN() + (-1)))="Agregar cuotas", IF(("13.4%")="", "Sin costo", "13.4%"), IF(INDIRECT(ADDRESS(ROW() + (0),COLUMN() + (-1)))="No agregar cuotas", IF(("")="", "Sin costo", ""), "-"))</f>
        <v/>
      </c>
      <c r="M674" s="0" t="n"/>
      <c r="N674" s="0" t="n"/>
      <c r="O674" s="0" t="n"/>
      <c r="P674" s="47" t="n"/>
      <c r="R674" s="0" t="n"/>
      <c r="S674" s="0" t="n"/>
      <c r="U674" s="0" t="n"/>
      <c r="X674" s="0" t="n"/>
      <c r="AA674" s="0" t="n"/>
      <c r="AB6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4" s="53">
        <f>IF(OR(TRIM(INDIRECT("B"&amp;ROW())) &lt;&gt; "",TRIM(INDIRECT("A"&amp;ROW())) &lt;&gt; ""),AND(TRIM(INDIRECT("A"&amp;ROW())) &lt;&gt; "",TRIM(INDIRECT("D"&amp;ROW())) = "nuevo"),"")</f>
        <v/>
      </c>
    </row>
    <row r="675" ht="27.5" customHeight="1" s="62">
      <c r="C675" s="0">
        <f>LEN(INDIRECT(ADDRESS(ROW() + (0),COLUMN() + (-1))))</f>
        <v/>
      </c>
      <c r="D675" s="0" t="n"/>
      <c r="E675" s="38" t="n"/>
      <c r="G675" s="40" t="n"/>
      <c r="J675" s="31">
        <f>IF(INDIRECT(ADDRESS(ROW() + (0),COLUMN() + (1)))="Agregar cuotas", IF(("16%")="", "-", "16%"), IF(INDIRECT(ADDRESS(ROW() + (0),COLUMN() + (1)))="No agregar cuotas", IF(("16%")="", "-", "16%"), "-"))</f>
        <v/>
      </c>
      <c r="K675" s="0" t="n"/>
      <c r="L675" s="31">
        <f>IF(INDIRECT(ADDRESS(ROW() + (0),COLUMN() + (-1)))="Agregar cuotas", IF(("13.4%")="", "Sin costo", "13.4%"), IF(INDIRECT(ADDRESS(ROW() + (0),COLUMN() + (-1)))="No agregar cuotas", IF(("")="", "Sin costo", ""), "-"))</f>
        <v/>
      </c>
      <c r="M675" s="0" t="n"/>
      <c r="N675" s="0" t="n"/>
      <c r="O675" s="0" t="n"/>
      <c r="P675" s="47" t="n"/>
      <c r="R675" s="0" t="n"/>
      <c r="S675" s="0" t="n"/>
      <c r="U675" s="0" t="n"/>
      <c r="X675" s="0" t="n"/>
      <c r="AA675" s="0" t="n"/>
      <c r="AB6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5" s="53">
        <f>IF(OR(TRIM(INDIRECT("B"&amp;ROW())) &lt;&gt; "",TRIM(INDIRECT("A"&amp;ROW())) &lt;&gt; ""),AND(TRIM(INDIRECT("A"&amp;ROW())) &lt;&gt; "",TRIM(INDIRECT("D"&amp;ROW())) = "nuevo"),"")</f>
        <v/>
      </c>
    </row>
    <row r="676" ht="27.5" customHeight="1" s="62">
      <c r="C676" s="0">
        <f>LEN(INDIRECT(ADDRESS(ROW() + (0),COLUMN() + (-1))))</f>
        <v/>
      </c>
      <c r="D676" s="0" t="n"/>
      <c r="E676" s="38" t="n"/>
      <c r="G676" s="40" t="n"/>
      <c r="J676" s="31">
        <f>IF(INDIRECT(ADDRESS(ROW() + (0),COLUMN() + (1)))="Agregar cuotas", IF(("16%")="", "-", "16%"), IF(INDIRECT(ADDRESS(ROW() + (0),COLUMN() + (1)))="No agregar cuotas", IF(("16%")="", "-", "16%"), "-"))</f>
        <v/>
      </c>
      <c r="K676" s="0" t="n"/>
      <c r="L676" s="31">
        <f>IF(INDIRECT(ADDRESS(ROW() + (0),COLUMN() + (-1)))="Agregar cuotas", IF(("13.4%")="", "Sin costo", "13.4%"), IF(INDIRECT(ADDRESS(ROW() + (0),COLUMN() + (-1)))="No agregar cuotas", IF(("")="", "Sin costo", ""), "-"))</f>
        <v/>
      </c>
      <c r="M676" s="0" t="n"/>
      <c r="N676" s="0" t="n"/>
      <c r="O676" s="0" t="n"/>
      <c r="P676" s="47" t="n"/>
      <c r="R676" s="0" t="n"/>
      <c r="S676" s="0" t="n"/>
      <c r="U676" s="0" t="n"/>
      <c r="X676" s="0" t="n"/>
      <c r="AA676" s="0" t="n"/>
      <c r="AB6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6" s="53">
        <f>IF(OR(TRIM(INDIRECT("B"&amp;ROW())) &lt;&gt; "",TRIM(INDIRECT("A"&amp;ROW())) &lt;&gt; ""),AND(TRIM(INDIRECT("A"&amp;ROW())) &lt;&gt; "",TRIM(INDIRECT("D"&amp;ROW())) = "nuevo"),"")</f>
        <v/>
      </c>
    </row>
    <row r="677" ht="27.5" customHeight="1" s="62">
      <c r="C677" s="0">
        <f>LEN(INDIRECT(ADDRESS(ROW() + (0),COLUMN() + (-1))))</f>
        <v/>
      </c>
      <c r="D677" s="0" t="n"/>
      <c r="E677" s="38" t="n"/>
      <c r="G677" s="40" t="n"/>
      <c r="J677" s="31">
        <f>IF(INDIRECT(ADDRESS(ROW() + (0),COLUMN() + (1)))="Agregar cuotas", IF(("16%")="", "-", "16%"), IF(INDIRECT(ADDRESS(ROW() + (0),COLUMN() + (1)))="No agregar cuotas", IF(("16%")="", "-", "16%"), "-"))</f>
        <v/>
      </c>
      <c r="K677" s="0" t="n"/>
      <c r="L677" s="31">
        <f>IF(INDIRECT(ADDRESS(ROW() + (0),COLUMN() + (-1)))="Agregar cuotas", IF(("13.4%")="", "Sin costo", "13.4%"), IF(INDIRECT(ADDRESS(ROW() + (0),COLUMN() + (-1)))="No agregar cuotas", IF(("")="", "Sin costo", ""), "-"))</f>
        <v/>
      </c>
      <c r="M677" s="0" t="n"/>
      <c r="N677" s="0" t="n"/>
      <c r="O677" s="0" t="n"/>
      <c r="P677" s="47" t="n"/>
      <c r="R677" s="0" t="n"/>
      <c r="S677" s="0" t="n"/>
      <c r="U677" s="0" t="n"/>
      <c r="X677" s="0" t="n"/>
      <c r="AA677" s="0" t="n"/>
      <c r="AB6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7" s="53">
        <f>IF(OR(TRIM(INDIRECT("B"&amp;ROW())) &lt;&gt; "",TRIM(INDIRECT("A"&amp;ROW())) &lt;&gt; ""),AND(TRIM(INDIRECT("A"&amp;ROW())) &lt;&gt; "",TRIM(INDIRECT("D"&amp;ROW())) = "nuevo"),"")</f>
        <v/>
      </c>
    </row>
    <row r="678" ht="27.5" customHeight="1" s="62">
      <c r="C678" s="0">
        <f>LEN(INDIRECT(ADDRESS(ROW() + (0),COLUMN() + (-1))))</f>
        <v/>
      </c>
      <c r="D678" s="0" t="n"/>
      <c r="E678" s="38" t="n"/>
      <c r="G678" s="40" t="n"/>
      <c r="J678" s="31">
        <f>IF(INDIRECT(ADDRESS(ROW() + (0),COLUMN() + (1)))="Agregar cuotas", IF(("16%")="", "-", "16%"), IF(INDIRECT(ADDRESS(ROW() + (0),COLUMN() + (1)))="No agregar cuotas", IF(("16%")="", "-", "16%"), "-"))</f>
        <v/>
      </c>
      <c r="K678" s="0" t="n"/>
      <c r="L678" s="31">
        <f>IF(INDIRECT(ADDRESS(ROW() + (0),COLUMN() + (-1)))="Agregar cuotas", IF(("13.4%")="", "Sin costo", "13.4%"), IF(INDIRECT(ADDRESS(ROW() + (0),COLUMN() + (-1)))="No agregar cuotas", IF(("")="", "Sin costo", ""), "-"))</f>
        <v/>
      </c>
      <c r="M678" s="0" t="n"/>
      <c r="N678" s="0" t="n"/>
      <c r="O678" s="0" t="n"/>
      <c r="P678" s="47" t="n"/>
      <c r="R678" s="0" t="n"/>
      <c r="S678" s="0" t="n"/>
      <c r="U678" s="0" t="n"/>
      <c r="X678" s="0" t="n"/>
      <c r="AA678" s="0" t="n"/>
      <c r="AB6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8" s="53">
        <f>IF(OR(TRIM(INDIRECT("B"&amp;ROW())) &lt;&gt; "",TRIM(INDIRECT("A"&amp;ROW())) &lt;&gt; ""),AND(TRIM(INDIRECT("A"&amp;ROW())) &lt;&gt; "",TRIM(INDIRECT("D"&amp;ROW())) = "nuevo"),"")</f>
        <v/>
      </c>
    </row>
    <row r="679" ht="27.5" customHeight="1" s="62">
      <c r="C679" s="0">
        <f>LEN(INDIRECT(ADDRESS(ROW() + (0),COLUMN() + (-1))))</f>
        <v/>
      </c>
      <c r="D679" s="0" t="n"/>
      <c r="E679" s="38" t="n"/>
      <c r="G679" s="40" t="n"/>
      <c r="J679" s="31">
        <f>IF(INDIRECT(ADDRESS(ROW() + (0),COLUMN() + (1)))="Agregar cuotas", IF(("16%")="", "-", "16%"), IF(INDIRECT(ADDRESS(ROW() + (0),COLUMN() + (1)))="No agregar cuotas", IF(("16%")="", "-", "16%"), "-"))</f>
        <v/>
      </c>
      <c r="K679" s="0" t="n"/>
      <c r="L679" s="31">
        <f>IF(INDIRECT(ADDRESS(ROW() + (0),COLUMN() + (-1)))="Agregar cuotas", IF(("13.4%")="", "Sin costo", "13.4%"), IF(INDIRECT(ADDRESS(ROW() + (0),COLUMN() + (-1)))="No agregar cuotas", IF(("")="", "Sin costo", ""), "-"))</f>
        <v/>
      </c>
      <c r="M679" s="0" t="n"/>
      <c r="N679" s="0" t="n"/>
      <c r="O679" s="0" t="n"/>
      <c r="P679" s="47" t="n"/>
      <c r="R679" s="0" t="n"/>
      <c r="S679" s="0" t="n"/>
      <c r="U679" s="0" t="n"/>
      <c r="X679" s="0" t="n"/>
      <c r="AA679" s="0" t="n"/>
      <c r="AB6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79" s="53">
        <f>IF(OR(TRIM(INDIRECT("B"&amp;ROW())) &lt;&gt; "",TRIM(INDIRECT("A"&amp;ROW())) &lt;&gt; ""),AND(TRIM(INDIRECT("A"&amp;ROW())) &lt;&gt; "",TRIM(INDIRECT("D"&amp;ROW())) = "nuevo"),"")</f>
        <v/>
      </c>
    </row>
    <row r="680" ht="27.5" customHeight="1" s="62">
      <c r="C680" s="0">
        <f>LEN(INDIRECT(ADDRESS(ROW() + (0),COLUMN() + (-1))))</f>
        <v/>
      </c>
      <c r="D680" s="0" t="n"/>
      <c r="E680" s="38" t="n"/>
      <c r="G680" s="40" t="n"/>
      <c r="J680" s="31">
        <f>IF(INDIRECT(ADDRESS(ROW() + (0),COLUMN() + (1)))="Agregar cuotas", IF(("16%")="", "-", "16%"), IF(INDIRECT(ADDRESS(ROW() + (0),COLUMN() + (1)))="No agregar cuotas", IF(("16%")="", "-", "16%"), "-"))</f>
        <v/>
      </c>
      <c r="K680" s="0" t="n"/>
      <c r="L680" s="31">
        <f>IF(INDIRECT(ADDRESS(ROW() + (0),COLUMN() + (-1)))="Agregar cuotas", IF(("13.4%")="", "Sin costo", "13.4%"), IF(INDIRECT(ADDRESS(ROW() + (0),COLUMN() + (-1)))="No agregar cuotas", IF(("")="", "Sin costo", ""), "-"))</f>
        <v/>
      </c>
      <c r="M680" s="0" t="n"/>
      <c r="N680" s="0" t="n"/>
      <c r="O680" s="0" t="n"/>
      <c r="P680" s="47" t="n"/>
      <c r="R680" s="0" t="n"/>
      <c r="S680" s="0" t="n"/>
      <c r="U680" s="0" t="n"/>
      <c r="X680" s="0" t="n"/>
      <c r="AA680" s="0" t="n"/>
      <c r="AB6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0" s="53">
        <f>IF(OR(TRIM(INDIRECT("B"&amp;ROW())) &lt;&gt; "",TRIM(INDIRECT("A"&amp;ROW())) &lt;&gt; ""),AND(TRIM(INDIRECT("A"&amp;ROW())) &lt;&gt; "",TRIM(INDIRECT("D"&amp;ROW())) = "nuevo"),"")</f>
        <v/>
      </c>
    </row>
    <row r="681" ht="27.5" customHeight="1" s="62">
      <c r="C681" s="0">
        <f>LEN(INDIRECT(ADDRESS(ROW() + (0),COLUMN() + (-1))))</f>
        <v/>
      </c>
      <c r="D681" s="0" t="n"/>
      <c r="E681" s="38" t="n"/>
      <c r="G681" s="40" t="n"/>
      <c r="J681" s="31">
        <f>IF(INDIRECT(ADDRESS(ROW() + (0),COLUMN() + (1)))="Agregar cuotas", IF(("16%")="", "-", "16%"), IF(INDIRECT(ADDRESS(ROW() + (0),COLUMN() + (1)))="No agregar cuotas", IF(("16%")="", "-", "16%"), "-"))</f>
        <v/>
      </c>
      <c r="K681" s="0" t="n"/>
      <c r="L681" s="31">
        <f>IF(INDIRECT(ADDRESS(ROW() + (0),COLUMN() + (-1)))="Agregar cuotas", IF(("13.4%")="", "Sin costo", "13.4%"), IF(INDIRECT(ADDRESS(ROW() + (0),COLUMN() + (-1)))="No agregar cuotas", IF(("")="", "Sin costo", ""), "-"))</f>
        <v/>
      </c>
      <c r="M681" s="0" t="n"/>
      <c r="N681" s="0" t="n"/>
      <c r="O681" s="0" t="n"/>
      <c r="P681" s="47" t="n"/>
      <c r="R681" s="0" t="n"/>
      <c r="S681" s="0" t="n"/>
      <c r="U681" s="0" t="n"/>
      <c r="X681" s="0" t="n"/>
      <c r="AA681" s="0" t="n"/>
      <c r="AB6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1" s="53">
        <f>IF(OR(TRIM(INDIRECT("B"&amp;ROW())) &lt;&gt; "",TRIM(INDIRECT("A"&amp;ROW())) &lt;&gt; ""),AND(TRIM(INDIRECT("A"&amp;ROW())) &lt;&gt; "",TRIM(INDIRECT("D"&amp;ROW())) = "nuevo"),"")</f>
        <v/>
      </c>
    </row>
    <row r="682" ht="27.5" customHeight="1" s="62">
      <c r="C682" s="0">
        <f>LEN(INDIRECT(ADDRESS(ROW() + (0),COLUMN() + (-1))))</f>
        <v/>
      </c>
      <c r="D682" s="0" t="n"/>
      <c r="E682" s="38" t="n"/>
      <c r="G682" s="40" t="n"/>
      <c r="J682" s="31">
        <f>IF(INDIRECT(ADDRESS(ROW() + (0),COLUMN() + (1)))="Agregar cuotas", IF(("16%")="", "-", "16%"), IF(INDIRECT(ADDRESS(ROW() + (0),COLUMN() + (1)))="No agregar cuotas", IF(("16%")="", "-", "16%"), "-"))</f>
        <v/>
      </c>
      <c r="K682" s="0" t="n"/>
      <c r="L682" s="31">
        <f>IF(INDIRECT(ADDRESS(ROW() + (0),COLUMN() + (-1)))="Agregar cuotas", IF(("13.4%")="", "Sin costo", "13.4%"), IF(INDIRECT(ADDRESS(ROW() + (0),COLUMN() + (-1)))="No agregar cuotas", IF(("")="", "Sin costo", ""), "-"))</f>
        <v/>
      </c>
      <c r="M682" s="0" t="n"/>
      <c r="N682" s="0" t="n"/>
      <c r="O682" s="0" t="n"/>
      <c r="P682" s="47" t="n"/>
      <c r="R682" s="0" t="n"/>
      <c r="S682" s="0" t="n"/>
      <c r="U682" s="0" t="n"/>
      <c r="X682" s="0" t="n"/>
      <c r="AA682" s="0" t="n"/>
      <c r="AB6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2" s="53">
        <f>IF(OR(TRIM(INDIRECT("B"&amp;ROW())) &lt;&gt; "",TRIM(INDIRECT("A"&amp;ROW())) &lt;&gt; ""),AND(TRIM(INDIRECT("A"&amp;ROW())) &lt;&gt; "",TRIM(INDIRECT("D"&amp;ROW())) = "nuevo"),"")</f>
        <v/>
      </c>
    </row>
    <row r="683" ht="27.5" customHeight="1" s="62">
      <c r="C683" s="0">
        <f>LEN(INDIRECT(ADDRESS(ROW() + (0),COLUMN() + (-1))))</f>
        <v/>
      </c>
      <c r="D683" s="0" t="n"/>
      <c r="E683" s="38" t="n"/>
      <c r="G683" s="40" t="n"/>
      <c r="J683" s="31">
        <f>IF(INDIRECT(ADDRESS(ROW() + (0),COLUMN() + (1)))="Agregar cuotas", IF(("16%")="", "-", "16%"), IF(INDIRECT(ADDRESS(ROW() + (0),COLUMN() + (1)))="No agregar cuotas", IF(("16%")="", "-", "16%"), "-"))</f>
        <v/>
      </c>
      <c r="K683" s="0" t="n"/>
      <c r="L683" s="31">
        <f>IF(INDIRECT(ADDRESS(ROW() + (0),COLUMN() + (-1)))="Agregar cuotas", IF(("13.4%")="", "Sin costo", "13.4%"), IF(INDIRECT(ADDRESS(ROW() + (0),COLUMN() + (-1)))="No agregar cuotas", IF(("")="", "Sin costo", ""), "-"))</f>
        <v/>
      </c>
      <c r="M683" s="0" t="n"/>
      <c r="N683" s="0" t="n"/>
      <c r="O683" s="0" t="n"/>
      <c r="P683" s="47" t="n"/>
      <c r="R683" s="0" t="n"/>
      <c r="S683" s="0" t="n"/>
      <c r="U683" s="0" t="n"/>
      <c r="X683" s="0" t="n"/>
      <c r="AA683" s="0" t="n"/>
      <c r="AB6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3" s="53">
        <f>IF(OR(TRIM(INDIRECT("B"&amp;ROW())) &lt;&gt; "",TRIM(INDIRECT("A"&amp;ROW())) &lt;&gt; ""),AND(TRIM(INDIRECT("A"&amp;ROW())) &lt;&gt; "",TRIM(INDIRECT("D"&amp;ROW())) = "nuevo"),"")</f>
        <v/>
      </c>
    </row>
    <row r="684" ht="27.5" customHeight="1" s="62">
      <c r="C684" s="0">
        <f>LEN(INDIRECT(ADDRESS(ROW() + (0),COLUMN() + (-1))))</f>
        <v/>
      </c>
      <c r="D684" s="0" t="n"/>
      <c r="E684" s="38" t="n"/>
      <c r="G684" s="40" t="n"/>
      <c r="J684" s="31">
        <f>IF(INDIRECT(ADDRESS(ROW() + (0),COLUMN() + (1)))="Agregar cuotas", IF(("16%")="", "-", "16%"), IF(INDIRECT(ADDRESS(ROW() + (0),COLUMN() + (1)))="No agregar cuotas", IF(("16%")="", "-", "16%"), "-"))</f>
        <v/>
      </c>
      <c r="K684" s="0" t="n"/>
      <c r="L684" s="31">
        <f>IF(INDIRECT(ADDRESS(ROW() + (0),COLUMN() + (-1)))="Agregar cuotas", IF(("13.4%")="", "Sin costo", "13.4%"), IF(INDIRECT(ADDRESS(ROW() + (0),COLUMN() + (-1)))="No agregar cuotas", IF(("")="", "Sin costo", ""), "-"))</f>
        <v/>
      </c>
      <c r="M684" s="0" t="n"/>
      <c r="N684" s="0" t="n"/>
      <c r="O684" s="0" t="n"/>
      <c r="P684" s="47" t="n"/>
      <c r="R684" s="0" t="n"/>
      <c r="S684" s="0" t="n"/>
      <c r="U684" s="0" t="n"/>
      <c r="X684" s="0" t="n"/>
      <c r="AA684" s="0" t="n"/>
      <c r="AB6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4" s="53">
        <f>IF(OR(TRIM(INDIRECT("B"&amp;ROW())) &lt;&gt; "",TRIM(INDIRECT("A"&amp;ROW())) &lt;&gt; ""),AND(TRIM(INDIRECT("A"&amp;ROW())) &lt;&gt; "",TRIM(INDIRECT("D"&amp;ROW())) = "nuevo"),"")</f>
        <v/>
      </c>
    </row>
    <row r="685" ht="27.5" customHeight="1" s="62">
      <c r="C685" s="0">
        <f>LEN(INDIRECT(ADDRESS(ROW() + (0),COLUMN() + (-1))))</f>
        <v/>
      </c>
      <c r="D685" s="0" t="n"/>
      <c r="E685" s="38" t="n"/>
      <c r="G685" s="40" t="n"/>
      <c r="J685" s="31">
        <f>IF(INDIRECT(ADDRESS(ROW() + (0),COLUMN() + (1)))="Agregar cuotas", IF(("16%")="", "-", "16%"), IF(INDIRECT(ADDRESS(ROW() + (0),COLUMN() + (1)))="No agregar cuotas", IF(("16%")="", "-", "16%"), "-"))</f>
        <v/>
      </c>
      <c r="K685" s="0" t="n"/>
      <c r="L685" s="31">
        <f>IF(INDIRECT(ADDRESS(ROW() + (0),COLUMN() + (-1)))="Agregar cuotas", IF(("13.4%")="", "Sin costo", "13.4%"), IF(INDIRECT(ADDRESS(ROW() + (0),COLUMN() + (-1)))="No agregar cuotas", IF(("")="", "Sin costo", ""), "-"))</f>
        <v/>
      </c>
      <c r="M685" s="0" t="n"/>
      <c r="N685" s="0" t="n"/>
      <c r="O685" s="0" t="n"/>
      <c r="P685" s="47" t="n"/>
      <c r="R685" s="0" t="n"/>
      <c r="S685" s="0" t="n"/>
      <c r="U685" s="0" t="n"/>
      <c r="X685" s="0" t="n"/>
      <c r="AA685" s="0" t="n"/>
      <c r="AB6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5" s="53">
        <f>IF(OR(TRIM(INDIRECT("B"&amp;ROW())) &lt;&gt; "",TRIM(INDIRECT("A"&amp;ROW())) &lt;&gt; ""),AND(TRIM(INDIRECT("A"&amp;ROW())) &lt;&gt; "",TRIM(INDIRECT("D"&amp;ROW())) = "nuevo"),"")</f>
        <v/>
      </c>
    </row>
    <row r="686" ht="27.5" customHeight="1" s="62">
      <c r="C686" s="0">
        <f>LEN(INDIRECT(ADDRESS(ROW() + (0),COLUMN() + (-1))))</f>
        <v/>
      </c>
      <c r="D686" s="0" t="n"/>
      <c r="E686" s="38" t="n"/>
      <c r="G686" s="40" t="n"/>
      <c r="J686" s="31">
        <f>IF(INDIRECT(ADDRESS(ROW() + (0),COLUMN() + (1)))="Agregar cuotas", IF(("16%")="", "-", "16%"), IF(INDIRECT(ADDRESS(ROW() + (0),COLUMN() + (1)))="No agregar cuotas", IF(("16%")="", "-", "16%"), "-"))</f>
        <v/>
      </c>
      <c r="K686" s="0" t="n"/>
      <c r="L686" s="31">
        <f>IF(INDIRECT(ADDRESS(ROW() + (0),COLUMN() + (-1)))="Agregar cuotas", IF(("13.4%")="", "Sin costo", "13.4%"), IF(INDIRECT(ADDRESS(ROW() + (0),COLUMN() + (-1)))="No agregar cuotas", IF(("")="", "Sin costo", ""), "-"))</f>
        <v/>
      </c>
      <c r="M686" s="0" t="n"/>
      <c r="N686" s="0" t="n"/>
      <c r="O686" s="0" t="n"/>
      <c r="P686" s="47" t="n"/>
      <c r="R686" s="0" t="n"/>
      <c r="S686" s="0" t="n"/>
      <c r="U686" s="0" t="n"/>
      <c r="X686" s="0" t="n"/>
      <c r="AA686" s="0" t="n"/>
      <c r="AB6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6" s="53">
        <f>IF(OR(TRIM(INDIRECT("B"&amp;ROW())) &lt;&gt; "",TRIM(INDIRECT("A"&amp;ROW())) &lt;&gt; ""),AND(TRIM(INDIRECT("A"&amp;ROW())) &lt;&gt; "",TRIM(INDIRECT("D"&amp;ROW())) = "nuevo"),"")</f>
        <v/>
      </c>
    </row>
    <row r="687" ht="27.5" customHeight="1" s="62">
      <c r="C687" s="0">
        <f>LEN(INDIRECT(ADDRESS(ROW() + (0),COLUMN() + (-1))))</f>
        <v/>
      </c>
      <c r="D687" s="0" t="n"/>
      <c r="E687" s="38" t="n"/>
      <c r="G687" s="40" t="n"/>
      <c r="J687" s="31">
        <f>IF(INDIRECT(ADDRESS(ROW() + (0),COLUMN() + (1)))="Agregar cuotas", IF(("16%")="", "-", "16%"), IF(INDIRECT(ADDRESS(ROW() + (0),COLUMN() + (1)))="No agregar cuotas", IF(("16%")="", "-", "16%"), "-"))</f>
        <v/>
      </c>
      <c r="K687" s="0" t="n"/>
      <c r="L687" s="31">
        <f>IF(INDIRECT(ADDRESS(ROW() + (0),COLUMN() + (-1)))="Agregar cuotas", IF(("13.4%")="", "Sin costo", "13.4%"), IF(INDIRECT(ADDRESS(ROW() + (0),COLUMN() + (-1)))="No agregar cuotas", IF(("")="", "Sin costo", ""), "-"))</f>
        <v/>
      </c>
      <c r="M687" s="0" t="n"/>
      <c r="N687" s="0" t="n"/>
      <c r="O687" s="0" t="n"/>
      <c r="P687" s="47" t="n"/>
      <c r="R687" s="0" t="n"/>
      <c r="S687" s="0" t="n"/>
      <c r="U687" s="0" t="n"/>
      <c r="X687" s="0" t="n"/>
      <c r="AA687" s="0" t="n"/>
      <c r="AB6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7" s="53">
        <f>IF(OR(TRIM(INDIRECT("B"&amp;ROW())) &lt;&gt; "",TRIM(INDIRECT("A"&amp;ROW())) &lt;&gt; ""),AND(TRIM(INDIRECT("A"&amp;ROW())) &lt;&gt; "",TRIM(INDIRECT("D"&amp;ROW())) = "nuevo"),"")</f>
        <v/>
      </c>
    </row>
    <row r="688" ht="27.5" customHeight="1" s="62">
      <c r="C688" s="0">
        <f>LEN(INDIRECT(ADDRESS(ROW() + (0),COLUMN() + (-1))))</f>
        <v/>
      </c>
      <c r="D688" s="0" t="n"/>
      <c r="E688" s="38" t="n"/>
      <c r="G688" s="40" t="n"/>
      <c r="J688" s="31">
        <f>IF(INDIRECT(ADDRESS(ROW() + (0),COLUMN() + (1)))="Agregar cuotas", IF(("16%")="", "-", "16%"), IF(INDIRECT(ADDRESS(ROW() + (0),COLUMN() + (1)))="No agregar cuotas", IF(("16%")="", "-", "16%"), "-"))</f>
        <v/>
      </c>
      <c r="K688" s="0" t="n"/>
      <c r="L688" s="31">
        <f>IF(INDIRECT(ADDRESS(ROW() + (0),COLUMN() + (-1)))="Agregar cuotas", IF(("13.4%")="", "Sin costo", "13.4%"), IF(INDIRECT(ADDRESS(ROW() + (0),COLUMN() + (-1)))="No agregar cuotas", IF(("")="", "Sin costo", ""), "-"))</f>
        <v/>
      </c>
      <c r="M688" s="0" t="n"/>
      <c r="N688" s="0" t="n"/>
      <c r="O688" s="0" t="n"/>
      <c r="P688" s="47" t="n"/>
      <c r="R688" s="0" t="n"/>
      <c r="S688" s="0" t="n"/>
      <c r="U688" s="0" t="n"/>
      <c r="X688" s="0" t="n"/>
      <c r="AA688" s="0" t="n"/>
      <c r="AB6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8" s="53">
        <f>IF(OR(TRIM(INDIRECT("B"&amp;ROW())) &lt;&gt; "",TRIM(INDIRECT("A"&amp;ROW())) &lt;&gt; ""),AND(TRIM(INDIRECT("A"&amp;ROW())) &lt;&gt; "",TRIM(INDIRECT("D"&amp;ROW())) = "nuevo"),"")</f>
        <v/>
      </c>
    </row>
    <row r="689" ht="27.5" customHeight="1" s="62">
      <c r="C689" s="0">
        <f>LEN(INDIRECT(ADDRESS(ROW() + (0),COLUMN() + (-1))))</f>
        <v/>
      </c>
      <c r="D689" s="0" t="n"/>
      <c r="E689" s="38" t="n"/>
      <c r="G689" s="40" t="n"/>
      <c r="J689" s="31">
        <f>IF(INDIRECT(ADDRESS(ROW() + (0),COLUMN() + (1)))="Agregar cuotas", IF(("16%")="", "-", "16%"), IF(INDIRECT(ADDRESS(ROW() + (0),COLUMN() + (1)))="No agregar cuotas", IF(("16%")="", "-", "16%"), "-"))</f>
        <v/>
      </c>
      <c r="K689" s="0" t="n"/>
      <c r="L689" s="31">
        <f>IF(INDIRECT(ADDRESS(ROW() + (0),COLUMN() + (-1)))="Agregar cuotas", IF(("13.4%")="", "Sin costo", "13.4%"), IF(INDIRECT(ADDRESS(ROW() + (0),COLUMN() + (-1)))="No agregar cuotas", IF(("")="", "Sin costo", ""), "-"))</f>
        <v/>
      </c>
      <c r="M689" s="0" t="n"/>
      <c r="N689" s="0" t="n"/>
      <c r="O689" s="0" t="n"/>
      <c r="P689" s="47" t="n"/>
      <c r="R689" s="0" t="n"/>
      <c r="S689" s="0" t="n"/>
      <c r="U689" s="0" t="n"/>
      <c r="X689" s="0" t="n"/>
      <c r="AA689" s="0" t="n"/>
      <c r="AB6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89" s="53">
        <f>IF(OR(TRIM(INDIRECT("B"&amp;ROW())) &lt;&gt; "",TRIM(INDIRECT("A"&amp;ROW())) &lt;&gt; ""),AND(TRIM(INDIRECT("A"&amp;ROW())) &lt;&gt; "",TRIM(INDIRECT("D"&amp;ROW())) = "nuevo"),"")</f>
        <v/>
      </c>
    </row>
    <row r="690" ht="27.5" customHeight="1" s="62">
      <c r="C690" s="0">
        <f>LEN(INDIRECT(ADDRESS(ROW() + (0),COLUMN() + (-1))))</f>
        <v/>
      </c>
      <c r="D690" s="0" t="n"/>
      <c r="E690" s="38" t="n"/>
      <c r="G690" s="40" t="n"/>
      <c r="J690" s="31">
        <f>IF(INDIRECT(ADDRESS(ROW() + (0),COLUMN() + (1)))="Agregar cuotas", IF(("16%")="", "-", "16%"), IF(INDIRECT(ADDRESS(ROW() + (0),COLUMN() + (1)))="No agregar cuotas", IF(("16%")="", "-", "16%"), "-"))</f>
        <v/>
      </c>
      <c r="K690" s="0" t="n"/>
      <c r="L690" s="31">
        <f>IF(INDIRECT(ADDRESS(ROW() + (0),COLUMN() + (-1)))="Agregar cuotas", IF(("13.4%")="", "Sin costo", "13.4%"), IF(INDIRECT(ADDRESS(ROW() + (0),COLUMN() + (-1)))="No agregar cuotas", IF(("")="", "Sin costo", ""), "-"))</f>
        <v/>
      </c>
      <c r="M690" s="0" t="n"/>
      <c r="N690" s="0" t="n"/>
      <c r="O690" s="0" t="n"/>
      <c r="P690" s="47" t="n"/>
      <c r="R690" s="0" t="n"/>
      <c r="S690" s="0" t="n"/>
      <c r="U690" s="0" t="n"/>
      <c r="X690" s="0" t="n"/>
      <c r="AA690" s="0" t="n"/>
      <c r="AB6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0" s="53">
        <f>IF(OR(TRIM(INDIRECT("B"&amp;ROW())) &lt;&gt; "",TRIM(INDIRECT("A"&amp;ROW())) &lt;&gt; ""),AND(TRIM(INDIRECT("A"&amp;ROW())) &lt;&gt; "",TRIM(INDIRECT("D"&amp;ROW())) = "nuevo"),"")</f>
        <v/>
      </c>
    </row>
    <row r="691" ht="27.5" customHeight="1" s="62">
      <c r="C691" s="0">
        <f>LEN(INDIRECT(ADDRESS(ROW() + (0),COLUMN() + (-1))))</f>
        <v/>
      </c>
      <c r="D691" s="0" t="n"/>
      <c r="E691" s="38" t="n"/>
      <c r="G691" s="40" t="n"/>
      <c r="J691" s="31">
        <f>IF(INDIRECT(ADDRESS(ROW() + (0),COLUMN() + (1)))="Agregar cuotas", IF(("16%")="", "-", "16%"), IF(INDIRECT(ADDRESS(ROW() + (0),COLUMN() + (1)))="No agregar cuotas", IF(("16%")="", "-", "16%"), "-"))</f>
        <v/>
      </c>
      <c r="K691" s="0" t="n"/>
      <c r="L691" s="31">
        <f>IF(INDIRECT(ADDRESS(ROW() + (0),COLUMN() + (-1)))="Agregar cuotas", IF(("13.4%")="", "Sin costo", "13.4%"), IF(INDIRECT(ADDRESS(ROW() + (0),COLUMN() + (-1)))="No agregar cuotas", IF(("")="", "Sin costo", ""), "-"))</f>
        <v/>
      </c>
      <c r="M691" s="0" t="n"/>
      <c r="N691" s="0" t="n"/>
      <c r="O691" s="0" t="n"/>
      <c r="P691" s="47" t="n"/>
      <c r="R691" s="0" t="n"/>
      <c r="S691" s="0" t="n"/>
      <c r="U691" s="0" t="n"/>
      <c r="X691" s="0" t="n"/>
      <c r="AA691" s="0" t="n"/>
      <c r="AB6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1" s="53">
        <f>IF(OR(TRIM(INDIRECT("B"&amp;ROW())) &lt;&gt; "",TRIM(INDIRECT("A"&amp;ROW())) &lt;&gt; ""),AND(TRIM(INDIRECT("A"&amp;ROW())) &lt;&gt; "",TRIM(INDIRECT("D"&amp;ROW())) = "nuevo"),"")</f>
        <v/>
      </c>
    </row>
    <row r="692" ht="27.5" customHeight="1" s="62">
      <c r="C692" s="0">
        <f>LEN(INDIRECT(ADDRESS(ROW() + (0),COLUMN() + (-1))))</f>
        <v/>
      </c>
      <c r="D692" s="0" t="n"/>
      <c r="E692" s="38" t="n"/>
      <c r="G692" s="40" t="n"/>
      <c r="J692" s="31">
        <f>IF(INDIRECT(ADDRESS(ROW() + (0),COLUMN() + (1)))="Agregar cuotas", IF(("16%")="", "-", "16%"), IF(INDIRECT(ADDRESS(ROW() + (0),COLUMN() + (1)))="No agregar cuotas", IF(("16%")="", "-", "16%"), "-"))</f>
        <v/>
      </c>
      <c r="K692" s="0" t="n"/>
      <c r="L692" s="31">
        <f>IF(INDIRECT(ADDRESS(ROW() + (0),COLUMN() + (-1)))="Agregar cuotas", IF(("13.4%")="", "Sin costo", "13.4%"), IF(INDIRECT(ADDRESS(ROW() + (0),COLUMN() + (-1)))="No agregar cuotas", IF(("")="", "Sin costo", ""), "-"))</f>
        <v/>
      </c>
      <c r="M692" s="0" t="n"/>
      <c r="N692" s="0" t="n"/>
      <c r="O692" s="0" t="n"/>
      <c r="P692" s="47" t="n"/>
      <c r="R692" s="0" t="n"/>
      <c r="S692" s="0" t="n"/>
      <c r="U692" s="0" t="n"/>
      <c r="X692" s="0" t="n"/>
      <c r="AA692" s="0" t="n"/>
      <c r="AB6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2" s="53">
        <f>IF(OR(TRIM(INDIRECT("B"&amp;ROW())) &lt;&gt; "",TRIM(INDIRECT("A"&amp;ROW())) &lt;&gt; ""),AND(TRIM(INDIRECT("A"&amp;ROW())) &lt;&gt; "",TRIM(INDIRECT("D"&amp;ROW())) = "nuevo"),"")</f>
        <v/>
      </c>
    </row>
    <row r="693" ht="27.5" customHeight="1" s="62">
      <c r="C693" s="0">
        <f>LEN(INDIRECT(ADDRESS(ROW() + (0),COLUMN() + (-1))))</f>
        <v/>
      </c>
      <c r="D693" s="0" t="n"/>
      <c r="E693" s="38" t="n"/>
      <c r="G693" s="40" t="n"/>
      <c r="J693" s="31">
        <f>IF(INDIRECT(ADDRESS(ROW() + (0),COLUMN() + (1)))="Agregar cuotas", IF(("16%")="", "-", "16%"), IF(INDIRECT(ADDRESS(ROW() + (0),COLUMN() + (1)))="No agregar cuotas", IF(("16%")="", "-", "16%"), "-"))</f>
        <v/>
      </c>
      <c r="K693" s="0" t="n"/>
      <c r="L693" s="31">
        <f>IF(INDIRECT(ADDRESS(ROW() + (0),COLUMN() + (-1)))="Agregar cuotas", IF(("13.4%")="", "Sin costo", "13.4%"), IF(INDIRECT(ADDRESS(ROW() + (0),COLUMN() + (-1)))="No agregar cuotas", IF(("")="", "Sin costo", ""), "-"))</f>
        <v/>
      </c>
      <c r="M693" s="0" t="n"/>
      <c r="N693" s="0" t="n"/>
      <c r="O693" s="0" t="n"/>
      <c r="P693" s="47" t="n"/>
      <c r="R693" s="0" t="n"/>
      <c r="S693" s="0" t="n"/>
      <c r="U693" s="0" t="n"/>
      <c r="X693" s="0" t="n"/>
      <c r="AA693" s="0" t="n"/>
      <c r="AB6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3" s="53">
        <f>IF(OR(TRIM(INDIRECT("B"&amp;ROW())) &lt;&gt; "",TRIM(INDIRECT("A"&amp;ROW())) &lt;&gt; ""),AND(TRIM(INDIRECT("A"&amp;ROW())) &lt;&gt; "",TRIM(INDIRECT("D"&amp;ROW())) = "nuevo"),"")</f>
        <v/>
      </c>
    </row>
    <row r="694" ht="27.5" customHeight="1" s="62">
      <c r="C694" s="0">
        <f>LEN(INDIRECT(ADDRESS(ROW() + (0),COLUMN() + (-1))))</f>
        <v/>
      </c>
      <c r="D694" s="0" t="n"/>
      <c r="E694" s="38" t="n"/>
      <c r="G694" s="40" t="n"/>
      <c r="J694" s="31">
        <f>IF(INDIRECT(ADDRESS(ROW() + (0),COLUMN() + (1)))="Agregar cuotas", IF(("16%")="", "-", "16%"), IF(INDIRECT(ADDRESS(ROW() + (0),COLUMN() + (1)))="No agregar cuotas", IF(("16%")="", "-", "16%"), "-"))</f>
        <v/>
      </c>
      <c r="K694" s="0" t="n"/>
      <c r="L694" s="31">
        <f>IF(INDIRECT(ADDRESS(ROW() + (0),COLUMN() + (-1)))="Agregar cuotas", IF(("13.4%")="", "Sin costo", "13.4%"), IF(INDIRECT(ADDRESS(ROW() + (0),COLUMN() + (-1)))="No agregar cuotas", IF(("")="", "Sin costo", ""), "-"))</f>
        <v/>
      </c>
      <c r="M694" s="0" t="n"/>
      <c r="N694" s="0" t="n"/>
      <c r="O694" s="0" t="n"/>
      <c r="P694" s="47" t="n"/>
      <c r="R694" s="0" t="n"/>
      <c r="S694" s="0" t="n"/>
      <c r="U694" s="0" t="n"/>
      <c r="X694" s="0" t="n"/>
      <c r="AA694" s="0" t="n"/>
      <c r="AB6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4" s="53">
        <f>IF(OR(TRIM(INDIRECT("B"&amp;ROW())) &lt;&gt; "",TRIM(INDIRECT("A"&amp;ROW())) &lt;&gt; ""),AND(TRIM(INDIRECT("A"&amp;ROW())) &lt;&gt; "",TRIM(INDIRECT("D"&amp;ROW())) = "nuevo"),"")</f>
        <v/>
      </c>
    </row>
    <row r="695" ht="27.5" customHeight="1" s="62">
      <c r="C695" s="0">
        <f>LEN(INDIRECT(ADDRESS(ROW() + (0),COLUMN() + (-1))))</f>
        <v/>
      </c>
      <c r="D695" s="0" t="n"/>
      <c r="E695" s="38" t="n"/>
      <c r="G695" s="40" t="n"/>
      <c r="J695" s="31">
        <f>IF(INDIRECT(ADDRESS(ROW() + (0),COLUMN() + (1)))="Agregar cuotas", IF(("16%")="", "-", "16%"), IF(INDIRECT(ADDRESS(ROW() + (0),COLUMN() + (1)))="No agregar cuotas", IF(("16%")="", "-", "16%"), "-"))</f>
        <v/>
      </c>
      <c r="K695" s="0" t="n"/>
      <c r="L695" s="31">
        <f>IF(INDIRECT(ADDRESS(ROW() + (0),COLUMN() + (-1)))="Agregar cuotas", IF(("13.4%")="", "Sin costo", "13.4%"), IF(INDIRECT(ADDRESS(ROW() + (0),COLUMN() + (-1)))="No agregar cuotas", IF(("")="", "Sin costo", ""), "-"))</f>
        <v/>
      </c>
      <c r="M695" s="0" t="n"/>
      <c r="N695" s="0" t="n"/>
      <c r="O695" s="0" t="n"/>
      <c r="P695" s="47" t="n"/>
      <c r="R695" s="0" t="n"/>
      <c r="S695" s="0" t="n"/>
      <c r="U695" s="0" t="n"/>
      <c r="X695" s="0" t="n"/>
      <c r="AA695" s="0" t="n"/>
      <c r="AB6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5" s="53">
        <f>IF(OR(TRIM(INDIRECT("B"&amp;ROW())) &lt;&gt; "",TRIM(INDIRECT("A"&amp;ROW())) &lt;&gt; ""),AND(TRIM(INDIRECT("A"&amp;ROW())) &lt;&gt; "",TRIM(INDIRECT("D"&amp;ROW())) = "nuevo"),"")</f>
        <v/>
      </c>
    </row>
    <row r="696" ht="27.5" customHeight="1" s="62">
      <c r="C696" s="0">
        <f>LEN(INDIRECT(ADDRESS(ROW() + (0),COLUMN() + (-1))))</f>
        <v/>
      </c>
      <c r="D696" s="0" t="n"/>
      <c r="E696" s="38" t="n"/>
      <c r="G696" s="40" t="n"/>
      <c r="J696" s="31">
        <f>IF(INDIRECT(ADDRESS(ROW() + (0),COLUMN() + (1)))="Agregar cuotas", IF(("16%")="", "-", "16%"), IF(INDIRECT(ADDRESS(ROW() + (0),COLUMN() + (1)))="No agregar cuotas", IF(("16%")="", "-", "16%"), "-"))</f>
        <v/>
      </c>
      <c r="K696" s="0" t="n"/>
      <c r="L696" s="31">
        <f>IF(INDIRECT(ADDRESS(ROW() + (0),COLUMN() + (-1)))="Agregar cuotas", IF(("13.4%")="", "Sin costo", "13.4%"), IF(INDIRECT(ADDRESS(ROW() + (0),COLUMN() + (-1)))="No agregar cuotas", IF(("")="", "Sin costo", ""), "-"))</f>
        <v/>
      </c>
      <c r="M696" s="0" t="n"/>
      <c r="N696" s="0" t="n"/>
      <c r="O696" s="0" t="n"/>
      <c r="P696" s="47" t="n"/>
      <c r="R696" s="0" t="n"/>
      <c r="S696" s="0" t="n"/>
      <c r="U696" s="0" t="n"/>
      <c r="X696" s="0" t="n"/>
      <c r="AA696" s="0" t="n"/>
      <c r="AB6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6" s="53">
        <f>IF(OR(TRIM(INDIRECT("B"&amp;ROW())) &lt;&gt; "",TRIM(INDIRECT("A"&amp;ROW())) &lt;&gt; ""),AND(TRIM(INDIRECT("A"&amp;ROW())) &lt;&gt; "",TRIM(INDIRECT("D"&amp;ROW())) = "nuevo"),"")</f>
        <v/>
      </c>
    </row>
    <row r="697" ht="27.5" customHeight="1" s="62">
      <c r="C697" s="0">
        <f>LEN(INDIRECT(ADDRESS(ROW() + (0),COLUMN() + (-1))))</f>
        <v/>
      </c>
      <c r="D697" s="0" t="n"/>
      <c r="E697" s="38" t="n"/>
      <c r="G697" s="40" t="n"/>
      <c r="J697" s="31">
        <f>IF(INDIRECT(ADDRESS(ROW() + (0),COLUMN() + (1)))="Agregar cuotas", IF(("16%")="", "-", "16%"), IF(INDIRECT(ADDRESS(ROW() + (0),COLUMN() + (1)))="No agregar cuotas", IF(("16%")="", "-", "16%"), "-"))</f>
        <v/>
      </c>
      <c r="K697" s="0" t="n"/>
      <c r="L697" s="31">
        <f>IF(INDIRECT(ADDRESS(ROW() + (0),COLUMN() + (-1)))="Agregar cuotas", IF(("13.4%")="", "Sin costo", "13.4%"), IF(INDIRECT(ADDRESS(ROW() + (0),COLUMN() + (-1)))="No agregar cuotas", IF(("")="", "Sin costo", ""), "-"))</f>
        <v/>
      </c>
      <c r="M697" s="0" t="n"/>
      <c r="N697" s="0" t="n"/>
      <c r="O697" s="0" t="n"/>
      <c r="P697" s="47" t="n"/>
      <c r="R697" s="0" t="n"/>
      <c r="S697" s="0" t="n"/>
      <c r="U697" s="0" t="n"/>
      <c r="X697" s="0" t="n"/>
      <c r="AA697" s="0" t="n"/>
      <c r="AB6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7" s="53">
        <f>IF(OR(TRIM(INDIRECT("B"&amp;ROW())) &lt;&gt; "",TRIM(INDIRECT("A"&amp;ROW())) &lt;&gt; ""),AND(TRIM(INDIRECT("A"&amp;ROW())) &lt;&gt; "",TRIM(INDIRECT("D"&amp;ROW())) = "nuevo"),"")</f>
        <v/>
      </c>
    </row>
    <row r="698" ht="27.5" customHeight="1" s="62">
      <c r="C698" s="0">
        <f>LEN(INDIRECT(ADDRESS(ROW() + (0),COLUMN() + (-1))))</f>
        <v/>
      </c>
      <c r="D698" s="0" t="n"/>
      <c r="E698" s="38" t="n"/>
      <c r="G698" s="40" t="n"/>
      <c r="J698" s="31">
        <f>IF(INDIRECT(ADDRESS(ROW() + (0),COLUMN() + (1)))="Agregar cuotas", IF(("16%")="", "-", "16%"), IF(INDIRECT(ADDRESS(ROW() + (0),COLUMN() + (1)))="No agregar cuotas", IF(("16%")="", "-", "16%"), "-"))</f>
        <v/>
      </c>
      <c r="K698" s="0" t="n"/>
      <c r="L698" s="31">
        <f>IF(INDIRECT(ADDRESS(ROW() + (0),COLUMN() + (-1)))="Agregar cuotas", IF(("13.4%")="", "Sin costo", "13.4%"), IF(INDIRECT(ADDRESS(ROW() + (0),COLUMN() + (-1)))="No agregar cuotas", IF(("")="", "Sin costo", ""), "-"))</f>
        <v/>
      </c>
      <c r="M698" s="0" t="n"/>
      <c r="N698" s="0" t="n"/>
      <c r="O698" s="0" t="n"/>
      <c r="P698" s="47" t="n"/>
      <c r="R698" s="0" t="n"/>
      <c r="S698" s="0" t="n"/>
      <c r="U698" s="0" t="n"/>
      <c r="X698" s="0" t="n"/>
      <c r="AA698" s="0" t="n"/>
      <c r="AB6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8" s="53">
        <f>IF(OR(TRIM(INDIRECT("B"&amp;ROW())) &lt;&gt; "",TRIM(INDIRECT("A"&amp;ROW())) &lt;&gt; ""),AND(TRIM(INDIRECT("A"&amp;ROW())) &lt;&gt; "",TRIM(INDIRECT("D"&amp;ROW())) = "nuevo"),"")</f>
        <v/>
      </c>
    </row>
    <row r="699" ht="27.5" customHeight="1" s="62">
      <c r="C699" s="0">
        <f>LEN(INDIRECT(ADDRESS(ROW() + (0),COLUMN() + (-1))))</f>
        <v/>
      </c>
      <c r="D699" s="0" t="n"/>
      <c r="E699" s="38" t="n"/>
      <c r="G699" s="40" t="n"/>
      <c r="J699" s="31">
        <f>IF(INDIRECT(ADDRESS(ROW() + (0),COLUMN() + (1)))="Agregar cuotas", IF(("16%")="", "-", "16%"), IF(INDIRECT(ADDRESS(ROW() + (0),COLUMN() + (1)))="No agregar cuotas", IF(("16%")="", "-", "16%"), "-"))</f>
        <v/>
      </c>
      <c r="K699" s="0" t="n"/>
      <c r="L699" s="31">
        <f>IF(INDIRECT(ADDRESS(ROW() + (0),COLUMN() + (-1)))="Agregar cuotas", IF(("13.4%")="", "Sin costo", "13.4%"), IF(INDIRECT(ADDRESS(ROW() + (0),COLUMN() + (-1)))="No agregar cuotas", IF(("")="", "Sin costo", ""), "-"))</f>
        <v/>
      </c>
      <c r="M699" s="0" t="n"/>
      <c r="N699" s="0" t="n"/>
      <c r="O699" s="0" t="n"/>
      <c r="P699" s="47" t="n"/>
      <c r="R699" s="0" t="n"/>
      <c r="S699" s="0" t="n"/>
      <c r="U699" s="0" t="n"/>
      <c r="X699" s="0" t="n"/>
      <c r="AA699" s="0" t="n"/>
      <c r="AB6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699" s="53">
        <f>IF(OR(TRIM(INDIRECT("B"&amp;ROW())) &lt;&gt; "",TRIM(INDIRECT("A"&amp;ROW())) &lt;&gt; ""),AND(TRIM(INDIRECT("A"&amp;ROW())) &lt;&gt; "",TRIM(INDIRECT("D"&amp;ROW())) = "nuevo"),"")</f>
        <v/>
      </c>
    </row>
    <row r="700" ht="27.5" customHeight="1" s="62">
      <c r="C700" s="0">
        <f>LEN(INDIRECT(ADDRESS(ROW() + (0),COLUMN() + (-1))))</f>
        <v/>
      </c>
      <c r="D700" s="0" t="n"/>
      <c r="E700" s="38" t="n"/>
      <c r="G700" s="40" t="n"/>
      <c r="J700" s="31">
        <f>IF(INDIRECT(ADDRESS(ROW() + (0),COLUMN() + (1)))="Agregar cuotas", IF(("16%")="", "-", "16%"), IF(INDIRECT(ADDRESS(ROW() + (0),COLUMN() + (1)))="No agregar cuotas", IF(("16%")="", "-", "16%"), "-"))</f>
        <v/>
      </c>
      <c r="K700" s="0" t="n"/>
      <c r="L700" s="31">
        <f>IF(INDIRECT(ADDRESS(ROW() + (0),COLUMN() + (-1)))="Agregar cuotas", IF(("13.4%")="", "Sin costo", "13.4%"), IF(INDIRECT(ADDRESS(ROW() + (0),COLUMN() + (-1)))="No agregar cuotas", IF(("")="", "Sin costo", ""), "-"))</f>
        <v/>
      </c>
      <c r="M700" s="0" t="n"/>
      <c r="N700" s="0" t="n"/>
      <c r="O700" s="0" t="n"/>
      <c r="P700" s="47" t="n"/>
      <c r="R700" s="0" t="n"/>
      <c r="S700" s="0" t="n"/>
      <c r="U700" s="0" t="n"/>
      <c r="X700" s="0" t="n"/>
      <c r="AA700" s="0" t="n"/>
      <c r="AB7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0" s="53">
        <f>IF(OR(TRIM(INDIRECT("B"&amp;ROW())) &lt;&gt; "",TRIM(INDIRECT("A"&amp;ROW())) &lt;&gt; ""),AND(TRIM(INDIRECT("A"&amp;ROW())) &lt;&gt; "",TRIM(INDIRECT("D"&amp;ROW())) = "nuevo"),"")</f>
        <v/>
      </c>
    </row>
    <row r="701" ht="27.5" customHeight="1" s="62">
      <c r="C701" s="0">
        <f>LEN(INDIRECT(ADDRESS(ROW() + (0),COLUMN() + (-1))))</f>
        <v/>
      </c>
      <c r="D701" s="0" t="n"/>
      <c r="E701" s="38" t="n"/>
      <c r="G701" s="40" t="n"/>
      <c r="J701" s="31">
        <f>IF(INDIRECT(ADDRESS(ROW() + (0),COLUMN() + (1)))="Agregar cuotas", IF(("16%")="", "-", "16%"), IF(INDIRECT(ADDRESS(ROW() + (0),COLUMN() + (1)))="No agregar cuotas", IF(("16%")="", "-", "16%"), "-"))</f>
        <v/>
      </c>
      <c r="K701" s="0" t="n"/>
      <c r="L701" s="31">
        <f>IF(INDIRECT(ADDRESS(ROW() + (0),COLUMN() + (-1)))="Agregar cuotas", IF(("13.4%")="", "Sin costo", "13.4%"), IF(INDIRECT(ADDRESS(ROW() + (0),COLUMN() + (-1)))="No agregar cuotas", IF(("")="", "Sin costo", ""), "-"))</f>
        <v/>
      </c>
      <c r="M701" s="0" t="n"/>
      <c r="N701" s="0" t="n"/>
      <c r="O701" s="0" t="n"/>
      <c r="P701" s="47" t="n"/>
      <c r="R701" s="0" t="n"/>
      <c r="S701" s="0" t="n"/>
      <c r="U701" s="0" t="n"/>
      <c r="X701" s="0" t="n"/>
      <c r="AA701" s="0" t="n"/>
      <c r="AB7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1" s="53">
        <f>IF(OR(TRIM(INDIRECT("B"&amp;ROW())) &lt;&gt; "",TRIM(INDIRECT("A"&amp;ROW())) &lt;&gt; ""),AND(TRIM(INDIRECT("A"&amp;ROW())) &lt;&gt; "",TRIM(INDIRECT("D"&amp;ROW())) = "nuevo"),"")</f>
        <v/>
      </c>
    </row>
    <row r="702" ht="27.5" customHeight="1" s="62">
      <c r="C702" s="0">
        <f>LEN(INDIRECT(ADDRESS(ROW() + (0),COLUMN() + (-1))))</f>
        <v/>
      </c>
      <c r="D702" s="0" t="n"/>
      <c r="E702" s="38" t="n"/>
      <c r="G702" s="40" t="n"/>
      <c r="J702" s="31">
        <f>IF(INDIRECT(ADDRESS(ROW() + (0),COLUMN() + (1)))="Agregar cuotas", IF(("16%")="", "-", "16%"), IF(INDIRECT(ADDRESS(ROW() + (0),COLUMN() + (1)))="No agregar cuotas", IF(("16%")="", "-", "16%"), "-"))</f>
        <v/>
      </c>
      <c r="K702" s="0" t="n"/>
      <c r="L702" s="31">
        <f>IF(INDIRECT(ADDRESS(ROW() + (0),COLUMN() + (-1)))="Agregar cuotas", IF(("13.4%")="", "Sin costo", "13.4%"), IF(INDIRECT(ADDRESS(ROW() + (0),COLUMN() + (-1)))="No agregar cuotas", IF(("")="", "Sin costo", ""), "-"))</f>
        <v/>
      </c>
      <c r="M702" s="0" t="n"/>
      <c r="N702" s="0" t="n"/>
      <c r="O702" s="0" t="n"/>
      <c r="P702" s="47" t="n"/>
      <c r="R702" s="0" t="n"/>
      <c r="S702" s="0" t="n"/>
      <c r="U702" s="0" t="n"/>
      <c r="X702" s="0" t="n"/>
      <c r="AA702" s="0" t="n"/>
      <c r="AB7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2" s="53">
        <f>IF(OR(TRIM(INDIRECT("B"&amp;ROW())) &lt;&gt; "",TRIM(INDIRECT("A"&amp;ROW())) &lt;&gt; ""),AND(TRIM(INDIRECT("A"&amp;ROW())) &lt;&gt; "",TRIM(INDIRECT("D"&amp;ROW())) = "nuevo"),"")</f>
        <v/>
      </c>
    </row>
    <row r="703" ht="27.5" customHeight="1" s="62">
      <c r="C703" s="0">
        <f>LEN(INDIRECT(ADDRESS(ROW() + (0),COLUMN() + (-1))))</f>
        <v/>
      </c>
      <c r="D703" s="0" t="n"/>
      <c r="E703" s="38" t="n"/>
      <c r="G703" s="40" t="n"/>
      <c r="J703" s="31">
        <f>IF(INDIRECT(ADDRESS(ROW() + (0),COLUMN() + (1)))="Agregar cuotas", IF(("16%")="", "-", "16%"), IF(INDIRECT(ADDRESS(ROW() + (0),COLUMN() + (1)))="No agregar cuotas", IF(("16%")="", "-", "16%"), "-"))</f>
        <v/>
      </c>
      <c r="K703" s="0" t="n"/>
      <c r="L703" s="31">
        <f>IF(INDIRECT(ADDRESS(ROW() + (0),COLUMN() + (-1)))="Agregar cuotas", IF(("13.4%")="", "Sin costo", "13.4%"), IF(INDIRECT(ADDRESS(ROW() + (0),COLUMN() + (-1)))="No agregar cuotas", IF(("")="", "Sin costo", ""), "-"))</f>
        <v/>
      </c>
      <c r="M703" s="0" t="n"/>
      <c r="N703" s="0" t="n"/>
      <c r="O703" s="0" t="n"/>
      <c r="P703" s="47" t="n"/>
      <c r="R703" s="0" t="n"/>
      <c r="S703" s="0" t="n"/>
      <c r="U703" s="0" t="n"/>
      <c r="X703" s="0" t="n"/>
      <c r="AA703" s="0" t="n"/>
      <c r="AB7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3" s="53">
        <f>IF(OR(TRIM(INDIRECT("B"&amp;ROW())) &lt;&gt; "",TRIM(INDIRECT("A"&amp;ROW())) &lt;&gt; ""),AND(TRIM(INDIRECT("A"&amp;ROW())) &lt;&gt; "",TRIM(INDIRECT("D"&amp;ROW())) = "nuevo"),"")</f>
        <v/>
      </c>
    </row>
    <row r="704" ht="27.5" customHeight="1" s="62">
      <c r="C704" s="0">
        <f>LEN(INDIRECT(ADDRESS(ROW() + (0),COLUMN() + (-1))))</f>
        <v/>
      </c>
      <c r="D704" s="0" t="n"/>
      <c r="E704" s="38" t="n"/>
      <c r="G704" s="40" t="n"/>
      <c r="J704" s="31">
        <f>IF(INDIRECT(ADDRESS(ROW() + (0),COLUMN() + (1)))="Agregar cuotas", IF(("16%")="", "-", "16%"), IF(INDIRECT(ADDRESS(ROW() + (0),COLUMN() + (1)))="No agregar cuotas", IF(("16%")="", "-", "16%"), "-"))</f>
        <v/>
      </c>
      <c r="K704" s="0" t="n"/>
      <c r="L704" s="31">
        <f>IF(INDIRECT(ADDRESS(ROW() + (0),COLUMN() + (-1)))="Agregar cuotas", IF(("13.4%")="", "Sin costo", "13.4%"), IF(INDIRECT(ADDRESS(ROW() + (0),COLUMN() + (-1)))="No agregar cuotas", IF(("")="", "Sin costo", ""), "-"))</f>
        <v/>
      </c>
      <c r="M704" s="0" t="n"/>
      <c r="N704" s="0" t="n"/>
      <c r="O704" s="0" t="n"/>
      <c r="P704" s="47" t="n"/>
      <c r="R704" s="0" t="n"/>
      <c r="S704" s="0" t="n"/>
      <c r="U704" s="0" t="n"/>
      <c r="X704" s="0" t="n"/>
      <c r="AA704" s="0" t="n"/>
      <c r="AB7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4" s="53">
        <f>IF(OR(TRIM(INDIRECT("B"&amp;ROW())) &lt;&gt; "",TRIM(INDIRECT("A"&amp;ROW())) &lt;&gt; ""),AND(TRIM(INDIRECT("A"&amp;ROW())) &lt;&gt; "",TRIM(INDIRECT("D"&amp;ROW())) = "nuevo"),"")</f>
        <v/>
      </c>
    </row>
    <row r="705" ht="27.5" customHeight="1" s="62">
      <c r="C705" s="0">
        <f>LEN(INDIRECT(ADDRESS(ROW() + (0),COLUMN() + (-1))))</f>
        <v/>
      </c>
      <c r="D705" s="0" t="n"/>
      <c r="E705" s="38" t="n"/>
      <c r="G705" s="40" t="n"/>
      <c r="J705" s="31">
        <f>IF(INDIRECT(ADDRESS(ROW() + (0),COLUMN() + (1)))="Agregar cuotas", IF(("16%")="", "-", "16%"), IF(INDIRECT(ADDRESS(ROW() + (0),COLUMN() + (1)))="No agregar cuotas", IF(("16%")="", "-", "16%"), "-"))</f>
        <v/>
      </c>
      <c r="K705" s="0" t="n"/>
      <c r="L705" s="31">
        <f>IF(INDIRECT(ADDRESS(ROW() + (0),COLUMN() + (-1)))="Agregar cuotas", IF(("13.4%")="", "Sin costo", "13.4%"), IF(INDIRECT(ADDRESS(ROW() + (0),COLUMN() + (-1)))="No agregar cuotas", IF(("")="", "Sin costo", ""), "-"))</f>
        <v/>
      </c>
      <c r="M705" s="0" t="n"/>
      <c r="N705" s="0" t="n"/>
      <c r="O705" s="0" t="n"/>
      <c r="P705" s="47" t="n"/>
      <c r="R705" s="0" t="n"/>
      <c r="S705" s="0" t="n"/>
      <c r="U705" s="0" t="n"/>
      <c r="X705" s="0" t="n"/>
      <c r="AA705" s="0" t="n"/>
      <c r="AB7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5" s="53">
        <f>IF(OR(TRIM(INDIRECT("B"&amp;ROW())) &lt;&gt; "",TRIM(INDIRECT("A"&amp;ROW())) &lt;&gt; ""),AND(TRIM(INDIRECT("A"&amp;ROW())) &lt;&gt; "",TRIM(INDIRECT("D"&amp;ROW())) = "nuevo"),"")</f>
        <v/>
      </c>
    </row>
    <row r="706" ht="27.5" customHeight="1" s="62">
      <c r="C706" s="0">
        <f>LEN(INDIRECT(ADDRESS(ROW() + (0),COLUMN() + (-1))))</f>
        <v/>
      </c>
      <c r="D706" s="0" t="n"/>
      <c r="E706" s="38" t="n"/>
      <c r="G706" s="40" t="n"/>
      <c r="J706" s="31">
        <f>IF(INDIRECT(ADDRESS(ROW() + (0),COLUMN() + (1)))="Agregar cuotas", IF(("16%")="", "-", "16%"), IF(INDIRECT(ADDRESS(ROW() + (0),COLUMN() + (1)))="No agregar cuotas", IF(("16%")="", "-", "16%"), "-"))</f>
        <v/>
      </c>
      <c r="K706" s="0" t="n"/>
      <c r="L706" s="31">
        <f>IF(INDIRECT(ADDRESS(ROW() + (0),COLUMN() + (-1)))="Agregar cuotas", IF(("13.4%")="", "Sin costo", "13.4%"), IF(INDIRECT(ADDRESS(ROW() + (0),COLUMN() + (-1)))="No agregar cuotas", IF(("")="", "Sin costo", ""), "-"))</f>
        <v/>
      </c>
      <c r="M706" s="0" t="n"/>
      <c r="N706" s="0" t="n"/>
      <c r="O706" s="0" t="n"/>
      <c r="P706" s="47" t="n"/>
      <c r="R706" s="0" t="n"/>
      <c r="S706" s="0" t="n"/>
      <c r="U706" s="0" t="n"/>
      <c r="X706" s="0" t="n"/>
      <c r="AA706" s="0" t="n"/>
      <c r="AB7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6" s="53">
        <f>IF(OR(TRIM(INDIRECT("B"&amp;ROW())) &lt;&gt; "",TRIM(INDIRECT("A"&amp;ROW())) &lt;&gt; ""),AND(TRIM(INDIRECT("A"&amp;ROW())) &lt;&gt; "",TRIM(INDIRECT("D"&amp;ROW())) = "nuevo"),"")</f>
        <v/>
      </c>
    </row>
    <row r="707" ht="27.5" customHeight="1" s="62">
      <c r="C707" s="0">
        <f>LEN(INDIRECT(ADDRESS(ROW() + (0),COLUMN() + (-1))))</f>
        <v/>
      </c>
      <c r="D707" s="0" t="n"/>
      <c r="E707" s="38" t="n"/>
      <c r="G707" s="40" t="n"/>
      <c r="J707" s="31">
        <f>IF(INDIRECT(ADDRESS(ROW() + (0),COLUMN() + (1)))="Agregar cuotas", IF(("16%")="", "-", "16%"), IF(INDIRECT(ADDRESS(ROW() + (0),COLUMN() + (1)))="No agregar cuotas", IF(("16%")="", "-", "16%"), "-"))</f>
        <v/>
      </c>
      <c r="K707" s="0" t="n"/>
      <c r="L707" s="31">
        <f>IF(INDIRECT(ADDRESS(ROW() + (0),COLUMN() + (-1)))="Agregar cuotas", IF(("13.4%")="", "Sin costo", "13.4%"), IF(INDIRECT(ADDRESS(ROW() + (0),COLUMN() + (-1)))="No agregar cuotas", IF(("")="", "Sin costo", ""), "-"))</f>
        <v/>
      </c>
      <c r="M707" s="0" t="n"/>
      <c r="N707" s="0" t="n"/>
      <c r="O707" s="0" t="n"/>
      <c r="P707" s="47" t="n"/>
      <c r="R707" s="0" t="n"/>
      <c r="S707" s="0" t="n"/>
      <c r="U707" s="0" t="n"/>
      <c r="X707" s="0" t="n"/>
      <c r="AA707" s="0" t="n"/>
      <c r="AB7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7" s="53">
        <f>IF(OR(TRIM(INDIRECT("B"&amp;ROW())) &lt;&gt; "",TRIM(INDIRECT("A"&amp;ROW())) &lt;&gt; ""),AND(TRIM(INDIRECT("A"&amp;ROW())) &lt;&gt; "",TRIM(INDIRECT("D"&amp;ROW())) = "nuevo"),"")</f>
        <v/>
      </c>
    </row>
    <row r="708" ht="27.5" customHeight="1" s="62">
      <c r="C708" s="0">
        <f>LEN(INDIRECT(ADDRESS(ROW() + (0),COLUMN() + (-1))))</f>
        <v/>
      </c>
      <c r="D708" s="0" t="n"/>
      <c r="E708" s="38" t="n"/>
      <c r="G708" s="40" t="n"/>
      <c r="J708" s="31">
        <f>IF(INDIRECT(ADDRESS(ROW() + (0),COLUMN() + (1)))="Agregar cuotas", IF(("16%")="", "-", "16%"), IF(INDIRECT(ADDRESS(ROW() + (0),COLUMN() + (1)))="No agregar cuotas", IF(("16%")="", "-", "16%"), "-"))</f>
        <v/>
      </c>
      <c r="K708" s="0" t="n"/>
      <c r="L708" s="31">
        <f>IF(INDIRECT(ADDRESS(ROW() + (0),COLUMN() + (-1)))="Agregar cuotas", IF(("13.4%")="", "Sin costo", "13.4%"), IF(INDIRECT(ADDRESS(ROW() + (0),COLUMN() + (-1)))="No agregar cuotas", IF(("")="", "Sin costo", ""), "-"))</f>
        <v/>
      </c>
      <c r="M708" s="0" t="n"/>
      <c r="N708" s="0" t="n"/>
      <c r="O708" s="0" t="n"/>
      <c r="P708" s="47" t="n"/>
      <c r="R708" s="0" t="n"/>
      <c r="S708" s="0" t="n"/>
      <c r="U708" s="0" t="n"/>
      <c r="X708" s="0" t="n"/>
      <c r="AA708" s="0" t="n"/>
      <c r="AB7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8" s="53">
        <f>IF(OR(TRIM(INDIRECT("B"&amp;ROW())) &lt;&gt; "",TRIM(INDIRECT("A"&amp;ROW())) &lt;&gt; ""),AND(TRIM(INDIRECT("A"&amp;ROW())) &lt;&gt; "",TRIM(INDIRECT("D"&amp;ROW())) = "nuevo"),"")</f>
        <v/>
      </c>
    </row>
    <row r="709" ht="27.5" customHeight="1" s="62">
      <c r="C709" s="0">
        <f>LEN(INDIRECT(ADDRESS(ROW() + (0),COLUMN() + (-1))))</f>
        <v/>
      </c>
      <c r="D709" s="0" t="n"/>
      <c r="E709" s="38" t="n"/>
      <c r="G709" s="40" t="n"/>
      <c r="J709" s="31">
        <f>IF(INDIRECT(ADDRESS(ROW() + (0),COLUMN() + (1)))="Agregar cuotas", IF(("16%")="", "-", "16%"), IF(INDIRECT(ADDRESS(ROW() + (0),COLUMN() + (1)))="No agregar cuotas", IF(("16%")="", "-", "16%"), "-"))</f>
        <v/>
      </c>
      <c r="K709" s="0" t="n"/>
      <c r="L709" s="31">
        <f>IF(INDIRECT(ADDRESS(ROW() + (0),COLUMN() + (-1)))="Agregar cuotas", IF(("13.4%")="", "Sin costo", "13.4%"), IF(INDIRECT(ADDRESS(ROW() + (0),COLUMN() + (-1)))="No agregar cuotas", IF(("")="", "Sin costo", ""), "-"))</f>
        <v/>
      </c>
      <c r="M709" s="0" t="n"/>
      <c r="N709" s="0" t="n"/>
      <c r="O709" s="0" t="n"/>
      <c r="P709" s="47" t="n"/>
      <c r="R709" s="0" t="n"/>
      <c r="S709" s="0" t="n"/>
      <c r="U709" s="0" t="n"/>
      <c r="X709" s="0" t="n"/>
      <c r="AA709" s="0" t="n"/>
      <c r="AB7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09" s="53">
        <f>IF(OR(TRIM(INDIRECT("B"&amp;ROW())) &lt;&gt; "",TRIM(INDIRECT("A"&amp;ROW())) &lt;&gt; ""),AND(TRIM(INDIRECT("A"&amp;ROW())) &lt;&gt; "",TRIM(INDIRECT("D"&amp;ROW())) = "nuevo"),"")</f>
        <v/>
      </c>
    </row>
    <row r="710" ht="27.5" customHeight="1" s="62">
      <c r="C710" s="0">
        <f>LEN(INDIRECT(ADDRESS(ROW() + (0),COLUMN() + (-1))))</f>
        <v/>
      </c>
      <c r="D710" s="0" t="n"/>
      <c r="E710" s="38" t="n"/>
      <c r="G710" s="40" t="n"/>
      <c r="J710" s="31">
        <f>IF(INDIRECT(ADDRESS(ROW() + (0),COLUMN() + (1)))="Agregar cuotas", IF(("16%")="", "-", "16%"), IF(INDIRECT(ADDRESS(ROW() + (0),COLUMN() + (1)))="No agregar cuotas", IF(("16%")="", "-", "16%"), "-"))</f>
        <v/>
      </c>
      <c r="K710" s="0" t="n"/>
      <c r="L710" s="31">
        <f>IF(INDIRECT(ADDRESS(ROW() + (0),COLUMN() + (-1)))="Agregar cuotas", IF(("13.4%")="", "Sin costo", "13.4%"), IF(INDIRECT(ADDRESS(ROW() + (0),COLUMN() + (-1)))="No agregar cuotas", IF(("")="", "Sin costo", ""), "-"))</f>
        <v/>
      </c>
      <c r="M710" s="0" t="n"/>
      <c r="N710" s="0" t="n"/>
      <c r="O710" s="0" t="n"/>
      <c r="P710" s="47" t="n"/>
      <c r="R710" s="0" t="n"/>
      <c r="S710" s="0" t="n"/>
      <c r="U710" s="0" t="n"/>
      <c r="X710" s="0" t="n"/>
      <c r="AA710" s="0" t="n"/>
      <c r="AB7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0" s="53">
        <f>IF(OR(TRIM(INDIRECT("B"&amp;ROW())) &lt;&gt; "",TRIM(INDIRECT("A"&amp;ROW())) &lt;&gt; ""),AND(TRIM(INDIRECT("A"&amp;ROW())) &lt;&gt; "",TRIM(INDIRECT("D"&amp;ROW())) = "nuevo"),"")</f>
        <v/>
      </c>
    </row>
    <row r="711" ht="27.5" customHeight="1" s="62">
      <c r="C711" s="0">
        <f>LEN(INDIRECT(ADDRESS(ROW() + (0),COLUMN() + (-1))))</f>
        <v/>
      </c>
      <c r="D711" s="0" t="n"/>
      <c r="E711" s="38" t="n"/>
      <c r="G711" s="40" t="n"/>
      <c r="J711" s="31">
        <f>IF(INDIRECT(ADDRESS(ROW() + (0),COLUMN() + (1)))="Agregar cuotas", IF(("16%")="", "-", "16%"), IF(INDIRECT(ADDRESS(ROW() + (0),COLUMN() + (1)))="No agregar cuotas", IF(("16%")="", "-", "16%"), "-"))</f>
        <v/>
      </c>
      <c r="K711" s="0" t="n"/>
      <c r="L711" s="31">
        <f>IF(INDIRECT(ADDRESS(ROW() + (0),COLUMN() + (-1)))="Agregar cuotas", IF(("13.4%")="", "Sin costo", "13.4%"), IF(INDIRECT(ADDRESS(ROW() + (0),COLUMN() + (-1)))="No agregar cuotas", IF(("")="", "Sin costo", ""), "-"))</f>
        <v/>
      </c>
      <c r="M711" s="0" t="n"/>
      <c r="N711" s="0" t="n"/>
      <c r="O711" s="0" t="n"/>
      <c r="P711" s="47" t="n"/>
      <c r="R711" s="0" t="n"/>
      <c r="S711" s="0" t="n"/>
      <c r="U711" s="0" t="n"/>
      <c r="X711" s="0" t="n"/>
      <c r="AA711" s="0" t="n"/>
      <c r="AB7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1" s="53">
        <f>IF(OR(TRIM(INDIRECT("B"&amp;ROW())) &lt;&gt; "",TRIM(INDIRECT("A"&amp;ROW())) &lt;&gt; ""),AND(TRIM(INDIRECT("A"&amp;ROW())) &lt;&gt; "",TRIM(INDIRECT("D"&amp;ROW())) = "nuevo"),"")</f>
        <v/>
      </c>
    </row>
    <row r="712" ht="27.5" customHeight="1" s="62">
      <c r="C712" s="0">
        <f>LEN(INDIRECT(ADDRESS(ROW() + (0),COLUMN() + (-1))))</f>
        <v/>
      </c>
      <c r="D712" s="0" t="n"/>
      <c r="E712" s="38" t="n"/>
      <c r="G712" s="40" t="n"/>
      <c r="J712" s="31">
        <f>IF(INDIRECT(ADDRESS(ROW() + (0),COLUMN() + (1)))="Agregar cuotas", IF(("16%")="", "-", "16%"), IF(INDIRECT(ADDRESS(ROW() + (0),COLUMN() + (1)))="No agregar cuotas", IF(("16%")="", "-", "16%"), "-"))</f>
        <v/>
      </c>
      <c r="K712" s="0" t="n"/>
      <c r="L712" s="31">
        <f>IF(INDIRECT(ADDRESS(ROW() + (0),COLUMN() + (-1)))="Agregar cuotas", IF(("13.4%")="", "Sin costo", "13.4%"), IF(INDIRECT(ADDRESS(ROW() + (0),COLUMN() + (-1)))="No agregar cuotas", IF(("")="", "Sin costo", ""), "-"))</f>
        <v/>
      </c>
      <c r="M712" s="0" t="n"/>
      <c r="N712" s="0" t="n"/>
      <c r="O712" s="0" t="n"/>
      <c r="P712" s="47" t="n"/>
      <c r="R712" s="0" t="n"/>
      <c r="S712" s="0" t="n"/>
      <c r="U712" s="0" t="n"/>
      <c r="X712" s="0" t="n"/>
      <c r="AA712" s="0" t="n"/>
      <c r="AB7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2" s="53">
        <f>IF(OR(TRIM(INDIRECT("B"&amp;ROW())) &lt;&gt; "",TRIM(INDIRECT("A"&amp;ROW())) &lt;&gt; ""),AND(TRIM(INDIRECT("A"&amp;ROW())) &lt;&gt; "",TRIM(INDIRECT("D"&amp;ROW())) = "nuevo"),"")</f>
        <v/>
      </c>
    </row>
    <row r="713" ht="27.5" customHeight="1" s="62">
      <c r="C713" s="0">
        <f>LEN(INDIRECT(ADDRESS(ROW() + (0),COLUMN() + (-1))))</f>
        <v/>
      </c>
      <c r="D713" s="0" t="n"/>
      <c r="E713" s="38" t="n"/>
      <c r="G713" s="40" t="n"/>
      <c r="J713" s="31">
        <f>IF(INDIRECT(ADDRESS(ROW() + (0),COLUMN() + (1)))="Agregar cuotas", IF(("16%")="", "-", "16%"), IF(INDIRECT(ADDRESS(ROW() + (0),COLUMN() + (1)))="No agregar cuotas", IF(("16%")="", "-", "16%"), "-"))</f>
        <v/>
      </c>
      <c r="K713" s="0" t="n"/>
      <c r="L713" s="31">
        <f>IF(INDIRECT(ADDRESS(ROW() + (0),COLUMN() + (-1)))="Agregar cuotas", IF(("13.4%")="", "Sin costo", "13.4%"), IF(INDIRECT(ADDRESS(ROW() + (0),COLUMN() + (-1)))="No agregar cuotas", IF(("")="", "Sin costo", ""), "-"))</f>
        <v/>
      </c>
      <c r="M713" s="0" t="n"/>
      <c r="N713" s="0" t="n"/>
      <c r="O713" s="0" t="n"/>
      <c r="P713" s="47" t="n"/>
      <c r="R713" s="0" t="n"/>
      <c r="S713" s="0" t="n"/>
      <c r="U713" s="0" t="n"/>
      <c r="X713" s="0" t="n"/>
      <c r="AA713" s="0" t="n"/>
      <c r="AB7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3" s="53">
        <f>IF(OR(TRIM(INDIRECT("B"&amp;ROW())) &lt;&gt; "",TRIM(INDIRECT("A"&amp;ROW())) &lt;&gt; ""),AND(TRIM(INDIRECT("A"&amp;ROW())) &lt;&gt; "",TRIM(INDIRECT("D"&amp;ROW())) = "nuevo"),"")</f>
        <v/>
      </c>
    </row>
    <row r="714" ht="27.5" customHeight="1" s="62">
      <c r="C714" s="0">
        <f>LEN(INDIRECT(ADDRESS(ROW() + (0),COLUMN() + (-1))))</f>
        <v/>
      </c>
      <c r="D714" s="0" t="n"/>
      <c r="E714" s="38" t="n"/>
      <c r="G714" s="40" t="n"/>
      <c r="J714" s="31">
        <f>IF(INDIRECT(ADDRESS(ROW() + (0),COLUMN() + (1)))="Agregar cuotas", IF(("16%")="", "-", "16%"), IF(INDIRECT(ADDRESS(ROW() + (0),COLUMN() + (1)))="No agregar cuotas", IF(("16%")="", "-", "16%"), "-"))</f>
        <v/>
      </c>
      <c r="K714" s="0" t="n"/>
      <c r="L714" s="31">
        <f>IF(INDIRECT(ADDRESS(ROW() + (0),COLUMN() + (-1)))="Agregar cuotas", IF(("13.4%")="", "Sin costo", "13.4%"), IF(INDIRECT(ADDRESS(ROW() + (0),COLUMN() + (-1)))="No agregar cuotas", IF(("")="", "Sin costo", ""), "-"))</f>
        <v/>
      </c>
      <c r="M714" s="0" t="n"/>
      <c r="N714" s="0" t="n"/>
      <c r="O714" s="0" t="n"/>
      <c r="P714" s="47" t="n"/>
      <c r="R714" s="0" t="n"/>
      <c r="S714" s="0" t="n"/>
      <c r="U714" s="0" t="n"/>
      <c r="X714" s="0" t="n"/>
      <c r="AA714" s="0" t="n"/>
      <c r="AB7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4" s="53">
        <f>IF(OR(TRIM(INDIRECT("B"&amp;ROW())) &lt;&gt; "",TRIM(INDIRECT("A"&amp;ROW())) &lt;&gt; ""),AND(TRIM(INDIRECT("A"&amp;ROW())) &lt;&gt; "",TRIM(INDIRECT("D"&amp;ROW())) = "nuevo"),"")</f>
        <v/>
      </c>
    </row>
    <row r="715" ht="27.5" customHeight="1" s="62">
      <c r="C715" s="0">
        <f>LEN(INDIRECT(ADDRESS(ROW() + (0),COLUMN() + (-1))))</f>
        <v/>
      </c>
      <c r="D715" s="0" t="n"/>
      <c r="E715" s="38" t="n"/>
      <c r="G715" s="40" t="n"/>
      <c r="J715" s="31">
        <f>IF(INDIRECT(ADDRESS(ROW() + (0),COLUMN() + (1)))="Agregar cuotas", IF(("16%")="", "-", "16%"), IF(INDIRECT(ADDRESS(ROW() + (0),COLUMN() + (1)))="No agregar cuotas", IF(("16%")="", "-", "16%"), "-"))</f>
        <v/>
      </c>
      <c r="K715" s="0" t="n"/>
      <c r="L715" s="31">
        <f>IF(INDIRECT(ADDRESS(ROW() + (0),COLUMN() + (-1)))="Agregar cuotas", IF(("13.4%")="", "Sin costo", "13.4%"), IF(INDIRECT(ADDRESS(ROW() + (0),COLUMN() + (-1)))="No agregar cuotas", IF(("")="", "Sin costo", ""), "-"))</f>
        <v/>
      </c>
      <c r="M715" s="0" t="n"/>
      <c r="N715" s="0" t="n"/>
      <c r="O715" s="0" t="n"/>
      <c r="P715" s="47" t="n"/>
      <c r="R715" s="0" t="n"/>
      <c r="S715" s="0" t="n"/>
      <c r="U715" s="0" t="n"/>
      <c r="X715" s="0" t="n"/>
      <c r="AA715" s="0" t="n"/>
      <c r="AB7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5" s="53">
        <f>IF(OR(TRIM(INDIRECT("B"&amp;ROW())) &lt;&gt; "",TRIM(INDIRECT("A"&amp;ROW())) &lt;&gt; ""),AND(TRIM(INDIRECT("A"&amp;ROW())) &lt;&gt; "",TRIM(INDIRECT("D"&amp;ROW())) = "nuevo"),"")</f>
        <v/>
      </c>
    </row>
    <row r="716" ht="27.5" customHeight="1" s="62">
      <c r="C716" s="0">
        <f>LEN(INDIRECT(ADDRESS(ROW() + (0),COLUMN() + (-1))))</f>
        <v/>
      </c>
      <c r="D716" s="0" t="n"/>
      <c r="E716" s="38" t="n"/>
      <c r="G716" s="40" t="n"/>
      <c r="J716" s="31">
        <f>IF(INDIRECT(ADDRESS(ROW() + (0),COLUMN() + (1)))="Agregar cuotas", IF(("16%")="", "-", "16%"), IF(INDIRECT(ADDRESS(ROW() + (0),COLUMN() + (1)))="No agregar cuotas", IF(("16%")="", "-", "16%"), "-"))</f>
        <v/>
      </c>
      <c r="K716" s="0" t="n"/>
      <c r="L716" s="31">
        <f>IF(INDIRECT(ADDRESS(ROW() + (0),COLUMN() + (-1)))="Agregar cuotas", IF(("13.4%")="", "Sin costo", "13.4%"), IF(INDIRECT(ADDRESS(ROW() + (0),COLUMN() + (-1)))="No agregar cuotas", IF(("")="", "Sin costo", ""), "-"))</f>
        <v/>
      </c>
      <c r="M716" s="0" t="n"/>
      <c r="N716" s="0" t="n"/>
      <c r="O716" s="0" t="n"/>
      <c r="P716" s="47" t="n"/>
      <c r="R716" s="0" t="n"/>
      <c r="S716" s="0" t="n"/>
      <c r="U716" s="0" t="n"/>
      <c r="X716" s="0" t="n"/>
      <c r="AA716" s="0" t="n"/>
      <c r="AB7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6" s="53">
        <f>IF(OR(TRIM(INDIRECT("B"&amp;ROW())) &lt;&gt; "",TRIM(INDIRECT("A"&amp;ROW())) &lt;&gt; ""),AND(TRIM(INDIRECT("A"&amp;ROW())) &lt;&gt; "",TRIM(INDIRECT("D"&amp;ROW())) = "nuevo"),"")</f>
        <v/>
      </c>
    </row>
    <row r="717" ht="27.5" customHeight="1" s="62">
      <c r="C717" s="0">
        <f>LEN(INDIRECT(ADDRESS(ROW() + (0),COLUMN() + (-1))))</f>
        <v/>
      </c>
      <c r="D717" s="0" t="n"/>
      <c r="E717" s="38" t="n"/>
      <c r="G717" s="40" t="n"/>
      <c r="J717" s="31">
        <f>IF(INDIRECT(ADDRESS(ROW() + (0),COLUMN() + (1)))="Agregar cuotas", IF(("16%")="", "-", "16%"), IF(INDIRECT(ADDRESS(ROW() + (0),COLUMN() + (1)))="No agregar cuotas", IF(("16%")="", "-", "16%"), "-"))</f>
        <v/>
      </c>
      <c r="K717" s="0" t="n"/>
      <c r="L717" s="31">
        <f>IF(INDIRECT(ADDRESS(ROW() + (0),COLUMN() + (-1)))="Agregar cuotas", IF(("13.4%")="", "Sin costo", "13.4%"), IF(INDIRECT(ADDRESS(ROW() + (0),COLUMN() + (-1)))="No agregar cuotas", IF(("")="", "Sin costo", ""), "-"))</f>
        <v/>
      </c>
      <c r="M717" s="0" t="n"/>
      <c r="N717" s="0" t="n"/>
      <c r="O717" s="0" t="n"/>
      <c r="P717" s="47" t="n"/>
      <c r="R717" s="0" t="n"/>
      <c r="S717" s="0" t="n"/>
      <c r="U717" s="0" t="n"/>
      <c r="X717" s="0" t="n"/>
      <c r="AA717" s="0" t="n"/>
      <c r="AB7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7" s="53">
        <f>IF(OR(TRIM(INDIRECT("B"&amp;ROW())) &lt;&gt; "",TRIM(INDIRECT("A"&amp;ROW())) &lt;&gt; ""),AND(TRIM(INDIRECT("A"&amp;ROW())) &lt;&gt; "",TRIM(INDIRECT("D"&amp;ROW())) = "nuevo"),"")</f>
        <v/>
      </c>
    </row>
    <row r="718" ht="27.5" customHeight="1" s="62">
      <c r="C718" s="0">
        <f>LEN(INDIRECT(ADDRESS(ROW() + (0),COLUMN() + (-1))))</f>
        <v/>
      </c>
      <c r="D718" s="0" t="n"/>
      <c r="E718" s="38" t="n"/>
      <c r="G718" s="40" t="n"/>
      <c r="J718" s="31">
        <f>IF(INDIRECT(ADDRESS(ROW() + (0),COLUMN() + (1)))="Agregar cuotas", IF(("16%")="", "-", "16%"), IF(INDIRECT(ADDRESS(ROW() + (0),COLUMN() + (1)))="No agregar cuotas", IF(("16%")="", "-", "16%"), "-"))</f>
        <v/>
      </c>
      <c r="K718" s="0" t="n"/>
      <c r="L718" s="31">
        <f>IF(INDIRECT(ADDRESS(ROW() + (0),COLUMN() + (-1)))="Agregar cuotas", IF(("13.4%")="", "Sin costo", "13.4%"), IF(INDIRECT(ADDRESS(ROW() + (0),COLUMN() + (-1)))="No agregar cuotas", IF(("")="", "Sin costo", ""), "-"))</f>
        <v/>
      </c>
      <c r="M718" s="0" t="n"/>
      <c r="N718" s="0" t="n"/>
      <c r="O718" s="0" t="n"/>
      <c r="P718" s="47" t="n"/>
      <c r="R718" s="0" t="n"/>
      <c r="S718" s="0" t="n"/>
      <c r="U718" s="0" t="n"/>
      <c r="X718" s="0" t="n"/>
      <c r="AA718" s="0" t="n"/>
      <c r="AB7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8" s="53">
        <f>IF(OR(TRIM(INDIRECT("B"&amp;ROW())) &lt;&gt; "",TRIM(INDIRECT("A"&amp;ROW())) &lt;&gt; ""),AND(TRIM(INDIRECT("A"&amp;ROW())) &lt;&gt; "",TRIM(INDIRECT("D"&amp;ROW())) = "nuevo"),"")</f>
        <v/>
      </c>
    </row>
    <row r="719" ht="27.5" customHeight="1" s="62">
      <c r="C719" s="0">
        <f>LEN(INDIRECT(ADDRESS(ROW() + (0),COLUMN() + (-1))))</f>
        <v/>
      </c>
      <c r="D719" s="0" t="n"/>
      <c r="E719" s="38" t="n"/>
      <c r="G719" s="40" t="n"/>
      <c r="J719" s="31">
        <f>IF(INDIRECT(ADDRESS(ROW() + (0),COLUMN() + (1)))="Agregar cuotas", IF(("16%")="", "-", "16%"), IF(INDIRECT(ADDRESS(ROW() + (0),COLUMN() + (1)))="No agregar cuotas", IF(("16%")="", "-", "16%"), "-"))</f>
        <v/>
      </c>
      <c r="K719" s="0" t="n"/>
      <c r="L719" s="31">
        <f>IF(INDIRECT(ADDRESS(ROW() + (0),COLUMN() + (-1)))="Agregar cuotas", IF(("13.4%")="", "Sin costo", "13.4%"), IF(INDIRECT(ADDRESS(ROW() + (0),COLUMN() + (-1)))="No agregar cuotas", IF(("")="", "Sin costo", ""), "-"))</f>
        <v/>
      </c>
      <c r="M719" s="0" t="n"/>
      <c r="N719" s="0" t="n"/>
      <c r="O719" s="0" t="n"/>
      <c r="P719" s="47" t="n"/>
      <c r="R719" s="0" t="n"/>
      <c r="S719" s="0" t="n"/>
      <c r="U719" s="0" t="n"/>
      <c r="X719" s="0" t="n"/>
      <c r="AA719" s="0" t="n"/>
      <c r="AB7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19" s="53">
        <f>IF(OR(TRIM(INDIRECT("B"&amp;ROW())) &lt;&gt; "",TRIM(INDIRECT("A"&amp;ROW())) &lt;&gt; ""),AND(TRIM(INDIRECT("A"&amp;ROW())) &lt;&gt; "",TRIM(INDIRECT("D"&amp;ROW())) = "nuevo"),"")</f>
        <v/>
      </c>
    </row>
    <row r="720" ht="27.5" customHeight="1" s="62">
      <c r="C720" s="0">
        <f>LEN(INDIRECT(ADDRESS(ROW() + (0),COLUMN() + (-1))))</f>
        <v/>
      </c>
      <c r="D720" s="0" t="n"/>
      <c r="E720" s="38" t="n"/>
      <c r="G720" s="40" t="n"/>
      <c r="J720" s="31">
        <f>IF(INDIRECT(ADDRESS(ROW() + (0),COLUMN() + (1)))="Agregar cuotas", IF(("16%")="", "-", "16%"), IF(INDIRECT(ADDRESS(ROW() + (0),COLUMN() + (1)))="No agregar cuotas", IF(("16%")="", "-", "16%"), "-"))</f>
        <v/>
      </c>
      <c r="K720" s="0" t="n"/>
      <c r="L720" s="31">
        <f>IF(INDIRECT(ADDRESS(ROW() + (0),COLUMN() + (-1)))="Agregar cuotas", IF(("13.4%")="", "Sin costo", "13.4%"), IF(INDIRECT(ADDRESS(ROW() + (0),COLUMN() + (-1)))="No agregar cuotas", IF(("")="", "Sin costo", ""), "-"))</f>
        <v/>
      </c>
      <c r="M720" s="0" t="n"/>
      <c r="N720" s="0" t="n"/>
      <c r="O720" s="0" t="n"/>
      <c r="P720" s="47" t="n"/>
      <c r="R720" s="0" t="n"/>
      <c r="S720" s="0" t="n"/>
      <c r="U720" s="0" t="n"/>
      <c r="X720" s="0" t="n"/>
      <c r="AA720" s="0" t="n"/>
      <c r="AB7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0" s="53">
        <f>IF(OR(TRIM(INDIRECT("B"&amp;ROW())) &lt;&gt; "",TRIM(INDIRECT("A"&amp;ROW())) &lt;&gt; ""),AND(TRIM(INDIRECT("A"&amp;ROW())) &lt;&gt; "",TRIM(INDIRECT("D"&amp;ROW())) = "nuevo"),"")</f>
        <v/>
      </c>
    </row>
    <row r="721" ht="27.5" customHeight="1" s="62">
      <c r="C721" s="0">
        <f>LEN(INDIRECT(ADDRESS(ROW() + (0),COLUMN() + (-1))))</f>
        <v/>
      </c>
      <c r="D721" s="0" t="n"/>
      <c r="E721" s="38" t="n"/>
      <c r="G721" s="40" t="n"/>
      <c r="J721" s="31">
        <f>IF(INDIRECT(ADDRESS(ROW() + (0),COLUMN() + (1)))="Agregar cuotas", IF(("16%")="", "-", "16%"), IF(INDIRECT(ADDRESS(ROW() + (0),COLUMN() + (1)))="No agregar cuotas", IF(("16%")="", "-", "16%"), "-"))</f>
        <v/>
      </c>
      <c r="K721" s="0" t="n"/>
      <c r="L721" s="31">
        <f>IF(INDIRECT(ADDRESS(ROW() + (0),COLUMN() + (-1)))="Agregar cuotas", IF(("13.4%")="", "Sin costo", "13.4%"), IF(INDIRECT(ADDRESS(ROW() + (0),COLUMN() + (-1)))="No agregar cuotas", IF(("")="", "Sin costo", ""), "-"))</f>
        <v/>
      </c>
      <c r="M721" s="0" t="n"/>
      <c r="N721" s="0" t="n"/>
      <c r="O721" s="0" t="n"/>
      <c r="P721" s="47" t="n"/>
      <c r="R721" s="0" t="n"/>
      <c r="S721" s="0" t="n"/>
      <c r="U721" s="0" t="n"/>
      <c r="X721" s="0" t="n"/>
      <c r="AA721" s="0" t="n"/>
      <c r="AB7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1" s="53">
        <f>IF(OR(TRIM(INDIRECT("B"&amp;ROW())) &lt;&gt; "",TRIM(INDIRECT("A"&amp;ROW())) &lt;&gt; ""),AND(TRIM(INDIRECT("A"&amp;ROW())) &lt;&gt; "",TRIM(INDIRECT("D"&amp;ROW())) = "nuevo"),"")</f>
        <v/>
      </c>
    </row>
    <row r="722" ht="27.5" customHeight="1" s="62">
      <c r="C722" s="0">
        <f>LEN(INDIRECT(ADDRESS(ROW() + (0),COLUMN() + (-1))))</f>
        <v/>
      </c>
      <c r="D722" s="0" t="n"/>
      <c r="E722" s="38" t="n"/>
      <c r="G722" s="40" t="n"/>
      <c r="J722" s="31">
        <f>IF(INDIRECT(ADDRESS(ROW() + (0),COLUMN() + (1)))="Agregar cuotas", IF(("16%")="", "-", "16%"), IF(INDIRECT(ADDRESS(ROW() + (0),COLUMN() + (1)))="No agregar cuotas", IF(("16%")="", "-", "16%"), "-"))</f>
        <v/>
      </c>
      <c r="K722" s="0" t="n"/>
      <c r="L722" s="31">
        <f>IF(INDIRECT(ADDRESS(ROW() + (0),COLUMN() + (-1)))="Agregar cuotas", IF(("13.4%")="", "Sin costo", "13.4%"), IF(INDIRECT(ADDRESS(ROW() + (0),COLUMN() + (-1)))="No agregar cuotas", IF(("")="", "Sin costo", ""), "-"))</f>
        <v/>
      </c>
      <c r="M722" s="0" t="n"/>
      <c r="N722" s="0" t="n"/>
      <c r="O722" s="0" t="n"/>
      <c r="P722" s="47" t="n"/>
      <c r="R722" s="0" t="n"/>
      <c r="S722" s="0" t="n"/>
      <c r="U722" s="0" t="n"/>
      <c r="X722" s="0" t="n"/>
      <c r="AA722" s="0" t="n"/>
      <c r="AB7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2" s="53">
        <f>IF(OR(TRIM(INDIRECT("B"&amp;ROW())) &lt;&gt; "",TRIM(INDIRECT("A"&amp;ROW())) &lt;&gt; ""),AND(TRIM(INDIRECT("A"&amp;ROW())) &lt;&gt; "",TRIM(INDIRECT("D"&amp;ROW())) = "nuevo"),"")</f>
        <v/>
      </c>
    </row>
    <row r="723" ht="27.5" customHeight="1" s="62">
      <c r="C723" s="0">
        <f>LEN(INDIRECT(ADDRESS(ROW() + (0),COLUMN() + (-1))))</f>
        <v/>
      </c>
      <c r="D723" s="0" t="n"/>
      <c r="E723" s="38" t="n"/>
      <c r="G723" s="40" t="n"/>
      <c r="J723" s="31">
        <f>IF(INDIRECT(ADDRESS(ROW() + (0),COLUMN() + (1)))="Agregar cuotas", IF(("16%")="", "-", "16%"), IF(INDIRECT(ADDRESS(ROW() + (0),COLUMN() + (1)))="No agregar cuotas", IF(("16%")="", "-", "16%"), "-"))</f>
        <v/>
      </c>
      <c r="K723" s="0" t="n"/>
      <c r="L723" s="31">
        <f>IF(INDIRECT(ADDRESS(ROW() + (0),COLUMN() + (-1)))="Agregar cuotas", IF(("13.4%")="", "Sin costo", "13.4%"), IF(INDIRECT(ADDRESS(ROW() + (0),COLUMN() + (-1)))="No agregar cuotas", IF(("")="", "Sin costo", ""), "-"))</f>
        <v/>
      </c>
      <c r="M723" s="0" t="n"/>
      <c r="N723" s="0" t="n"/>
      <c r="O723" s="0" t="n"/>
      <c r="P723" s="47" t="n"/>
      <c r="R723" s="0" t="n"/>
      <c r="S723" s="0" t="n"/>
      <c r="U723" s="0" t="n"/>
      <c r="X723" s="0" t="n"/>
      <c r="AA723" s="0" t="n"/>
      <c r="AB7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3" s="53">
        <f>IF(OR(TRIM(INDIRECT("B"&amp;ROW())) &lt;&gt; "",TRIM(INDIRECT("A"&amp;ROW())) &lt;&gt; ""),AND(TRIM(INDIRECT("A"&amp;ROW())) &lt;&gt; "",TRIM(INDIRECT("D"&amp;ROW())) = "nuevo"),"")</f>
        <v/>
      </c>
    </row>
    <row r="724" ht="27.5" customHeight="1" s="62">
      <c r="C724" s="0">
        <f>LEN(INDIRECT(ADDRESS(ROW() + (0),COLUMN() + (-1))))</f>
        <v/>
      </c>
      <c r="D724" s="0" t="n"/>
      <c r="E724" s="38" t="n"/>
      <c r="G724" s="40" t="n"/>
      <c r="J724" s="31">
        <f>IF(INDIRECT(ADDRESS(ROW() + (0),COLUMN() + (1)))="Agregar cuotas", IF(("16%")="", "-", "16%"), IF(INDIRECT(ADDRESS(ROW() + (0),COLUMN() + (1)))="No agregar cuotas", IF(("16%")="", "-", "16%"), "-"))</f>
        <v/>
      </c>
      <c r="K724" s="0" t="n"/>
      <c r="L724" s="31">
        <f>IF(INDIRECT(ADDRESS(ROW() + (0),COLUMN() + (-1)))="Agregar cuotas", IF(("13.4%")="", "Sin costo", "13.4%"), IF(INDIRECT(ADDRESS(ROW() + (0),COLUMN() + (-1)))="No agregar cuotas", IF(("")="", "Sin costo", ""), "-"))</f>
        <v/>
      </c>
      <c r="M724" s="0" t="n"/>
      <c r="N724" s="0" t="n"/>
      <c r="O724" s="0" t="n"/>
      <c r="P724" s="47" t="n"/>
      <c r="R724" s="0" t="n"/>
      <c r="S724" s="0" t="n"/>
      <c r="U724" s="0" t="n"/>
      <c r="X724" s="0" t="n"/>
      <c r="AA724" s="0" t="n"/>
      <c r="AB7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4" s="53">
        <f>IF(OR(TRIM(INDIRECT("B"&amp;ROW())) &lt;&gt; "",TRIM(INDIRECT("A"&amp;ROW())) &lt;&gt; ""),AND(TRIM(INDIRECT("A"&amp;ROW())) &lt;&gt; "",TRIM(INDIRECT("D"&amp;ROW())) = "nuevo"),"")</f>
        <v/>
      </c>
    </row>
    <row r="725" ht="27.5" customHeight="1" s="62">
      <c r="C725" s="0">
        <f>LEN(INDIRECT(ADDRESS(ROW() + (0),COLUMN() + (-1))))</f>
        <v/>
      </c>
      <c r="D725" s="0" t="n"/>
      <c r="E725" s="38" t="n"/>
      <c r="G725" s="40" t="n"/>
      <c r="J725" s="31">
        <f>IF(INDIRECT(ADDRESS(ROW() + (0),COLUMN() + (1)))="Agregar cuotas", IF(("16%")="", "-", "16%"), IF(INDIRECT(ADDRESS(ROW() + (0),COLUMN() + (1)))="No agregar cuotas", IF(("16%")="", "-", "16%"), "-"))</f>
        <v/>
      </c>
      <c r="K725" s="0" t="n"/>
      <c r="L725" s="31">
        <f>IF(INDIRECT(ADDRESS(ROW() + (0),COLUMN() + (-1)))="Agregar cuotas", IF(("13.4%")="", "Sin costo", "13.4%"), IF(INDIRECT(ADDRESS(ROW() + (0),COLUMN() + (-1)))="No agregar cuotas", IF(("")="", "Sin costo", ""), "-"))</f>
        <v/>
      </c>
      <c r="M725" s="0" t="n"/>
      <c r="N725" s="0" t="n"/>
      <c r="O725" s="0" t="n"/>
      <c r="P725" s="47" t="n"/>
      <c r="R725" s="0" t="n"/>
      <c r="S725" s="0" t="n"/>
      <c r="U725" s="0" t="n"/>
      <c r="X725" s="0" t="n"/>
      <c r="AA725" s="0" t="n"/>
      <c r="AB7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5" s="53">
        <f>IF(OR(TRIM(INDIRECT("B"&amp;ROW())) &lt;&gt; "",TRIM(INDIRECT("A"&amp;ROW())) &lt;&gt; ""),AND(TRIM(INDIRECT("A"&amp;ROW())) &lt;&gt; "",TRIM(INDIRECT("D"&amp;ROW())) = "nuevo"),"")</f>
        <v/>
      </c>
    </row>
    <row r="726" ht="27.5" customHeight="1" s="62">
      <c r="C726" s="0">
        <f>LEN(INDIRECT(ADDRESS(ROW() + (0),COLUMN() + (-1))))</f>
        <v/>
      </c>
      <c r="D726" s="0" t="n"/>
      <c r="E726" s="38" t="n"/>
      <c r="G726" s="40" t="n"/>
      <c r="J726" s="31">
        <f>IF(INDIRECT(ADDRESS(ROW() + (0),COLUMN() + (1)))="Agregar cuotas", IF(("16%")="", "-", "16%"), IF(INDIRECT(ADDRESS(ROW() + (0),COLUMN() + (1)))="No agregar cuotas", IF(("16%")="", "-", "16%"), "-"))</f>
        <v/>
      </c>
      <c r="K726" s="0" t="n"/>
      <c r="L726" s="31">
        <f>IF(INDIRECT(ADDRESS(ROW() + (0),COLUMN() + (-1)))="Agregar cuotas", IF(("13.4%")="", "Sin costo", "13.4%"), IF(INDIRECT(ADDRESS(ROW() + (0),COLUMN() + (-1)))="No agregar cuotas", IF(("")="", "Sin costo", ""), "-"))</f>
        <v/>
      </c>
      <c r="M726" s="0" t="n"/>
      <c r="N726" s="0" t="n"/>
      <c r="O726" s="0" t="n"/>
      <c r="P726" s="47" t="n"/>
      <c r="R726" s="0" t="n"/>
      <c r="S726" s="0" t="n"/>
      <c r="U726" s="0" t="n"/>
      <c r="X726" s="0" t="n"/>
      <c r="AA726" s="0" t="n"/>
      <c r="AB7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6" s="53">
        <f>IF(OR(TRIM(INDIRECT("B"&amp;ROW())) &lt;&gt; "",TRIM(INDIRECT("A"&amp;ROW())) &lt;&gt; ""),AND(TRIM(INDIRECT("A"&amp;ROW())) &lt;&gt; "",TRIM(INDIRECT("D"&amp;ROW())) = "nuevo"),"")</f>
        <v/>
      </c>
    </row>
    <row r="727" ht="27.5" customHeight="1" s="62">
      <c r="C727" s="0">
        <f>LEN(INDIRECT(ADDRESS(ROW() + (0),COLUMN() + (-1))))</f>
        <v/>
      </c>
      <c r="D727" s="0" t="n"/>
      <c r="E727" s="38" t="n"/>
      <c r="G727" s="40" t="n"/>
      <c r="J727" s="31">
        <f>IF(INDIRECT(ADDRESS(ROW() + (0),COLUMN() + (1)))="Agregar cuotas", IF(("16%")="", "-", "16%"), IF(INDIRECT(ADDRESS(ROW() + (0),COLUMN() + (1)))="No agregar cuotas", IF(("16%")="", "-", "16%"), "-"))</f>
        <v/>
      </c>
      <c r="K727" s="0" t="n"/>
      <c r="L727" s="31">
        <f>IF(INDIRECT(ADDRESS(ROW() + (0),COLUMN() + (-1)))="Agregar cuotas", IF(("13.4%")="", "Sin costo", "13.4%"), IF(INDIRECT(ADDRESS(ROW() + (0),COLUMN() + (-1)))="No agregar cuotas", IF(("")="", "Sin costo", ""), "-"))</f>
        <v/>
      </c>
      <c r="M727" s="0" t="n"/>
      <c r="N727" s="0" t="n"/>
      <c r="O727" s="0" t="n"/>
      <c r="P727" s="47" t="n"/>
      <c r="R727" s="0" t="n"/>
      <c r="S727" s="0" t="n"/>
      <c r="U727" s="0" t="n"/>
      <c r="X727" s="0" t="n"/>
      <c r="AA727" s="0" t="n"/>
      <c r="AB7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7" s="53">
        <f>IF(OR(TRIM(INDIRECT("B"&amp;ROW())) &lt;&gt; "",TRIM(INDIRECT("A"&amp;ROW())) &lt;&gt; ""),AND(TRIM(INDIRECT("A"&amp;ROW())) &lt;&gt; "",TRIM(INDIRECT("D"&amp;ROW())) = "nuevo"),"")</f>
        <v/>
      </c>
    </row>
    <row r="728" ht="27.5" customHeight="1" s="62">
      <c r="C728" s="0">
        <f>LEN(INDIRECT(ADDRESS(ROW() + (0),COLUMN() + (-1))))</f>
        <v/>
      </c>
      <c r="D728" s="0" t="n"/>
      <c r="E728" s="38" t="n"/>
      <c r="G728" s="40" t="n"/>
      <c r="J728" s="31">
        <f>IF(INDIRECT(ADDRESS(ROW() + (0),COLUMN() + (1)))="Agregar cuotas", IF(("16%")="", "-", "16%"), IF(INDIRECT(ADDRESS(ROW() + (0),COLUMN() + (1)))="No agregar cuotas", IF(("16%")="", "-", "16%"), "-"))</f>
        <v/>
      </c>
      <c r="K728" s="0" t="n"/>
      <c r="L728" s="31">
        <f>IF(INDIRECT(ADDRESS(ROW() + (0),COLUMN() + (-1)))="Agregar cuotas", IF(("13.4%")="", "Sin costo", "13.4%"), IF(INDIRECT(ADDRESS(ROW() + (0),COLUMN() + (-1)))="No agregar cuotas", IF(("")="", "Sin costo", ""), "-"))</f>
        <v/>
      </c>
      <c r="M728" s="0" t="n"/>
      <c r="N728" s="0" t="n"/>
      <c r="O728" s="0" t="n"/>
      <c r="P728" s="47" t="n"/>
      <c r="R728" s="0" t="n"/>
      <c r="S728" s="0" t="n"/>
      <c r="U728" s="0" t="n"/>
      <c r="X728" s="0" t="n"/>
      <c r="AA728" s="0" t="n"/>
      <c r="AB7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8" s="53">
        <f>IF(OR(TRIM(INDIRECT("B"&amp;ROW())) &lt;&gt; "",TRIM(INDIRECT("A"&amp;ROW())) &lt;&gt; ""),AND(TRIM(INDIRECT("A"&amp;ROW())) &lt;&gt; "",TRIM(INDIRECT("D"&amp;ROW())) = "nuevo"),"")</f>
        <v/>
      </c>
    </row>
    <row r="729" ht="27.5" customHeight="1" s="62">
      <c r="C729" s="0">
        <f>LEN(INDIRECT(ADDRESS(ROW() + (0),COLUMN() + (-1))))</f>
        <v/>
      </c>
      <c r="D729" s="0" t="n"/>
      <c r="E729" s="38" t="n"/>
      <c r="G729" s="40" t="n"/>
      <c r="J729" s="31">
        <f>IF(INDIRECT(ADDRESS(ROW() + (0),COLUMN() + (1)))="Agregar cuotas", IF(("16%")="", "-", "16%"), IF(INDIRECT(ADDRESS(ROW() + (0),COLUMN() + (1)))="No agregar cuotas", IF(("16%")="", "-", "16%"), "-"))</f>
        <v/>
      </c>
      <c r="K729" s="0" t="n"/>
      <c r="L729" s="31">
        <f>IF(INDIRECT(ADDRESS(ROW() + (0),COLUMN() + (-1)))="Agregar cuotas", IF(("13.4%")="", "Sin costo", "13.4%"), IF(INDIRECT(ADDRESS(ROW() + (0),COLUMN() + (-1)))="No agregar cuotas", IF(("")="", "Sin costo", ""), "-"))</f>
        <v/>
      </c>
      <c r="M729" s="0" t="n"/>
      <c r="N729" s="0" t="n"/>
      <c r="O729" s="0" t="n"/>
      <c r="P729" s="47" t="n"/>
      <c r="R729" s="0" t="n"/>
      <c r="S729" s="0" t="n"/>
      <c r="U729" s="0" t="n"/>
      <c r="X729" s="0" t="n"/>
      <c r="AA729" s="0" t="n"/>
      <c r="AB7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29" s="53">
        <f>IF(OR(TRIM(INDIRECT("B"&amp;ROW())) &lt;&gt; "",TRIM(INDIRECT("A"&amp;ROW())) &lt;&gt; ""),AND(TRIM(INDIRECT("A"&amp;ROW())) &lt;&gt; "",TRIM(INDIRECT("D"&amp;ROW())) = "nuevo"),"")</f>
        <v/>
      </c>
    </row>
    <row r="730" ht="27.5" customHeight="1" s="62">
      <c r="C730" s="0">
        <f>LEN(INDIRECT(ADDRESS(ROW() + (0),COLUMN() + (-1))))</f>
        <v/>
      </c>
      <c r="D730" s="0" t="n"/>
      <c r="E730" s="38" t="n"/>
      <c r="G730" s="40" t="n"/>
      <c r="J730" s="31">
        <f>IF(INDIRECT(ADDRESS(ROW() + (0),COLUMN() + (1)))="Agregar cuotas", IF(("16%")="", "-", "16%"), IF(INDIRECT(ADDRESS(ROW() + (0),COLUMN() + (1)))="No agregar cuotas", IF(("16%")="", "-", "16%"), "-"))</f>
        <v/>
      </c>
      <c r="K730" s="0" t="n"/>
      <c r="L730" s="31">
        <f>IF(INDIRECT(ADDRESS(ROW() + (0),COLUMN() + (-1)))="Agregar cuotas", IF(("13.4%")="", "Sin costo", "13.4%"), IF(INDIRECT(ADDRESS(ROW() + (0),COLUMN() + (-1)))="No agregar cuotas", IF(("")="", "Sin costo", ""), "-"))</f>
        <v/>
      </c>
      <c r="M730" s="0" t="n"/>
      <c r="N730" s="0" t="n"/>
      <c r="O730" s="0" t="n"/>
      <c r="P730" s="47" t="n"/>
      <c r="R730" s="0" t="n"/>
      <c r="S730" s="0" t="n"/>
      <c r="U730" s="0" t="n"/>
      <c r="X730" s="0" t="n"/>
      <c r="AA730" s="0" t="n"/>
      <c r="AB7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0" s="53">
        <f>IF(OR(TRIM(INDIRECT("B"&amp;ROW())) &lt;&gt; "",TRIM(INDIRECT("A"&amp;ROW())) &lt;&gt; ""),AND(TRIM(INDIRECT("A"&amp;ROW())) &lt;&gt; "",TRIM(INDIRECT("D"&amp;ROW())) = "nuevo"),"")</f>
        <v/>
      </c>
    </row>
    <row r="731" ht="27.5" customHeight="1" s="62">
      <c r="C731" s="0">
        <f>LEN(INDIRECT(ADDRESS(ROW() + (0),COLUMN() + (-1))))</f>
        <v/>
      </c>
      <c r="D731" s="0" t="n"/>
      <c r="E731" s="38" t="n"/>
      <c r="G731" s="40" t="n"/>
      <c r="J731" s="31">
        <f>IF(INDIRECT(ADDRESS(ROW() + (0),COLUMN() + (1)))="Agregar cuotas", IF(("16%")="", "-", "16%"), IF(INDIRECT(ADDRESS(ROW() + (0),COLUMN() + (1)))="No agregar cuotas", IF(("16%")="", "-", "16%"), "-"))</f>
        <v/>
      </c>
      <c r="K731" s="0" t="n"/>
      <c r="L731" s="31">
        <f>IF(INDIRECT(ADDRESS(ROW() + (0),COLUMN() + (-1)))="Agregar cuotas", IF(("13.4%")="", "Sin costo", "13.4%"), IF(INDIRECT(ADDRESS(ROW() + (0),COLUMN() + (-1)))="No agregar cuotas", IF(("")="", "Sin costo", ""), "-"))</f>
        <v/>
      </c>
      <c r="M731" s="0" t="n"/>
      <c r="N731" s="0" t="n"/>
      <c r="O731" s="0" t="n"/>
      <c r="P731" s="47" t="n"/>
      <c r="R731" s="0" t="n"/>
      <c r="S731" s="0" t="n"/>
      <c r="U731" s="0" t="n"/>
      <c r="X731" s="0" t="n"/>
      <c r="AA731" s="0" t="n"/>
      <c r="AB7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1" s="53">
        <f>IF(OR(TRIM(INDIRECT("B"&amp;ROW())) &lt;&gt; "",TRIM(INDIRECT("A"&amp;ROW())) &lt;&gt; ""),AND(TRIM(INDIRECT("A"&amp;ROW())) &lt;&gt; "",TRIM(INDIRECT("D"&amp;ROW())) = "nuevo"),"")</f>
        <v/>
      </c>
    </row>
    <row r="732" ht="27.5" customHeight="1" s="62">
      <c r="C732" s="0">
        <f>LEN(INDIRECT(ADDRESS(ROW() + (0),COLUMN() + (-1))))</f>
        <v/>
      </c>
      <c r="D732" s="0" t="n"/>
      <c r="E732" s="38" t="n"/>
      <c r="G732" s="40" t="n"/>
      <c r="J732" s="31">
        <f>IF(INDIRECT(ADDRESS(ROW() + (0),COLUMN() + (1)))="Agregar cuotas", IF(("16%")="", "-", "16%"), IF(INDIRECT(ADDRESS(ROW() + (0),COLUMN() + (1)))="No agregar cuotas", IF(("16%")="", "-", "16%"), "-"))</f>
        <v/>
      </c>
      <c r="K732" s="0" t="n"/>
      <c r="L732" s="31">
        <f>IF(INDIRECT(ADDRESS(ROW() + (0),COLUMN() + (-1)))="Agregar cuotas", IF(("13.4%")="", "Sin costo", "13.4%"), IF(INDIRECT(ADDRESS(ROW() + (0),COLUMN() + (-1)))="No agregar cuotas", IF(("")="", "Sin costo", ""), "-"))</f>
        <v/>
      </c>
      <c r="M732" s="0" t="n"/>
      <c r="N732" s="0" t="n"/>
      <c r="O732" s="0" t="n"/>
      <c r="P732" s="47" t="n"/>
      <c r="R732" s="0" t="n"/>
      <c r="S732" s="0" t="n"/>
      <c r="U732" s="0" t="n"/>
      <c r="X732" s="0" t="n"/>
      <c r="AA732" s="0" t="n"/>
      <c r="AB7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2" s="53">
        <f>IF(OR(TRIM(INDIRECT("B"&amp;ROW())) &lt;&gt; "",TRIM(INDIRECT("A"&amp;ROW())) &lt;&gt; ""),AND(TRIM(INDIRECT("A"&amp;ROW())) &lt;&gt; "",TRIM(INDIRECT("D"&amp;ROW())) = "nuevo"),"")</f>
        <v/>
      </c>
    </row>
    <row r="733" ht="27.5" customHeight="1" s="62">
      <c r="C733" s="0">
        <f>LEN(INDIRECT(ADDRESS(ROW() + (0),COLUMN() + (-1))))</f>
        <v/>
      </c>
      <c r="D733" s="0" t="n"/>
      <c r="E733" s="38" t="n"/>
      <c r="G733" s="40" t="n"/>
      <c r="J733" s="31">
        <f>IF(INDIRECT(ADDRESS(ROW() + (0),COLUMN() + (1)))="Agregar cuotas", IF(("16%")="", "-", "16%"), IF(INDIRECT(ADDRESS(ROW() + (0),COLUMN() + (1)))="No agregar cuotas", IF(("16%")="", "-", "16%"), "-"))</f>
        <v/>
      </c>
      <c r="K733" s="0" t="n"/>
      <c r="L733" s="31">
        <f>IF(INDIRECT(ADDRESS(ROW() + (0),COLUMN() + (-1)))="Agregar cuotas", IF(("13.4%")="", "Sin costo", "13.4%"), IF(INDIRECT(ADDRESS(ROW() + (0),COLUMN() + (-1)))="No agregar cuotas", IF(("")="", "Sin costo", ""), "-"))</f>
        <v/>
      </c>
      <c r="M733" s="0" t="n"/>
      <c r="N733" s="0" t="n"/>
      <c r="O733" s="0" t="n"/>
      <c r="P733" s="47" t="n"/>
      <c r="R733" s="0" t="n"/>
      <c r="S733" s="0" t="n"/>
      <c r="U733" s="0" t="n"/>
      <c r="X733" s="0" t="n"/>
      <c r="AA733" s="0" t="n"/>
      <c r="AB7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3" s="53">
        <f>IF(OR(TRIM(INDIRECT("B"&amp;ROW())) &lt;&gt; "",TRIM(INDIRECT("A"&amp;ROW())) &lt;&gt; ""),AND(TRIM(INDIRECT("A"&amp;ROW())) &lt;&gt; "",TRIM(INDIRECT("D"&amp;ROW())) = "nuevo"),"")</f>
        <v/>
      </c>
    </row>
    <row r="734" ht="27.5" customHeight="1" s="62">
      <c r="C734" s="0">
        <f>LEN(INDIRECT(ADDRESS(ROW() + (0),COLUMN() + (-1))))</f>
        <v/>
      </c>
      <c r="D734" s="0" t="n"/>
      <c r="E734" s="38" t="n"/>
      <c r="G734" s="40" t="n"/>
      <c r="J734" s="31">
        <f>IF(INDIRECT(ADDRESS(ROW() + (0),COLUMN() + (1)))="Agregar cuotas", IF(("16%")="", "-", "16%"), IF(INDIRECT(ADDRESS(ROW() + (0),COLUMN() + (1)))="No agregar cuotas", IF(("16%")="", "-", "16%"), "-"))</f>
        <v/>
      </c>
      <c r="K734" s="0" t="n"/>
      <c r="L734" s="31">
        <f>IF(INDIRECT(ADDRESS(ROW() + (0),COLUMN() + (-1)))="Agregar cuotas", IF(("13.4%")="", "Sin costo", "13.4%"), IF(INDIRECT(ADDRESS(ROW() + (0),COLUMN() + (-1)))="No agregar cuotas", IF(("")="", "Sin costo", ""), "-"))</f>
        <v/>
      </c>
      <c r="M734" s="0" t="n"/>
      <c r="N734" s="0" t="n"/>
      <c r="O734" s="0" t="n"/>
      <c r="P734" s="47" t="n"/>
      <c r="R734" s="0" t="n"/>
      <c r="S734" s="0" t="n"/>
      <c r="U734" s="0" t="n"/>
      <c r="X734" s="0" t="n"/>
      <c r="AA734" s="0" t="n"/>
      <c r="AB7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4" s="53">
        <f>IF(OR(TRIM(INDIRECT("B"&amp;ROW())) &lt;&gt; "",TRIM(INDIRECT("A"&amp;ROW())) &lt;&gt; ""),AND(TRIM(INDIRECT("A"&amp;ROW())) &lt;&gt; "",TRIM(INDIRECT("D"&amp;ROW())) = "nuevo"),"")</f>
        <v/>
      </c>
    </row>
    <row r="735" ht="27.5" customHeight="1" s="62">
      <c r="C735" s="0">
        <f>LEN(INDIRECT(ADDRESS(ROW() + (0),COLUMN() + (-1))))</f>
        <v/>
      </c>
      <c r="D735" s="0" t="n"/>
      <c r="E735" s="38" t="n"/>
      <c r="G735" s="40" t="n"/>
      <c r="J735" s="31">
        <f>IF(INDIRECT(ADDRESS(ROW() + (0),COLUMN() + (1)))="Agregar cuotas", IF(("16%")="", "-", "16%"), IF(INDIRECT(ADDRESS(ROW() + (0),COLUMN() + (1)))="No agregar cuotas", IF(("16%")="", "-", "16%"), "-"))</f>
        <v/>
      </c>
      <c r="K735" s="0" t="n"/>
      <c r="L735" s="31">
        <f>IF(INDIRECT(ADDRESS(ROW() + (0),COLUMN() + (-1)))="Agregar cuotas", IF(("13.4%")="", "Sin costo", "13.4%"), IF(INDIRECT(ADDRESS(ROW() + (0),COLUMN() + (-1)))="No agregar cuotas", IF(("")="", "Sin costo", ""), "-"))</f>
        <v/>
      </c>
      <c r="M735" s="0" t="n"/>
      <c r="N735" s="0" t="n"/>
      <c r="O735" s="0" t="n"/>
      <c r="P735" s="47" t="n"/>
      <c r="R735" s="0" t="n"/>
      <c r="S735" s="0" t="n"/>
      <c r="U735" s="0" t="n"/>
      <c r="X735" s="0" t="n"/>
      <c r="AA735" s="0" t="n"/>
      <c r="AB7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5" s="53">
        <f>IF(OR(TRIM(INDIRECT("B"&amp;ROW())) &lt;&gt; "",TRIM(INDIRECT("A"&amp;ROW())) &lt;&gt; ""),AND(TRIM(INDIRECT("A"&amp;ROW())) &lt;&gt; "",TRIM(INDIRECT("D"&amp;ROW())) = "nuevo"),"")</f>
        <v/>
      </c>
    </row>
    <row r="736" ht="27.5" customHeight="1" s="62">
      <c r="C736" s="0">
        <f>LEN(INDIRECT(ADDRESS(ROW() + (0),COLUMN() + (-1))))</f>
        <v/>
      </c>
      <c r="D736" s="0" t="n"/>
      <c r="E736" s="38" t="n"/>
      <c r="G736" s="40" t="n"/>
      <c r="J736" s="31">
        <f>IF(INDIRECT(ADDRESS(ROW() + (0),COLUMN() + (1)))="Agregar cuotas", IF(("16%")="", "-", "16%"), IF(INDIRECT(ADDRESS(ROW() + (0),COLUMN() + (1)))="No agregar cuotas", IF(("16%")="", "-", "16%"), "-"))</f>
        <v/>
      </c>
      <c r="K736" s="0" t="n"/>
      <c r="L736" s="31">
        <f>IF(INDIRECT(ADDRESS(ROW() + (0),COLUMN() + (-1)))="Agregar cuotas", IF(("13.4%")="", "Sin costo", "13.4%"), IF(INDIRECT(ADDRESS(ROW() + (0),COLUMN() + (-1)))="No agregar cuotas", IF(("")="", "Sin costo", ""), "-"))</f>
        <v/>
      </c>
      <c r="M736" s="0" t="n"/>
      <c r="N736" s="0" t="n"/>
      <c r="O736" s="0" t="n"/>
      <c r="P736" s="47" t="n"/>
      <c r="R736" s="0" t="n"/>
      <c r="S736" s="0" t="n"/>
      <c r="U736" s="0" t="n"/>
      <c r="X736" s="0" t="n"/>
      <c r="AA736" s="0" t="n"/>
      <c r="AB7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6" s="53">
        <f>IF(OR(TRIM(INDIRECT("B"&amp;ROW())) &lt;&gt; "",TRIM(INDIRECT("A"&amp;ROW())) &lt;&gt; ""),AND(TRIM(INDIRECT("A"&amp;ROW())) &lt;&gt; "",TRIM(INDIRECT("D"&amp;ROW())) = "nuevo"),"")</f>
        <v/>
      </c>
    </row>
    <row r="737" ht="27.5" customHeight="1" s="62">
      <c r="C737" s="0">
        <f>LEN(INDIRECT(ADDRESS(ROW() + (0),COLUMN() + (-1))))</f>
        <v/>
      </c>
      <c r="D737" s="0" t="n"/>
      <c r="E737" s="38" t="n"/>
      <c r="G737" s="40" t="n"/>
      <c r="J737" s="31">
        <f>IF(INDIRECT(ADDRESS(ROW() + (0),COLUMN() + (1)))="Agregar cuotas", IF(("16%")="", "-", "16%"), IF(INDIRECT(ADDRESS(ROW() + (0),COLUMN() + (1)))="No agregar cuotas", IF(("16%")="", "-", "16%"), "-"))</f>
        <v/>
      </c>
      <c r="K737" s="0" t="n"/>
      <c r="L737" s="31">
        <f>IF(INDIRECT(ADDRESS(ROW() + (0),COLUMN() + (-1)))="Agregar cuotas", IF(("13.4%")="", "Sin costo", "13.4%"), IF(INDIRECT(ADDRESS(ROW() + (0),COLUMN() + (-1)))="No agregar cuotas", IF(("")="", "Sin costo", ""), "-"))</f>
        <v/>
      </c>
      <c r="M737" s="0" t="n"/>
      <c r="N737" s="0" t="n"/>
      <c r="O737" s="0" t="n"/>
      <c r="P737" s="47" t="n"/>
      <c r="R737" s="0" t="n"/>
      <c r="S737" s="0" t="n"/>
      <c r="U737" s="0" t="n"/>
      <c r="X737" s="0" t="n"/>
      <c r="AA737" s="0" t="n"/>
      <c r="AB7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7" s="53">
        <f>IF(OR(TRIM(INDIRECT("B"&amp;ROW())) &lt;&gt; "",TRIM(INDIRECT("A"&amp;ROW())) &lt;&gt; ""),AND(TRIM(INDIRECT("A"&amp;ROW())) &lt;&gt; "",TRIM(INDIRECT("D"&amp;ROW())) = "nuevo"),"")</f>
        <v/>
      </c>
    </row>
    <row r="738" ht="27.5" customHeight="1" s="62">
      <c r="C738" s="0">
        <f>LEN(INDIRECT(ADDRESS(ROW() + (0),COLUMN() + (-1))))</f>
        <v/>
      </c>
      <c r="D738" s="0" t="n"/>
      <c r="E738" s="38" t="n"/>
      <c r="G738" s="40" t="n"/>
      <c r="J738" s="31">
        <f>IF(INDIRECT(ADDRESS(ROW() + (0),COLUMN() + (1)))="Agregar cuotas", IF(("16%")="", "-", "16%"), IF(INDIRECT(ADDRESS(ROW() + (0),COLUMN() + (1)))="No agregar cuotas", IF(("16%")="", "-", "16%"), "-"))</f>
        <v/>
      </c>
      <c r="K738" s="0" t="n"/>
      <c r="L738" s="31">
        <f>IF(INDIRECT(ADDRESS(ROW() + (0),COLUMN() + (-1)))="Agregar cuotas", IF(("13.4%")="", "Sin costo", "13.4%"), IF(INDIRECT(ADDRESS(ROW() + (0),COLUMN() + (-1)))="No agregar cuotas", IF(("")="", "Sin costo", ""), "-"))</f>
        <v/>
      </c>
      <c r="M738" s="0" t="n"/>
      <c r="N738" s="0" t="n"/>
      <c r="O738" s="0" t="n"/>
      <c r="P738" s="47" t="n"/>
      <c r="R738" s="0" t="n"/>
      <c r="S738" s="0" t="n"/>
      <c r="U738" s="0" t="n"/>
      <c r="X738" s="0" t="n"/>
      <c r="AA738" s="0" t="n"/>
      <c r="AB7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8" s="53">
        <f>IF(OR(TRIM(INDIRECT("B"&amp;ROW())) &lt;&gt; "",TRIM(INDIRECT("A"&amp;ROW())) &lt;&gt; ""),AND(TRIM(INDIRECT("A"&amp;ROW())) &lt;&gt; "",TRIM(INDIRECT("D"&amp;ROW())) = "nuevo"),"")</f>
        <v/>
      </c>
    </row>
    <row r="739" ht="27.5" customHeight="1" s="62">
      <c r="C739" s="0">
        <f>LEN(INDIRECT(ADDRESS(ROW() + (0),COLUMN() + (-1))))</f>
        <v/>
      </c>
      <c r="D739" s="0" t="n"/>
      <c r="E739" s="38" t="n"/>
      <c r="G739" s="40" t="n"/>
      <c r="J739" s="31">
        <f>IF(INDIRECT(ADDRESS(ROW() + (0),COLUMN() + (1)))="Agregar cuotas", IF(("16%")="", "-", "16%"), IF(INDIRECT(ADDRESS(ROW() + (0),COLUMN() + (1)))="No agregar cuotas", IF(("16%")="", "-", "16%"), "-"))</f>
        <v/>
      </c>
      <c r="K739" s="0" t="n"/>
      <c r="L739" s="31">
        <f>IF(INDIRECT(ADDRESS(ROW() + (0),COLUMN() + (-1)))="Agregar cuotas", IF(("13.4%")="", "Sin costo", "13.4%"), IF(INDIRECT(ADDRESS(ROW() + (0),COLUMN() + (-1)))="No agregar cuotas", IF(("")="", "Sin costo", ""), "-"))</f>
        <v/>
      </c>
      <c r="M739" s="0" t="n"/>
      <c r="N739" s="0" t="n"/>
      <c r="O739" s="0" t="n"/>
      <c r="P739" s="47" t="n"/>
      <c r="R739" s="0" t="n"/>
      <c r="S739" s="0" t="n"/>
      <c r="U739" s="0" t="n"/>
      <c r="X739" s="0" t="n"/>
      <c r="AA739" s="0" t="n"/>
      <c r="AB7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39" s="53">
        <f>IF(OR(TRIM(INDIRECT("B"&amp;ROW())) &lt;&gt; "",TRIM(INDIRECT("A"&amp;ROW())) &lt;&gt; ""),AND(TRIM(INDIRECT("A"&amp;ROW())) &lt;&gt; "",TRIM(INDIRECT("D"&amp;ROW())) = "nuevo"),"")</f>
        <v/>
      </c>
    </row>
    <row r="740" ht="27.5" customHeight="1" s="62">
      <c r="C740" s="0">
        <f>LEN(INDIRECT(ADDRESS(ROW() + (0),COLUMN() + (-1))))</f>
        <v/>
      </c>
      <c r="D740" s="0" t="n"/>
      <c r="E740" s="38" t="n"/>
      <c r="G740" s="40" t="n"/>
      <c r="J740" s="31">
        <f>IF(INDIRECT(ADDRESS(ROW() + (0),COLUMN() + (1)))="Agregar cuotas", IF(("16%")="", "-", "16%"), IF(INDIRECT(ADDRESS(ROW() + (0),COLUMN() + (1)))="No agregar cuotas", IF(("16%")="", "-", "16%"), "-"))</f>
        <v/>
      </c>
      <c r="K740" s="0" t="n"/>
      <c r="L740" s="31">
        <f>IF(INDIRECT(ADDRESS(ROW() + (0),COLUMN() + (-1)))="Agregar cuotas", IF(("13.4%")="", "Sin costo", "13.4%"), IF(INDIRECT(ADDRESS(ROW() + (0),COLUMN() + (-1)))="No agregar cuotas", IF(("")="", "Sin costo", ""), "-"))</f>
        <v/>
      </c>
      <c r="M740" s="0" t="n"/>
      <c r="N740" s="0" t="n"/>
      <c r="O740" s="0" t="n"/>
      <c r="P740" s="47" t="n"/>
      <c r="R740" s="0" t="n"/>
      <c r="S740" s="0" t="n"/>
      <c r="U740" s="0" t="n"/>
      <c r="X740" s="0" t="n"/>
      <c r="AA740" s="0" t="n"/>
      <c r="AB7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0" s="53">
        <f>IF(OR(TRIM(INDIRECT("B"&amp;ROW())) &lt;&gt; "",TRIM(INDIRECT("A"&amp;ROW())) &lt;&gt; ""),AND(TRIM(INDIRECT("A"&amp;ROW())) &lt;&gt; "",TRIM(INDIRECT("D"&amp;ROW())) = "nuevo"),"")</f>
        <v/>
      </c>
    </row>
    <row r="741" ht="27.5" customHeight="1" s="62">
      <c r="C741" s="0">
        <f>LEN(INDIRECT(ADDRESS(ROW() + (0),COLUMN() + (-1))))</f>
        <v/>
      </c>
      <c r="D741" s="0" t="n"/>
      <c r="E741" s="38" t="n"/>
      <c r="G741" s="40" t="n"/>
      <c r="J741" s="31">
        <f>IF(INDIRECT(ADDRESS(ROW() + (0),COLUMN() + (1)))="Agregar cuotas", IF(("16%")="", "-", "16%"), IF(INDIRECT(ADDRESS(ROW() + (0),COLUMN() + (1)))="No agregar cuotas", IF(("16%")="", "-", "16%"), "-"))</f>
        <v/>
      </c>
      <c r="K741" s="0" t="n"/>
      <c r="L741" s="31">
        <f>IF(INDIRECT(ADDRESS(ROW() + (0),COLUMN() + (-1)))="Agregar cuotas", IF(("13.4%")="", "Sin costo", "13.4%"), IF(INDIRECT(ADDRESS(ROW() + (0),COLUMN() + (-1)))="No agregar cuotas", IF(("")="", "Sin costo", ""), "-"))</f>
        <v/>
      </c>
      <c r="M741" s="0" t="n"/>
      <c r="N741" s="0" t="n"/>
      <c r="O741" s="0" t="n"/>
      <c r="P741" s="47" t="n"/>
      <c r="R741" s="0" t="n"/>
      <c r="S741" s="0" t="n"/>
      <c r="U741" s="0" t="n"/>
      <c r="X741" s="0" t="n"/>
      <c r="AA741" s="0" t="n"/>
      <c r="AB7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1" s="53">
        <f>IF(OR(TRIM(INDIRECT("B"&amp;ROW())) &lt;&gt; "",TRIM(INDIRECT("A"&amp;ROW())) &lt;&gt; ""),AND(TRIM(INDIRECT("A"&amp;ROW())) &lt;&gt; "",TRIM(INDIRECT("D"&amp;ROW())) = "nuevo"),"")</f>
        <v/>
      </c>
    </row>
    <row r="742" ht="27.5" customHeight="1" s="62">
      <c r="C742" s="0">
        <f>LEN(INDIRECT(ADDRESS(ROW() + (0),COLUMN() + (-1))))</f>
        <v/>
      </c>
      <c r="D742" s="0" t="n"/>
      <c r="E742" s="38" t="n"/>
      <c r="G742" s="40" t="n"/>
      <c r="J742" s="31">
        <f>IF(INDIRECT(ADDRESS(ROW() + (0),COLUMN() + (1)))="Agregar cuotas", IF(("16%")="", "-", "16%"), IF(INDIRECT(ADDRESS(ROW() + (0),COLUMN() + (1)))="No agregar cuotas", IF(("16%")="", "-", "16%"), "-"))</f>
        <v/>
      </c>
      <c r="K742" s="0" t="n"/>
      <c r="L742" s="31">
        <f>IF(INDIRECT(ADDRESS(ROW() + (0),COLUMN() + (-1)))="Agregar cuotas", IF(("13.4%")="", "Sin costo", "13.4%"), IF(INDIRECT(ADDRESS(ROW() + (0),COLUMN() + (-1)))="No agregar cuotas", IF(("")="", "Sin costo", ""), "-"))</f>
        <v/>
      </c>
      <c r="M742" s="0" t="n"/>
      <c r="N742" s="0" t="n"/>
      <c r="O742" s="0" t="n"/>
      <c r="P742" s="47" t="n"/>
      <c r="R742" s="0" t="n"/>
      <c r="S742" s="0" t="n"/>
      <c r="U742" s="0" t="n"/>
      <c r="X742" s="0" t="n"/>
      <c r="AA742" s="0" t="n"/>
      <c r="AB7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2" s="53">
        <f>IF(OR(TRIM(INDIRECT("B"&amp;ROW())) &lt;&gt; "",TRIM(INDIRECT("A"&amp;ROW())) &lt;&gt; ""),AND(TRIM(INDIRECT("A"&amp;ROW())) &lt;&gt; "",TRIM(INDIRECT("D"&amp;ROW())) = "nuevo"),"")</f>
        <v/>
      </c>
    </row>
    <row r="743" ht="27.5" customHeight="1" s="62">
      <c r="C743" s="0">
        <f>LEN(INDIRECT(ADDRESS(ROW() + (0),COLUMN() + (-1))))</f>
        <v/>
      </c>
      <c r="D743" s="0" t="n"/>
      <c r="E743" s="38" t="n"/>
      <c r="G743" s="40" t="n"/>
      <c r="J743" s="31">
        <f>IF(INDIRECT(ADDRESS(ROW() + (0),COLUMN() + (1)))="Agregar cuotas", IF(("16%")="", "-", "16%"), IF(INDIRECT(ADDRESS(ROW() + (0),COLUMN() + (1)))="No agregar cuotas", IF(("16%")="", "-", "16%"), "-"))</f>
        <v/>
      </c>
      <c r="K743" s="0" t="n"/>
      <c r="L743" s="31">
        <f>IF(INDIRECT(ADDRESS(ROW() + (0),COLUMN() + (-1)))="Agregar cuotas", IF(("13.4%")="", "Sin costo", "13.4%"), IF(INDIRECT(ADDRESS(ROW() + (0),COLUMN() + (-1)))="No agregar cuotas", IF(("")="", "Sin costo", ""), "-"))</f>
        <v/>
      </c>
      <c r="M743" s="0" t="n"/>
      <c r="N743" s="0" t="n"/>
      <c r="O743" s="0" t="n"/>
      <c r="P743" s="47" t="n"/>
      <c r="R743" s="0" t="n"/>
      <c r="S743" s="0" t="n"/>
      <c r="U743" s="0" t="n"/>
      <c r="X743" s="0" t="n"/>
      <c r="AA743" s="0" t="n"/>
      <c r="AB7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3" s="53">
        <f>IF(OR(TRIM(INDIRECT("B"&amp;ROW())) &lt;&gt; "",TRIM(INDIRECT("A"&amp;ROW())) &lt;&gt; ""),AND(TRIM(INDIRECT("A"&amp;ROW())) &lt;&gt; "",TRIM(INDIRECT("D"&amp;ROW())) = "nuevo"),"")</f>
        <v/>
      </c>
    </row>
    <row r="744" ht="27.5" customHeight="1" s="62">
      <c r="C744" s="0">
        <f>LEN(INDIRECT(ADDRESS(ROW() + (0),COLUMN() + (-1))))</f>
        <v/>
      </c>
      <c r="D744" s="0" t="n"/>
      <c r="E744" s="38" t="n"/>
      <c r="G744" s="40" t="n"/>
      <c r="J744" s="31">
        <f>IF(INDIRECT(ADDRESS(ROW() + (0),COLUMN() + (1)))="Agregar cuotas", IF(("16%")="", "-", "16%"), IF(INDIRECT(ADDRESS(ROW() + (0),COLUMN() + (1)))="No agregar cuotas", IF(("16%")="", "-", "16%"), "-"))</f>
        <v/>
      </c>
      <c r="K744" s="0" t="n"/>
      <c r="L744" s="31">
        <f>IF(INDIRECT(ADDRESS(ROW() + (0),COLUMN() + (-1)))="Agregar cuotas", IF(("13.4%")="", "Sin costo", "13.4%"), IF(INDIRECT(ADDRESS(ROW() + (0),COLUMN() + (-1)))="No agregar cuotas", IF(("")="", "Sin costo", ""), "-"))</f>
        <v/>
      </c>
      <c r="M744" s="0" t="n"/>
      <c r="N744" s="0" t="n"/>
      <c r="O744" s="0" t="n"/>
      <c r="P744" s="47" t="n"/>
      <c r="R744" s="0" t="n"/>
      <c r="S744" s="0" t="n"/>
      <c r="U744" s="0" t="n"/>
      <c r="X744" s="0" t="n"/>
      <c r="AA744" s="0" t="n"/>
      <c r="AB7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4" s="53">
        <f>IF(OR(TRIM(INDIRECT("B"&amp;ROW())) &lt;&gt; "",TRIM(INDIRECT("A"&amp;ROW())) &lt;&gt; ""),AND(TRIM(INDIRECT("A"&amp;ROW())) &lt;&gt; "",TRIM(INDIRECT("D"&amp;ROW())) = "nuevo"),"")</f>
        <v/>
      </c>
    </row>
    <row r="745" ht="27.5" customHeight="1" s="62">
      <c r="C745" s="0">
        <f>LEN(INDIRECT(ADDRESS(ROW() + (0),COLUMN() + (-1))))</f>
        <v/>
      </c>
      <c r="D745" s="0" t="n"/>
      <c r="E745" s="38" t="n"/>
      <c r="G745" s="40" t="n"/>
      <c r="J745" s="31">
        <f>IF(INDIRECT(ADDRESS(ROW() + (0),COLUMN() + (1)))="Agregar cuotas", IF(("16%")="", "-", "16%"), IF(INDIRECT(ADDRESS(ROW() + (0),COLUMN() + (1)))="No agregar cuotas", IF(("16%")="", "-", "16%"), "-"))</f>
        <v/>
      </c>
      <c r="K745" s="0" t="n"/>
      <c r="L745" s="31">
        <f>IF(INDIRECT(ADDRESS(ROW() + (0),COLUMN() + (-1)))="Agregar cuotas", IF(("13.4%")="", "Sin costo", "13.4%"), IF(INDIRECT(ADDRESS(ROW() + (0),COLUMN() + (-1)))="No agregar cuotas", IF(("")="", "Sin costo", ""), "-"))</f>
        <v/>
      </c>
      <c r="M745" s="0" t="n"/>
      <c r="N745" s="0" t="n"/>
      <c r="O745" s="0" t="n"/>
      <c r="P745" s="47" t="n"/>
      <c r="R745" s="0" t="n"/>
      <c r="S745" s="0" t="n"/>
      <c r="U745" s="0" t="n"/>
      <c r="X745" s="0" t="n"/>
      <c r="AA745" s="0" t="n"/>
      <c r="AB7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5" s="53">
        <f>IF(OR(TRIM(INDIRECT("B"&amp;ROW())) &lt;&gt; "",TRIM(INDIRECT("A"&amp;ROW())) &lt;&gt; ""),AND(TRIM(INDIRECT("A"&amp;ROW())) &lt;&gt; "",TRIM(INDIRECT("D"&amp;ROW())) = "nuevo"),"")</f>
        <v/>
      </c>
    </row>
    <row r="746" ht="27.5" customHeight="1" s="62">
      <c r="C746" s="0">
        <f>LEN(INDIRECT(ADDRESS(ROW() + (0),COLUMN() + (-1))))</f>
        <v/>
      </c>
      <c r="D746" s="0" t="n"/>
      <c r="E746" s="38" t="n"/>
      <c r="G746" s="40" t="n"/>
      <c r="J746" s="31">
        <f>IF(INDIRECT(ADDRESS(ROW() + (0),COLUMN() + (1)))="Agregar cuotas", IF(("16%")="", "-", "16%"), IF(INDIRECT(ADDRESS(ROW() + (0),COLUMN() + (1)))="No agregar cuotas", IF(("16%")="", "-", "16%"), "-"))</f>
        <v/>
      </c>
      <c r="K746" s="0" t="n"/>
      <c r="L746" s="31">
        <f>IF(INDIRECT(ADDRESS(ROW() + (0),COLUMN() + (-1)))="Agregar cuotas", IF(("13.4%")="", "Sin costo", "13.4%"), IF(INDIRECT(ADDRESS(ROW() + (0),COLUMN() + (-1)))="No agregar cuotas", IF(("")="", "Sin costo", ""), "-"))</f>
        <v/>
      </c>
      <c r="M746" s="0" t="n"/>
      <c r="N746" s="0" t="n"/>
      <c r="O746" s="0" t="n"/>
      <c r="P746" s="47" t="n"/>
      <c r="R746" s="0" t="n"/>
      <c r="S746" s="0" t="n"/>
      <c r="U746" s="0" t="n"/>
      <c r="X746" s="0" t="n"/>
      <c r="AA746" s="0" t="n"/>
      <c r="AB7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6" s="53">
        <f>IF(OR(TRIM(INDIRECT("B"&amp;ROW())) &lt;&gt; "",TRIM(INDIRECT("A"&amp;ROW())) &lt;&gt; ""),AND(TRIM(INDIRECT("A"&amp;ROW())) &lt;&gt; "",TRIM(INDIRECT("D"&amp;ROW())) = "nuevo"),"")</f>
        <v/>
      </c>
    </row>
    <row r="747" ht="27.5" customHeight="1" s="62">
      <c r="C747" s="0">
        <f>LEN(INDIRECT(ADDRESS(ROW() + (0),COLUMN() + (-1))))</f>
        <v/>
      </c>
      <c r="D747" s="0" t="n"/>
      <c r="E747" s="38" t="n"/>
      <c r="G747" s="40" t="n"/>
      <c r="J747" s="31">
        <f>IF(INDIRECT(ADDRESS(ROW() + (0),COLUMN() + (1)))="Agregar cuotas", IF(("16%")="", "-", "16%"), IF(INDIRECT(ADDRESS(ROW() + (0),COLUMN() + (1)))="No agregar cuotas", IF(("16%")="", "-", "16%"), "-"))</f>
        <v/>
      </c>
      <c r="K747" s="0" t="n"/>
      <c r="L747" s="31">
        <f>IF(INDIRECT(ADDRESS(ROW() + (0),COLUMN() + (-1)))="Agregar cuotas", IF(("13.4%")="", "Sin costo", "13.4%"), IF(INDIRECT(ADDRESS(ROW() + (0),COLUMN() + (-1)))="No agregar cuotas", IF(("")="", "Sin costo", ""), "-"))</f>
        <v/>
      </c>
      <c r="M747" s="0" t="n"/>
      <c r="N747" s="0" t="n"/>
      <c r="O747" s="0" t="n"/>
      <c r="P747" s="47" t="n"/>
      <c r="R747" s="0" t="n"/>
      <c r="S747" s="0" t="n"/>
      <c r="U747" s="0" t="n"/>
      <c r="X747" s="0" t="n"/>
      <c r="AA747" s="0" t="n"/>
      <c r="AB7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7" s="53">
        <f>IF(OR(TRIM(INDIRECT("B"&amp;ROW())) &lt;&gt; "",TRIM(INDIRECT("A"&amp;ROW())) &lt;&gt; ""),AND(TRIM(INDIRECT("A"&amp;ROW())) &lt;&gt; "",TRIM(INDIRECT("D"&amp;ROW())) = "nuevo"),"")</f>
        <v/>
      </c>
    </row>
    <row r="748" ht="27.5" customHeight="1" s="62">
      <c r="C748" s="0">
        <f>LEN(INDIRECT(ADDRESS(ROW() + (0),COLUMN() + (-1))))</f>
        <v/>
      </c>
      <c r="D748" s="0" t="n"/>
      <c r="E748" s="38" t="n"/>
      <c r="G748" s="40" t="n"/>
      <c r="J748" s="31">
        <f>IF(INDIRECT(ADDRESS(ROW() + (0),COLUMN() + (1)))="Agregar cuotas", IF(("16%")="", "-", "16%"), IF(INDIRECT(ADDRESS(ROW() + (0),COLUMN() + (1)))="No agregar cuotas", IF(("16%")="", "-", "16%"), "-"))</f>
        <v/>
      </c>
      <c r="K748" s="0" t="n"/>
      <c r="L748" s="31">
        <f>IF(INDIRECT(ADDRESS(ROW() + (0),COLUMN() + (-1)))="Agregar cuotas", IF(("13.4%")="", "Sin costo", "13.4%"), IF(INDIRECT(ADDRESS(ROW() + (0),COLUMN() + (-1)))="No agregar cuotas", IF(("")="", "Sin costo", ""), "-"))</f>
        <v/>
      </c>
      <c r="M748" s="0" t="n"/>
      <c r="N748" s="0" t="n"/>
      <c r="O748" s="0" t="n"/>
      <c r="P748" s="47" t="n"/>
      <c r="R748" s="0" t="n"/>
      <c r="S748" s="0" t="n"/>
      <c r="U748" s="0" t="n"/>
      <c r="X748" s="0" t="n"/>
      <c r="AA748" s="0" t="n"/>
      <c r="AB7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8" s="53">
        <f>IF(OR(TRIM(INDIRECT("B"&amp;ROW())) &lt;&gt; "",TRIM(INDIRECT("A"&amp;ROW())) &lt;&gt; ""),AND(TRIM(INDIRECT("A"&amp;ROW())) &lt;&gt; "",TRIM(INDIRECT("D"&amp;ROW())) = "nuevo"),"")</f>
        <v/>
      </c>
    </row>
    <row r="749" ht="27.5" customHeight="1" s="62">
      <c r="C749" s="0">
        <f>LEN(INDIRECT(ADDRESS(ROW() + (0),COLUMN() + (-1))))</f>
        <v/>
      </c>
      <c r="D749" s="0" t="n"/>
      <c r="E749" s="38" t="n"/>
      <c r="G749" s="40" t="n"/>
      <c r="J749" s="31">
        <f>IF(INDIRECT(ADDRESS(ROW() + (0),COLUMN() + (1)))="Agregar cuotas", IF(("16%")="", "-", "16%"), IF(INDIRECT(ADDRESS(ROW() + (0),COLUMN() + (1)))="No agregar cuotas", IF(("16%")="", "-", "16%"), "-"))</f>
        <v/>
      </c>
      <c r="K749" s="0" t="n"/>
      <c r="L749" s="31">
        <f>IF(INDIRECT(ADDRESS(ROW() + (0),COLUMN() + (-1)))="Agregar cuotas", IF(("13.4%")="", "Sin costo", "13.4%"), IF(INDIRECT(ADDRESS(ROW() + (0),COLUMN() + (-1)))="No agregar cuotas", IF(("")="", "Sin costo", ""), "-"))</f>
        <v/>
      </c>
      <c r="M749" s="0" t="n"/>
      <c r="N749" s="0" t="n"/>
      <c r="O749" s="0" t="n"/>
      <c r="P749" s="47" t="n"/>
      <c r="R749" s="0" t="n"/>
      <c r="S749" s="0" t="n"/>
      <c r="U749" s="0" t="n"/>
      <c r="X749" s="0" t="n"/>
      <c r="AA749" s="0" t="n"/>
      <c r="AB7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49" s="53">
        <f>IF(OR(TRIM(INDIRECT("B"&amp;ROW())) &lt;&gt; "",TRIM(INDIRECT("A"&amp;ROW())) &lt;&gt; ""),AND(TRIM(INDIRECT("A"&amp;ROW())) &lt;&gt; "",TRIM(INDIRECT("D"&amp;ROW())) = "nuevo"),"")</f>
        <v/>
      </c>
    </row>
    <row r="750" ht="27.5" customHeight="1" s="62">
      <c r="C750" s="0">
        <f>LEN(INDIRECT(ADDRESS(ROW() + (0),COLUMN() + (-1))))</f>
        <v/>
      </c>
      <c r="D750" s="0" t="n"/>
      <c r="E750" s="38" t="n"/>
      <c r="G750" s="40" t="n"/>
      <c r="J750" s="31">
        <f>IF(INDIRECT(ADDRESS(ROW() + (0),COLUMN() + (1)))="Agregar cuotas", IF(("16%")="", "-", "16%"), IF(INDIRECT(ADDRESS(ROW() + (0),COLUMN() + (1)))="No agregar cuotas", IF(("16%")="", "-", "16%"), "-"))</f>
        <v/>
      </c>
      <c r="K750" s="0" t="n"/>
      <c r="L750" s="31">
        <f>IF(INDIRECT(ADDRESS(ROW() + (0),COLUMN() + (-1)))="Agregar cuotas", IF(("13.4%")="", "Sin costo", "13.4%"), IF(INDIRECT(ADDRESS(ROW() + (0),COLUMN() + (-1)))="No agregar cuotas", IF(("")="", "Sin costo", ""), "-"))</f>
        <v/>
      </c>
      <c r="M750" s="0" t="n"/>
      <c r="N750" s="0" t="n"/>
      <c r="O750" s="0" t="n"/>
      <c r="P750" s="47" t="n"/>
      <c r="R750" s="0" t="n"/>
      <c r="S750" s="0" t="n"/>
      <c r="U750" s="0" t="n"/>
      <c r="X750" s="0" t="n"/>
      <c r="AA750" s="0" t="n"/>
      <c r="AB7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0" s="53">
        <f>IF(OR(TRIM(INDIRECT("B"&amp;ROW())) &lt;&gt; "",TRIM(INDIRECT("A"&amp;ROW())) &lt;&gt; ""),AND(TRIM(INDIRECT("A"&amp;ROW())) &lt;&gt; "",TRIM(INDIRECT("D"&amp;ROW())) = "nuevo"),"")</f>
        <v/>
      </c>
    </row>
    <row r="751" ht="27.5" customHeight="1" s="62">
      <c r="C751" s="0">
        <f>LEN(INDIRECT(ADDRESS(ROW() + (0),COLUMN() + (-1))))</f>
        <v/>
      </c>
      <c r="D751" s="0" t="n"/>
      <c r="E751" s="38" t="n"/>
      <c r="G751" s="40" t="n"/>
      <c r="J751" s="31">
        <f>IF(INDIRECT(ADDRESS(ROW() + (0),COLUMN() + (1)))="Agregar cuotas", IF(("16%")="", "-", "16%"), IF(INDIRECT(ADDRESS(ROW() + (0),COLUMN() + (1)))="No agregar cuotas", IF(("16%")="", "-", "16%"), "-"))</f>
        <v/>
      </c>
      <c r="K751" s="0" t="n"/>
      <c r="L751" s="31">
        <f>IF(INDIRECT(ADDRESS(ROW() + (0),COLUMN() + (-1)))="Agregar cuotas", IF(("13.4%")="", "Sin costo", "13.4%"), IF(INDIRECT(ADDRESS(ROW() + (0),COLUMN() + (-1)))="No agregar cuotas", IF(("")="", "Sin costo", ""), "-"))</f>
        <v/>
      </c>
      <c r="M751" s="0" t="n"/>
      <c r="N751" s="0" t="n"/>
      <c r="O751" s="0" t="n"/>
      <c r="P751" s="47" t="n"/>
      <c r="R751" s="0" t="n"/>
      <c r="S751" s="0" t="n"/>
      <c r="U751" s="0" t="n"/>
      <c r="X751" s="0" t="n"/>
      <c r="AA751" s="0" t="n"/>
      <c r="AB7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1" s="53">
        <f>IF(OR(TRIM(INDIRECT("B"&amp;ROW())) &lt;&gt; "",TRIM(INDIRECT("A"&amp;ROW())) &lt;&gt; ""),AND(TRIM(INDIRECT("A"&amp;ROW())) &lt;&gt; "",TRIM(INDIRECT("D"&amp;ROW())) = "nuevo"),"")</f>
        <v/>
      </c>
    </row>
    <row r="752" ht="27.5" customHeight="1" s="62">
      <c r="C752" s="0">
        <f>LEN(INDIRECT(ADDRESS(ROW() + (0),COLUMN() + (-1))))</f>
        <v/>
      </c>
      <c r="D752" s="0" t="n"/>
      <c r="E752" s="38" t="n"/>
      <c r="G752" s="40" t="n"/>
      <c r="J752" s="31">
        <f>IF(INDIRECT(ADDRESS(ROW() + (0),COLUMN() + (1)))="Agregar cuotas", IF(("16%")="", "-", "16%"), IF(INDIRECT(ADDRESS(ROW() + (0),COLUMN() + (1)))="No agregar cuotas", IF(("16%")="", "-", "16%"), "-"))</f>
        <v/>
      </c>
      <c r="K752" s="0" t="n"/>
      <c r="L752" s="31">
        <f>IF(INDIRECT(ADDRESS(ROW() + (0),COLUMN() + (-1)))="Agregar cuotas", IF(("13.4%")="", "Sin costo", "13.4%"), IF(INDIRECT(ADDRESS(ROW() + (0),COLUMN() + (-1)))="No agregar cuotas", IF(("")="", "Sin costo", ""), "-"))</f>
        <v/>
      </c>
      <c r="M752" s="0" t="n"/>
      <c r="N752" s="0" t="n"/>
      <c r="O752" s="0" t="n"/>
      <c r="P752" s="47" t="n"/>
      <c r="R752" s="0" t="n"/>
      <c r="S752" s="0" t="n"/>
      <c r="U752" s="0" t="n"/>
      <c r="X752" s="0" t="n"/>
      <c r="AA752" s="0" t="n"/>
      <c r="AB7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2" s="53">
        <f>IF(OR(TRIM(INDIRECT("B"&amp;ROW())) &lt;&gt; "",TRIM(INDIRECT("A"&amp;ROW())) &lt;&gt; ""),AND(TRIM(INDIRECT("A"&amp;ROW())) &lt;&gt; "",TRIM(INDIRECT("D"&amp;ROW())) = "nuevo"),"")</f>
        <v/>
      </c>
    </row>
    <row r="753" ht="27.5" customHeight="1" s="62">
      <c r="C753" s="0">
        <f>LEN(INDIRECT(ADDRESS(ROW() + (0),COLUMN() + (-1))))</f>
        <v/>
      </c>
      <c r="D753" s="0" t="n"/>
      <c r="E753" s="38" t="n"/>
      <c r="G753" s="40" t="n"/>
      <c r="J753" s="31">
        <f>IF(INDIRECT(ADDRESS(ROW() + (0),COLUMN() + (1)))="Agregar cuotas", IF(("16%")="", "-", "16%"), IF(INDIRECT(ADDRESS(ROW() + (0),COLUMN() + (1)))="No agregar cuotas", IF(("16%")="", "-", "16%"), "-"))</f>
        <v/>
      </c>
      <c r="K753" s="0" t="n"/>
      <c r="L753" s="31">
        <f>IF(INDIRECT(ADDRESS(ROW() + (0),COLUMN() + (-1)))="Agregar cuotas", IF(("13.4%")="", "Sin costo", "13.4%"), IF(INDIRECT(ADDRESS(ROW() + (0),COLUMN() + (-1)))="No agregar cuotas", IF(("")="", "Sin costo", ""), "-"))</f>
        <v/>
      </c>
      <c r="M753" s="0" t="n"/>
      <c r="N753" s="0" t="n"/>
      <c r="O753" s="0" t="n"/>
      <c r="P753" s="47" t="n"/>
      <c r="R753" s="0" t="n"/>
      <c r="S753" s="0" t="n"/>
      <c r="U753" s="0" t="n"/>
      <c r="X753" s="0" t="n"/>
      <c r="AA753" s="0" t="n"/>
      <c r="AB7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3" s="53">
        <f>IF(OR(TRIM(INDIRECT("B"&amp;ROW())) &lt;&gt; "",TRIM(INDIRECT("A"&amp;ROW())) &lt;&gt; ""),AND(TRIM(INDIRECT("A"&amp;ROW())) &lt;&gt; "",TRIM(INDIRECT("D"&amp;ROW())) = "nuevo"),"")</f>
        <v/>
      </c>
    </row>
    <row r="754" ht="27.5" customHeight="1" s="62">
      <c r="C754" s="0">
        <f>LEN(INDIRECT(ADDRESS(ROW() + (0),COLUMN() + (-1))))</f>
        <v/>
      </c>
      <c r="D754" s="0" t="n"/>
      <c r="E754" s="38" t="n"/>
      <c r="G754" s="40" t="n"/>
      <c r="J754" s="31">
        <f>IF(INDIRECT(ADDRESS(ROW() + (0),COLUMN() + (1)))="Agregar cuotas", IF(("16%")="", "-", "16%"), IF(INDIRECT(ADDRESS(ROW() + (0),COLUMN() + (1)))="No agregar cuotas", IF(("16%")="", "-", "16%"), "-"))</f>
        <v/>
      </c>
      <c r="K754" s="0" t="n"/>
      <c r="L754" s="31">
        <f>IF(INDIRECT(ADDRESS(ROW() + (0),COLUMN() + (-1)))="Agregar cuotas", IF(("13.4%")="", "Sin costo", "13.4%"), IF(INDIRECT(ADDRESS(ROW() + (0),COLUMN() + (-1)))="No agregar cuotas", IF(("")="", "Sin costo", ""), "-"))</f>
        <v/>
      </c>
      <c r="M754" s="0" t="n"/>
      <c r="N754" s="0" t="n"/>
      <c r="O754" s="0" t="n"/>
      <c r="P754" s="47" t="n"/>
      <c r="R754" s="0" t="n"/>
      <c r="S754" s="0" t="n"/>
      <c r="U754" s="0" t="n"/>
      <c r="X754" s="0" t="n"/>
      <c r="AA754" s="0" t="n"/>
      <c r="AB7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4" s="53">
        <f>IF(OR(TRIM(INDIRECT("B"&amp;ROW())) &lt;&gt; "",TRIM(INDIRECT("A"&amp;ROW())) &lt;&gt; ""),AND(TRIM(INDIRECT("A"&amp;ROW())) &lt;&gt; "",TRIM(INDIRECT("D"&amp;ROW())) = "nuevo"),"")</f>
        <v/>
      </c>
    </row>
    <row r="755" ht="27.5" customHeight="1" s="62">
      <c r="C755" s="0">
        <f>LEN(INDIRECT(ADDRESS(ROW() + (0),COLUMN() + (-1))))</f>
        <v/>
      </c>
      <c r="D755" s="0" t="n"/>
      <c r="E755" s="38" t="n"/>
      <c r="G755" s="40" t="n"/>
      <c r="J755" s="31">
        <f>IF(INDIRECT(ADDRESS(ROW() + (0),COLUMN() + (1)))="Agregar cuotas", IF(("16%")="", "-", "16%"), IF(INDIRECT(ADDRESS(ROW() + (0),COLUMN() + (1)))="No agregar cuotas", IF(("16%")="", "-", "16%"), "-"))</f>
        <v/>
      </c>
      <c r="K755" s="0" t="n"/>
      <c r="L755" s="31">
        <f>IF(INDIRECT(ADDRESS(ROW() + (0),COLUMN() + (-1)))="Agregar cuotas", IF(("13.4%")="", "Sin costo", "13.4%"), IF(INDIRECT(ADDRESS(ROW() + (0),COLUMN() + (-1)))="No agregar cuotas", IF(("")="", "Sin costo", ""), "-"))</f>
        <v/>
      </c>
      <c r="M755" s="0" t="n"/>
      <c r="N755" s="0" t="n"/>
      <c r="O755" s="0" t="n"/>
      <c r="P755" s="47" t="n"/>
      <c r="R755" s="0" t="n"/>
      <c r="S755" s="0" t="n"/>
      <c r="U755" s="0" t="n"/>
      <c r="X755" s="0" t="n"/>
      <c r="AA755" s="0" t="n"/>
      <c r="AB7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5" s="53">
        <f>IF(OR(TRIM(INDIRECT("B"&amp;ROW())) &lt;&gt; "",TRIM(INDIRECT("A"&amp;ROW())) &lt;&gt; ""),AND(TRIM(INDIRECT("A"&amp;ROW())) &lt;&gt; "",TRIM(INDIRECT("D"&amp;ROW())) = "nuevo"),"")</f>
        <v/>
      </c>
    </row>
    <row r="756" ht="27.5" customHeight="1" s="62">
      <c r="C756" s="0">
        <f>LEN(INDIRECT(ADDRESS(ROW() + (0),COLUMN() + (-1))))</f>
        <v/>
      </c>
      <c r="D756" s="0" t="n"/>
      <c r="E756" s="38" t="n"/>
      <c r="G756" s="40" t="n"/>
      <c r="J756" s="31">
        <f>IF(INDIRECT(ADDRESS(ROW() + (0),COLUMN() + (1)))="Agregar cuotas", IF(("16%")="", "-", "16%"), IF(INDIRECT(ADDRESS(ROW() + (0),COLUMN() + (1)))="No agregar cuotas", IF(("16%")="", "-", "16%"), "-"))</f>
        <v/>
      </c>
      <c r="K756" s="0" t="n"/>
      <c r="L756" s="31">
        <f>IF(INDIRECT(ADDRESS(ROW() + (0),COLUMN() + (-1)))="Agregar cuotas", IF(("13.4%")="", "Sin costo", "13.4%"), IF(INDIRECT(ADDRESS(ROW() + (0),COLUMN() + (-1)))="No agregar cuotas", IF(("")="", "Sin costo", ""), "-"))</f>
        <v/>
      </c>
      <c r="M756" s="0" t="n"/>
      <c r="N756" s="0" t="n"/>
      <c r="O756" s="0" t="n"/>
      <c r="P756" s="47" t="n"/>
      <c r="R756" s="0" t="n"/>
      <c r="S756" s="0" t="n"/>
      <c r="U756" s="0" t="n"/>
      <c r="X756" s="0" t="n"/>
      <c r="AA756" s="0" t="n"/>
      <c r="AB7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6" s="53">
        <f>IF(OR(TRIM(INDIRECT("B"&amp;ROW())) &lt;&gt; "",TRIM(INDIRECT("A"&amp;ROW())) &lt;&gt; ""),AND(TRIM(INDIRECT("A"&amp;ROW())) &lt;&gt; "",TRIM(INDIRECT("D"&amp;ROW())) = "nuevo"),"")</f>
        <v/>
      </c>
    </row>
    <row r="757" ht="27.5" customHeight="1" s="62">
      <c r="C757" s="0">
        <f>LEN(INDIRECT(ADDRESS(ROW() + (0),COLUMN() + (-1))))</f>
        <v/>
      </c>
      <c r="D757" s="0" t="n"/>
      <c r="E757" s="38" t="n"/>
      <c r="G757" s="40" t="n"/>
      <c r="J757" s="31">
        <f>IF(INDIRECT(ADDRESS(ROW() + (0),COLUMN() + (1)))="Agregar cuotas", IF(("16%")="", "-", "16%"), IF(INDIRECT(ADDRESS(ROW() + (0),COLUMN() + (1)))="No agregar cuotas", IF(("16%")="", "-", "16%"), "-"))</f>
        <v/>
      </c>
      <c r="K757" s="0" t="n"/>
      <c r="L757" s="31">
        <f>IF(INDIRECT(ADDRESS(ROW() + (0),COLUMN() + (-1)))="Agregar cuotas", IF(("13.4%")="", "Sin costo", "13.4%"), IF(INDIRECT(ADDRESS(ROW() + (0),COLUMN() + (-1)))="No agregar cuotas", IF(("")="", "Sin costo", ""), "-"))</f>
        <v/>
      </c>
      <c r="M757" s="0" t="n"/>
      <c r="N757" s="0" t="n"/>
      <c r="O757" s="0" t="n"/>
      <c r="P757" s="47" t="n"/>
      <c r="R757" s="0" t="n"/>
      <c r="S757" s="0" t="n"/>
      <c r="U757" s="0" t="n"/>
      <c r="X757" s="0" t="n"/>
      <c r="AA757" s="0" t="n"/>
      <c r="AB7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7" s="53">
        <f>IF(OR(TRIM(INDIRECT("B"&amp;ROW())) &lt;&gt; "",TRIM(INDIRECT("A"&amp;ROW())) &lt;&gt; ""),AND(TRIM(INDIRECT("A"&amp;ROW())) &lt;&gt; "",TRIM(INDIRECT("D"&amp;ROW())) = "nuevo"),"")</f>
        <v/>
      </c>
    </row>
    <row r="758" ht="27.5" customHeight="1" s="62">
      <c r="C758" s="0">
        <f>LEN(INDIRECT(ADDRESS(ROW() + (0),COLUMN() + (-1))))</f>
        <v/>
      </c>
      <c r="D758" s="0" t="n"/>
      <c r="E758" s="38" t="n"/>
      <c r="G758" s="40" t="n"/>
      <c r="J758" s="31">
        <f>IF(INDIRECT(ADDRESS(ROW() + (0),COLUMN() + (1)))="Agregar cuotas", IF(("16%")="", "-", "16%"), IF(INDIRECT(ADDRESS(ROW() + (0),COLUMN() + (1)))="No agregar cuotas", IF(("16%")="", "-", "16%"), "-"))</f>
        <v/>
      </c>
      <c r="K758" s="0" t="n"/>
      <c r="L758" s="31">
        <f>IF(INDIRECT(ADDRESS(ROW() + (0),COLUMN() + (-1)))="Agregar cuotas", IF(("13.4%")="", "Sin costo", "13.4%"), IF(INDIRECT(ADDRESS(ROW() + (0),COLUMN() + (-1)))="No agregar cuotas", IF(("")="", "Sin costo", ""), "-"))</f>
        <v/>
      </c>
      <c r="M758" s="0" t="n"/>
      <c r="N758" s="0" t="n"/>
      <c r="O758" s="0" t="n"/>
      <c r="P758" s="47" t="n"/>
      <c r="R758" s="0" t="n"/>
      <c r="S758" s="0" t="n"/>
      <c r="U758" s="0" t="n"/>
      <c r="X758" s="0" t="n"/>
      <c r="AA758" s="0" t="n"/>
      <c r="AB7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8" s="53">
        <f>IF(OR(TRIM(INDIRECT("B"&amp;ROW())) &lt;&gt; "",TRIM(INDIRECT("A"&amp;ROW())) &lt;&gt; ""),AND(TRIM(INDIRECT("A"&amp;ROW())) &lt;&gt; "",TRIM(INDIRECT("D"&amp;ROW())) = "nuevo"),"")</f>
        <v/>
      </c>
    </row>
    <row r="759" ht="27.5" customHeight="1" s="62">
      <c r="C759" s="0">
        <f>LEN(INDIRECT(ADDRESS(ROW() + (0),COLUMN() + (-1))))</f>
        <v/>
      </c>
      <c r="D759" s="0" t="n"/>
      <c r="E759" s="38" t="n"/>
      <c r="G759" s="40" t="n"/>
      <c r="J759" s="31">
        <f>IF(INDIRECT(ADDRESS(ROW() + (0),COLUMN() + (1)))="Agregar cuotas", IF(("16%")="", "-", "16%"), IF(INDIRECT(ADDRESS(ROW() + (0),COLUMN() + (1)))="No agregar cuotas", IF(("16%")="", "-", "16%"), "-"))</f>
        <v/>
      </c>
      <c r="K759" s="0" t="n"/>
      <c r="L759" s="31">
        <f>IF(INDIRECT(ADDRESS(ROW() + (0),COLUMN() + (-1)))="Agregar cuotas", IF(("13.4%")="", "Sin costo", "13.4%"), IF(INDIRECT(ADDRESS(ROW() + (0),COLUMN() + (-1)))="No agregar cuotas", IF(("")="", "Sin costo", ""), "-"))</f>
        <v/>
      </c>
      <c r="M759" s="0" t="n"/>
      <c r="N759" s="0" t="n"/>
      <c r="O759" s="0" t="n"/>
      <c r="P759" s="47" t="n"/>
      <c r="R759" s="0" t="n"/>
      <c r="S759" s="0" t="n"/>
      <c r="U759" s="0" t="n"/>
      <c r="X759" s="0" t="n"/>
      <c r="AA759" s="0" t="n"/>
      <c r="AB7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59" s="53">
        <f>IF(OR(TRIM(INDIRECT("B"&amp;ROW())) &lt;&gt; "",TRIM(INDIRECT("A"&amp;ROW())) &lt;&gt; ""),AND(TRIM(INDIRECT("A"&amp;ROW())) &lt;&gt; "",TRIM(INDIRECT("D"&amp;ROW())) = "nuevo"),"")</f>
        <v/>
      </c>
    </row>
    <row r="760" ht="27.5" customHeight="1" s="62">
      <c r="C760" s="0">
        <f>LEN(INDIRECT(ADDRESS(ROW() + (0),COLUMN() + (-1))))</f>
        <v/>
      </c>
      <c r="D760" s="0" t="n"/>
      <c r="E760" s="38" t="n"/>
      <c r="G760" s="40" t="n"/>
      <c r="J760" s="31">
        <f>IF(INDIRECT(ADDRESS(ROW() + (0),COLUMN() + (1)))="Agregar cuotas", IF(("16%")="", "-", "16%"), IF(INDIRECT(ADDRESS(ROW() + (0),COLUMN() + (1)))="No agregar cuotas", IF(("16%")="", "-", "16%"), "-"))</f>
        <v/>
      </c>
      <c r="K760" s="0" t="n"/>
      <c r="L760" s="31">
        <f>IF(INDIRECT(ADDRESS(ROW() + (0),COLUMN() + (-1)))="Agregar cuotas", IF(("13.4%")="", "Sin costo", "13.4%"), IF(INDIRECT(ADDRESS(ROW() + (0),COLUMN() + (-1)))="No agregar cuotas", IF(("")="", "Sin costo", ""), "-"))</f>
        <v/>
      </c>
      <c r="M760" s="0" t="n"/>
      <c r="N760" s="0" t="n"/>
      <c r="O760" s="0" t="n"/>
      <c r="P760" s="47" t="n"/>
      <c r="R760" s="0" t="n"/>
      <c r="S760" s="0" t="n"/>
      <c r="U760" s="0" t="n"/>
      <c r="X760" s="0" t="n"/>
      <c r="AA760" s="0" t="n"/>
      <c r="AB7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0" s="53">
        <f>IF(OR(TRIM(INDIRECT("B"&amp;ROW())) &lt;&gt; "",TRIM(INDIRECT("A"&amp;ROW())) &lt;&gt; ""),AND(TRIM(INDIRECT("A"&amp;ROW())) &lt;&gt; "",TRIM(INDIRECT("D"&amp;ROW())) = "nuevo"),"")</f>
        <v/>
      </c>
    </row>
    <row r="761" ht="27.5" customHeight="1" s="62">
      <c r="C761" s="0">
        <f>LEN(INDIRECT(ADDRESS(ROW() + (0),COLUMN() + (-1))))</f>
        <v/>
      </c>
      <c r="D761" s="0" t="n"/>
      <c r="E761" s="38" t="n"/>
      <c r="G761" s="40" t="n"/>
      <c r="J761" s="31">
        <f>IF(INDIRECT(ADDRESS(ROW() + (0),COLUMN() + (1)))="Agregar cuotas", IF(("16%")="", "-", "16%"), IF(INDIRECT(ADDRESS(ROW() + (0),COLUMN() + (1)))="No agregar cuotas", IF(("16%")="", "-", "16%"), "-"))</f>
        <v/>
      </c>
      <c r="K761" s="0" t="n"/>
      <c r="L761" s="31">
        <f>IF(INDIRECT(ADDRESS(ROW() + (0),COLUMN() + (-1)))="Agregar cuotas", IF(("13.4%")="", "Sin costo", "13.4%"), IF(INDIRECT(ADDRESS(ROW() + (0),COLUMN() + (-1)))="No agregar cuotas", IF(("")="", "Sin costo", ""), "-"))</f>
        <v/>
      </c>
      <c r="M761" s="0" t="n"/>
      <c r="N761" s="0" t="n"/>
      <c r="O761" s="0" t="n"/>
      <c r="P761" s="47" t="n"/>
      <c r="R761" s="0" t="n"/>
      <c r="S761" s="0" t="n"/>
      <c r="U761" s="0" t="n"/>
      <c r="X761" s="0" t="n"/>
      <c r="AA761" s="0" t="n"/>
      <c r="AB7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1" s="53">
        <f>IF(OR(TRIM(INDIRECT("B"&amp;ROW())) &lt;&gt; "",TRIM(INDIRECT("A"&amp;ROW())) &lt;&gt; ""),AND(TRIM(INDIRECT("A"&amp;ROW())) &lt;&gt; "",TRIM(INDIRECT("D"&amp;ROW())) = "nuevo"),"")</f>
        <v/>
      </c>
    </row>
    <row r="762" ht="27.5" customHeight="1" s="62">
      <c r="C762" s="0">
        <f>LEN(INDIRECT(ADDRESS(ROW() + (0),COLUMN() + (-1))))</f>
        <v/>
      </c>
      <c r="D762" s="0" t="n"/>
      <c r="E762" s="38" t="n"/>
      <c r="G762" s="40" t="n"/>
      <c r="J762" s="31">
        <f>IF(INDIRECT(ADDRESS(ROW() + (0),COLUMN() + (1)))="Agregar cuotas", IF(("16%")="", "-", "16%"), IF(INDIRECT(ADDRESS(ROW() + (0),COLUMN() + (1)))="No agregar cuotas", IF(("16%")="", "-", "16%"), "-"))</f>
        <v/>
      </c>
      <c r="K762" s="0" t="n"/>
      <c r="L762" s="31">
        <f>IF(INDIRECT(ADDRESS(ROW() + (0),COLUMN() + (-1)))="Agregar cuotas", IF(("13.4%")="", "Sin costo", "13.4%"), IF(INDIRECT(ADDRESS(ROW() + (0),COLUMN() + (-1)))="No agregar cuotas", IF(("")="", "Sin costo", ""), "-"))</f>
        <v/>
      </c>
      <c r="M762" s="0" t="n"/>
      <c r="N762" s="0" t="n"/>
      <c r="O762" s="0" t="n"/>
      <c r="P762" s="47" t="n"/>
      <c r="R762" s="0" t="n"/>
      <c r="S762" s="0" t="n"/>
      <c r="U762" s="0" t="n"/>
      <c r="X762" s="0" t="n"/>
      <c r="AA762" s="0" t="n"/>
      <c r="AB7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2" s="53">
        <f>IF(OR(TRIM(INDIRECT("B"&amp;ROW())) &lt;&gt; "",TRIM(INDIRECT("A"&amp;ROW())) &lt;&gt; ""),AND(TRIM(INDIRECT("A"&amp;ROW())) &lt;&gt; "",TRIM(INDIRECT("D"&amp;ROW())) = "nuevo"),"")</f>
        <v/>
      </c>
    </row>
    <row r="763" ht="27.5" customHeight="1" s="62">
      <c r="C763" s="0">
        <f>LEN(INDIRECT(ADDRESS(ROW() + (0),COLUMN() + (-1))))</f>
        <v/>
      </c>
      <c r="D763" s="0" t="n"/>
      <c r="E763" s="38" t="n"/>
      <c r="G763" s="40" t="n"/>
      <c r="J763" s="31">
        <f>IF(INDIRECT(ADDRESS(ROW() + (0),COLUMN() + (1)))="Agregar cuotas", IF(("16%")="", "-", "16%"), IF(INDIRECT(ADDRESS(ROW() + (0),COLUMN() + (1)))="No agregar cuotas", IF(("16%")="", "-", "16%"), "-"))</f>
        <v/>
      </c>
      <c r="K763" s="0" t="n"/>
      <c r="L763" s="31">
        <f>IF(INDIRECT(ADDRESS(ROW() + (0),COLUMN() + (-1)))="Agregar cuotas", IF(("13.4%")="", "Sin costo", "13.4%"), IF(INDIRECT(ADDRESS(ROW() + (0),COLUMN() + (-1)))="No agregar cuotas", IF(("")="", "Sin costo", ""), "-"))</f>
        <v/>
      </c>
      <c r="M763" s="0" t="n"/>
      <c r="N763" s="0" t="n"/>
      <c r="O763" s="0" t="n"/>
      <c r="P763" s="47" t="n"/>
      <c r="R763" s="0" t="n"/>
      <c r="S763" s="0" t="n"/>
      <c r="U763" s="0" t="n"/>
      <c r="X763" s="0" t="n"/>
      <c r="AA763" s="0" t="n"/>
      <c r="AB7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3" s="53">
        <f>IF(OR(TRIM(INDIRECT("B"&amp;ROW())) &lt;&gt; "",TRIM(INDIRECT("A"&amp;ROW())) &lt;&gt; ""),AND(TRIM(INDIRECT("A"&amp;ROW())) &lt;&gt; "",TRIM(INDIRECT("D"&amp;ROW())) = "nuevo"),"")</f>
        <v/>
      </c>
    </row>
    <row r="764" ht="27.5" customHeight="1" s="62">
      <c r="C764" s="0">
        <f>LEN(INDIRECT(ADDRESS(ROW() + (0),COLUMN() + (-1))))</f>
        <v/>
      </c>
      <c r="D764" s="0" t="n"/>
      <c r="E764" s="38" t="n"/>
      <c r="G764" s="40" t="n"/>
      <c r="J764" s="31">
        <f>IF(INDIRECT(ADDRESS(ROW() + (0),COLUMN() + (1)))="Agregar cuotas", IF(("16%")="", "-", "16%"), IF(INDIRECT(ADDRESS(ROW() + (0),COLUMN() + (1)))="No agregar cuotas", IF(("16%")="", "-", "16%"), "-"))</f>
        <v/>
      </c>
      <c r="K764" s="0" t="n"/>
      <c r="L764" s="31">
        <f>IF(INDIRECT(ADDRESS(ROW() + (0),COLUMN() + (-1)))="Agregar cuotas", IF(("13.4%")="", "Sin costo", "13.4%"), IF(INDIRECT(ADDRESS(ROW() + (0),COLUMN() + (-1)))="No agregar cuotas", IF(("")="", "Sin costo", ""), "-"))</f>
        <v/>
      </c>
      <c r="M764" s="0" t="n"/>
      <c r="N764" s="0" t="n"/>
      <c r="O764" s="0" t="n"/>
      <c r="P764" s="47" t="n"/>
      <c r="R764" s="0" t="n"/>
      <c r="S764" s="0" t="n"/>
      <c r="U764" s="0" t="n"/>
      <c r="X764" s="0" t="n"/>
      <c r="AA764" s="0" t="n"/>
      <c r="AB7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4" s="53">
        <f>IF(OR(TRIM(INDIRECT("B"&amp;ROW())) &lt;&gt; "",TRIM(INDIRECT("A"&amp;ROW())) &lt;&gt; ""),AND(TRIM(INDIRECT("A"&amp;ROW())) &lt;&gt; "",TRIM(INDIRECT("D"&amp;ROW())) = "nuevo"),"")</f>
        <v/>
      </c>
    </row>
    <row r="765" ht="27.5" customHeight="1" s="62">
      <c r="C765" s="0">
        <f>LEN(INDIRECT(ADDRESS(ROW() + (0),COLUMN() + (-1))))</f>
        <v/>
      </c>
      <c r="D765" s="0" t="n"/>
      <c r="E765" s="38" t="n"/>
      <c r="G765" s="40" t="n"/>
      <c r="J765" s="31">
        <f>IF(INDIRECT(ADDRESS(ROW() + (0),COLUMN() + (1)))="Agregar cuotas", IF(("16%")="", "-", "16%"), IF(INDIRECT(ADDRESS(ROW() + (0),COLUMN() + (1)))="No agregar cuotas", IF(("16%")="", "-", "16%"), "-"))</f>
        <v/>
      </c>
      <c r="K765" s="0" t="n"/>
      <c r="L765" s="31">
        <f>IF(INDIRECT(ADDRESS(ROW() + (0),COLUMN() + (-1)))="Agregar cuotas", IF(("13.4%")="", "Sin costo", "13.4%"), IF(INDIRECT(ADDRESS(ROW() + (0),COLUMN() + (-1)))="No agregar cuotas", IF(("")="", "Sin costo", ""), "-"))</f>
        <v/>
      </c>
      <c r="M765" s="0" t="n"/>
      <c r="N765" s="0" t="n"/>
      <c r="O765" s="0" t="n"/>
      <c r="P765" s="47" t="n"/>
      <c r="R765" s="0" t="n"/>
      <c r="S765" s="0" t="n"/>
      <c r="U765" s="0" t="n"/>
      <c r="X765" s="0" t="n"/>
      <c r="AA765" s="0" t="n"/>
      <c r="AB7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5" s="53">
        <f>IF(OR(TRIM(INDIRECT("B"&amp;ROW())) &lt;&gt; "",TRIM(INDIRECT("A"&amp;ROW())) &lt;&gt; ""),AND(TRIM(INDIRECT("A"&amp;ROW())) &lt;&gt; "",TRIM(INDIRECT("D"&amp;ROW())) = "nuevo"),"")</f>
        <v/>
      </c>
    </row>
    <row r="766" ht="27.5" customHeight="1" s="62">
      <c r="C766" s="0">
        <f>LEN(INDIRECT(ADDRESS(ROW() + (0),COLUMN() + (-1))))</f>
        <v/>
      </c>
      <c r="D766" s="0" t="n"/>
      <c r="E766" s="38" t="n"/>
      <c r="G766" s="40" t="n"/>
      <c r="J766" s="31">
        <f>IF(INDIRECT(ADDRESS(ROW() + (0),COLUMN() + (1)))="Agregar cuotas", IF(("16%")="", "-", "16%"), IF(INDIRECT(ADDRESS(ROW() + (0),COLUMN() + (1)))="No agregar cuotas", IF(("16%")="", "-", "16%"), "-"))</f>
        <v/>
      </c>
      <c r="K766" s="0" t="n"/>
      <c r="L766" s="31">
        <f>IF(INDIRECT(ADDRESS(ROW() + (0),COLUMN() + (-1)))="Agregar cuotas", IF(("13.4%")="", "Sin costo", "13.4%"), IF(INDIRECT(ADDRESS(ROW() + (0),COLUMN() + (-1)))="No agregar cuotas", IF(("")="", "Sin costo", ""), "-"))</f>
        <v/>
      </c>
      <c r="M766" s="0" t="n"/>
      <c r="N766" s="0" t="n"/>
      <c r="O766" s="0" t="n"/>
      <c r="P766" s="47" t="n"/>
      <c r="R766" s="0" t="n"/>
      <c r="S766" s="0" t="n"/>
      <c r="U766" s="0" t="n"/>
      <c r="X766" s="0" t="n"/>
      <c r="AA766" s="0" t="n"/>
      <c r="AB7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6" s="53">
        <f>IF(OR(TRIM(INDIRECT("B"&amp;ROW())) &lt;&gt; "",TRIM(INDIRECT("A"&amp;ROW())) &lt;&gt; ""),AND(TRIM(INDIRECT("A"&amp;ROW())) &lt;&gt; "",TRIM(INDIRECT("D"&amp;ROW())) = "nuevo"),"")</f>
        <v/>
      </c>
    </row>
    <row r="767" ht="27.5" customHeight="1" s="62">
      <c r="C767" s="0">
        <f>LEN(INDIRECT(ADDRESS(ROW() + (0),COLUMN() + (-1))))</f>
        <v/>
      </c>
      <c r="D767" s="0" t="n"/>
      <c r="E767" s="38" t="n"/>
      <c r="G767" s="40" t="n"/>
      <c r="J767" s="31">
        <f>IF(INDIRECT(ADDRESS(ROW() + (0),COLUMN() + (1)))="Agregar cuotas", IF(("16%")="", "-", "16%"), IF(INDIRECT(ADDRESS(ROW() + (0),COLUMN() + (1)))="No agregar cuotas", IF(("16%")="", "-", "16%"), "-"))</f>
        <v/>
      </c>
      <c r="K767" s="0" t="n"/>
      <c r="L767" s="31">
        <f>IF(INDIRECT(ADDRESS(ROW() + (0),COLUMN() + (-1)))="Agregar cuotas", IF(("13.4%")="", "Sin costo", "13.4%"), IF(INDIRECT(ADDRESS(ROW() + (0),COLUMN() + (-1)))="No agregar cuotas", IF(("")="", "Sin costo", ""), "-"))</f>
        <v/>
      </c>
      <c r="M767" s="0" t="n"/>
      <c r="N767" s="0" t="n"/>
      <c r="O767" s="0" t="n"/>
      <c r="P767" s="47" t="n"/>
      <c r="R767" s="0" t="n"/>
      <c r="S767" s="0" t="n"/>
      <c r="U767" s="0" t="n"/>
      <c r="X767" s="0" t="n"/>
      <c r="AA767" s="0" t="n"/>
      <c r="AB7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7" s="53">
        <f>IF(OR(TRIM(INDIRECT("B"&amp;ROW())) &lt;&gt; "",TRIM(INDIRECT("A"&amp;ROW())) &lt;&gt; ""),AND(TRIM(INDIRECT("A"&amp;ROW())) &lt;&gt; "",TRIM(INDIRECT("D"&amp;ROW())) = "nuevo"),"")</f>
        <v/>
      </c>
    </row>
    <row r="768" ht="27.5" customHeight="1" s="62">
      <c r="C768" s="0">
        <f>LEN(INDIRECT(ADDRESS(ROW() + (0),COLUMN() + (-1))))</f>
        <v/>
      </c>
      <c r="D768" s="0" t="n"/>
      <c r="E768" s="38" t="n"/>
      <c r="G768" s="40" t="n"/>
      <c r="J768" s="31">
        <f>IF(INDIRECT(ADDRESS(ROW() + (0),COLUMN() + (1)))="Agregar cuotas", IF(("16%")="", "-", "16%"), IF(INDIRECT(ADDRESS(ROW() + (0),COLUMN() + (1)))="No agregar cuotas", IF(("16%")="", "-", "16%"), "-"))</f>
        <v/>
      </c>
      <c r="K768" s="0" t="n"/>
      <c r="L768" s="31">
        <f>IF(INDIRECT(ADDRESS(ROW() + (0),COLUMN() + (-1)))="Agregar cuotas", IF(("13.4%")="", "Sin costo", "13.4%"), IF(INDIRECT(ADDRESS(ROW() + (0),COLUMN() + (-1)))="No agregar cuotas", IF(("")="", "Sin costo", ""), "-"))</f>
        <v/>
      </c>
      <c r="M768" s="0" t="n"/>
      <c r="N768" s="0" t="n"/>
      <c r="O768" s="0" t="n"/>
      <c r="P768" s="47" t="n"/>
      <c r="R768" s="0" t="n"/>
      <c r="S768" s="0" t="n"/>
      <c r="U768" s="0" t="n"/>
      <c r="X768" s="0" t="n"/>
      <c r="AA768" s="0" t="n"/>
      <c r="AB7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8" s="53">
        <f>IF(OR(TRIM(INDIRECT("B"&amp;ROW())) &lt;&gt; "",TRIM(INDIRECT("A"&amp;ROW())) &lt;&gt; ""),AND(TRIM(INDIRECT("A"&amp;ROW())) &lt;&gt; "",TRIM(INDIRECT("D"&amp;ROW())) = "nuevo"),"")</f>
        <v/>
      </c>
    </row>
    <row r="769" ht="27.5" customHeight="1" s="62">
      <c r="C769" s="0">
        <f>LEN(INDIRECT(ADDRESS(ROW() + (0),COLUMN() + (-1))))</f>
        <v/>
      </c>
      <c r="D769" s="0" t="n"/>
      <c r="E769" s="38" t="n"/>
      <c r="G769" s="40" t="n"/>
      <c r="J769" s="31">
        <f>IF(INDIRECT(ADDRESS(ROW() + (0),COLUMN() + (1)))="Agregar cuotas", IF(("16%")="", "-", "16%"), IF(INDIRECT(ADDRESS(ROW() + (0),COLUMN() + (1)))="No agregar cuotas", IF(("16%")="", "-", "16%"), "-"))</f>
        <v/>
      </c>
      <c r="K769" s="0" t="n"/>
      <c r="L769" s="31">
        <f>IF(INDIRECT(ADDRESS(ROW() + (0),COLUMN() + (-1)))="Agregar cuotas", IF(("13.4%")="", "Sin costo", "13.4%"), IF(INDIRECT(ADDRESS(ROW() + (0),COLUMN() + (-1)))="No agregar cuotas", IF(("")="", "Sin costo", ""), "-"))</f>
        <v/>
      </c>
      <c r="M769" s="0" t="n"/>
      <c r="N769" s="0" t="n"/>
      <c r="O769" s="0" t="n"/>
      <c r="P769" s="47" t="n"/>
      <c r="R769" s="0" t="n"/>
      <c r="S769" s="0" t="n"/>
      <c r="U769" s="0" t="n"/>
      <c r="X769" s="0" t="n"/>
      <c r="AA769" s="0" t="n"/>
      <c r="AB7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69" s="53">
        <f>IF(OR(TRIM(INDIRECT("B"&amp;ROW())) &lt;&gt; "",TRIM(INDIRECT("A"&amp;ROW())) &lt;&gt; ""),AND(TRIM(INDIRECT("A"&amp;ROW())) &lt;&gt; "",TRIM(INDIRECT("D"&amp;ROW())) = "nuevo"),"")</f>
        <v/>
      </c>
    </row>
    <row r="770" ht="27.5" customHeight="1" s="62">
      <c r="C770" s="0">
        <f>LEN(INDIRECT(ADDRESS(ROW() + (0),COLUMN() + (-1))))</f>
        <v/>
      </c>
      <c r="D770" s="0" t="n"/>
      <c r="E770" s="38" t="n"/>
      <c r="G770" s="40" t="n"/>
      <c r="J770" s="31">
        <f>IF(INDIRECT(ADDRESS(ROW() + (0),COLUMN() + (1)))="Agregar cuotas", IF(("16%")="", "-", "16%"), IF(INDIRECT(ADDRESS(ROW() + (0),COLUMN() + (1)))="No agregar cuotas", IF(("16%")="", "-", "16%"), "-"))</f>
        <v/>
      </c>
      <c r="K770" s="0" t="n"/>
      <c r="L770" s="31">
        <f>IF(INDIRECT(ADDRESS(ROW() + (0),COLUMN() + (-1)))="Agregar cuotas", IF(("13.4%")="", "Sin costo", "13.4%"), IF(INDIRECT(ADDRESS(ROW() + (0),COLUMN() + (-1)))="No agregar cuotas", IF(("")="", "Sin costo", ""), "-"))</f>
        <v/>
      </c>
      <c r="M770" s="0" t="n"/>
      <c r="N770" s="0" t="n"/>
      <c r="O770" s="0" t="n"/>
      <c r="P770" s="47" t="n"/>
      <c r="R770" s="0" t="n"/>
      <c r="S770" s="0" t="n"/>
      <c r="U770" s="0" t="n"/>
      <c r="X770" s="0" t="n"/>
      <c r="AA770" s="0" t="n"/>
      <c r="AB7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0" s="53">
        <f>IF(OR(TRIM(INDIRECT("B"&amp;ROW())) &lt;&gt; "",TRIM(INDIRECT("A"&amp;ROW())) &lt;&gt; ""),AND(TRIM(INDIRECT("A"&amp;ROW())) &lt;&gt; "",TRIM(INDIRECT("D"&amp;ROW())) = "nuevo"),"")</f>
        <v/>
      </c>
    </row>
    <row r="771" ht="27.5" customHeight="1" s="62">
      <c r="C771" s="0">
        <f>LEN(INDIRECT(ADDRESS(ROW() + (0),COLUMN() + (-1))))</f>
        <v/>
      </c>
      <c r="D771" s="0" t="n"/>
      <c r="E771" s="38" t="n"/>
      <c r="G771" s="40" t="n"/>
      <c r="J771" s="31">
        <f>IF(INDIRECT(ADDRESS(ROW() + (0),COLUMN() + (1)))="Agregar cuotas", IF(("16%")="", "-", "16%"), IF(INDIRECT(ADDRESS(ROW() + (0),COLUMN() + (1)))="No agregar cuotas", IF(("16%")="", "-", "16%"), "-"))</f>
        <v/>
      </c>
      <c r="K771" s="0" t="n"/>
      <c r="L771" s="31">
        <f>IF(INDIRECT(ADDRESS(ROW() + (0),COLUMN() + (-1)))="Agregar cuotas", IF(("13.4%")="", "Sin costo", "13.4%"), IF(INDIRECT(ADDRESS(ROW() + (0),COLUMN() + (-1)))="No agregar cuotas", IF(("")="", "Sin costo", ""), "-"))</f>
        <v/>
      </c>
      <c r="M771" s="0" t="n"/>
      <c r="N771" s="0" t="n"/>
      <c r="O771" s="0" t="n"/>
      <c r="P771" s="47" t="n"/>
      <c r="R771" s="0" t="n"/>
      <c r="S771" s="0" t="n"/>
      <c r="U771" s="0" t="n"/>
      <c r="X771" s="0" t="n"/>
      <c r="AA771" s="0" t="n"/>
      <c r="AB7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1" s="53">
        <f>IF(OR(TRIM(INDIRECT("B"&amp;ROW())) &lt;&gt; "",TRIM(INDIRECT("A"&amp;ROW())) &lt;&gt; ""),AND(TRIM(INDIRECT("A"&amp;ROW())) &lt;&gt; "",TRIM(INDIRECT("D"&amp;ROW())) = "nuevo"),"")</f>
        <v/>
      </c>
    </row>
    <row r="772" ht="27.5" customHeight="1" s="62">
      <c r="C772" s="0">
        <f>LEN(INDIRECT(ADDRESS(ROW() + (0),COLUMN() + (-1))))</f>
        <v/>
      </c>
      <c r="D772" s="0" t="n"/>
      <c r="E772" s="38" t="n"/>
      <c r="G772" s="40" t="n"/>
      <c r="J772" s="31">
        <f>IF(INDIRECT(ADDRESS(ROW() + (0),COLUMN() + (1)))="Agregar cuotas", IF(("16%")="", "-", "16%"), IF(INDIRECT(ADDRESS(ROW() + (0),COLUMN() + (1)))="No agregar cuotas", IF(("16%")="", "-", "16%"), "-"))</f>
        <v/>
      </c>
      <c r="K772" s="0" t="n"/>
      <c r="L772" s="31">
        <f>IF(INDIRECT(ADDRESS(ROW() + (0),COLUMN() + (-1)))="Agregar cuotas", IF(("13.4%")="", "Sin costo", "13.4%"), IF(INDIRECT(ADDRESS(ROW() + (0),COLUMN() + (-1)))="No agregar cuotas", IF(("")="", "Sin costo", ""), "-"))</f>
        <v/>
      </c>
      <c r="M772" s="0" t="n"/>
      <c r="N772" s="0" t="n"/>
      <c r="O772" s="0" t="n"/>
      <c r="P772" s="47" t="n"/>
      <c r="R772" s="0" t="n"/>
      <c r="S772" s="0" t="n"/>
      <c r="U772" s="0" t="n"/>
      <c r="X772" s="0" t="n"/>
      <c r="AA772" s="0" t="n"/>
      <c r="AB7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2" s="53">
        <f>IF(OR(TRIM(INDIRECT("B"&amp;ROW())) &lt;&gt; "",TRIM(INDIRECT("A"&amp;ROW())) &lt;&gt; ""),AND(TRIM(INDIRECT("A"&amp;ROW())) &lt;&gt; "",TRIM(INDIRECT("D"&amp;ROW())) = "nuevo"),"")</f>
        <v/>
      </c>
    </row>
    <row r="773" ht="27.5" customHeight="1" s="62">
      <c r="C773" s="0">
        <f>LEN(INDIRECT(ADDRESS(ROW() + (0),COLUMN() + (-1))))</f>
        <v/>
      </c>
      <c r="D773" s="0" t="n"/>
      <c r="E773" s="38" t="n"/>
      <c r="G773" s="40" t="n"/>
      <c r="J773" s="31">
        <f>IF(INDIRECT(ADDRESS(ROW() + (0),COLUMN() + (1)))="Agregar cuotas", IF(("16%")="", "-", "16%"), IF(INDIRECT(ADDRESS(ROW() + (0),COLUMN() + (1)))="No agregar cuotas", IF(("16%")="", "-", "16%"), "-"))</f>
        <v/>
      </c>
      <c r="K773" s="0" t="n"/>
      <c r="L773" s="31">
        <f>IF(INDIRECT(ADDRESS(ROW() + (0),COLUMN() + (-1)))="Agregar cuotas", IF(("13.4%")="", "Sin costo", "13.4%"), IF(INDIRECT(ADDRESS(ROW() + (0),COLUMN() + (-1)))="No agregar cuotas", IF(("")="", "Sin costo", ""), "-"))</f>
        <v/>
      </c>
      <c r="M773" s="0" t="n"/>
      <c r="N773" s="0" t="n"/>
      <c r="O773" s="0" t="n"/>
      <c r="P773" s="47" t="n"/>
      <c r="R773" s="0" t="n"/>
      <c r="S773" s="0" t="n"/>
      <c r="U773" s="0" t="n"/>
      <c r="X773" s="0" t="n"/>
      <c r="AA773" s="0" t="n"/>
      <c r="AB7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3" s="53">
        <f>IF(OR(TRIM(INDIRECT("B"&amp;ROW())) &lt;&gt; "",TRIM(INDIRECT("A"&amp;ROW())) &lt;&gt; ""),AND(TRIM(INDIRECT("A"&amp;ROW())) &lt;&gt; "",TRIM(INDIRECT("D"&amp;ROW())) = "nuevo"),"")</f>
        <v/>
      </c>
    </row>
    <row r="774" ht="27.5" customHeight="1" s="62">
      <c r="C774" s="0">
        <f>LEN(INDIRECT(ADDRESS(ROW() + (0),COLUMN() + (-1))))</f>
        <v/>
      </c>
      <c r="D774" s="0" t="n"/>
      <c r="E774" s="38" t="n"/>
      <c r="G774" s="40" t="n"/>
      <c r="J774" s="31">
        <f>IF(INDIRECT(ADDRESS(ROW() + (0),COLUMN() + (1)))="Agregar cuotas", IF(("16%")="", "-", "16%"), IF(INDIRECT(ADDRESS(ROW() + (0),COLUMN() + (1)))="No agregar cuotas", IF(("16%")="", "-", "16%"), "-"))</f>
        <v/>
      </c>
      <c r="K774" s="0" t="n"/>
      <c r="L774" s="31">
        <f>IF(INDIRECT(ADDRESS(ROW() + (0),COLUMN() + (-1)))="Agregar cuotas", IF(("13.4%")="", "Sin costo", "13.4%"), IF(INDIRECT(ADDRESS(ROW() + (0),COLUMN() + (-1)))="No agregar cuotas", IF(("")="", "Sin costo", ""), "-"))</f>
        <v/>
      </c>
      <c r="M774" s="0" t="n"/>
      <c r="N774" s="0" t="n"/>
      <c r="O774" s="0" t="n"/>
      <c r="P774" s="47" t="n"/>
      <c r="R774" s="0" t="n"/>
      <c r="S774" s="0" t="n"/>
      <c r="U774" s="0" t="n"/>
      <c r="X774" s="0" t="n"/>
      <c r="AA774" s="0" t="n"/>
      <c r="AB7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4" s="53">
        <f>IF(OR(TRIM(INDIRECT("B"&amp;ROW())) &lt;&gt; "",TRIM(INDIRECT("A"&amp;ROW())) &lt;&gt; ""),AND(TRIM(INDIRECT("A"&amp;ROW())) &lt;&gt; "",TRIM(INDIRECT("D"&amp;ROW())) = "nuevo"),"")</f>
        <v/>
      </c>
    </row>
    <row r="775" ht="27.5" customHeight="1" s="62">
      <c r="C775" s="0">
        <f>LEN(INDIRECT(ADDRESS(ROW() + (0),COLUMN() + (-1))))</f>
        <v/>
      </c>
      <c r="D775" s="0" t="n"/>
      <c r="E775" s="38" t="n"/>
      <c r="G775" s="40" t="n"/>
      <c r="J775" s="31">
        <f>IF(INDIRECT(ADDRESS(ROW() + (0),COLUMN() + (1)))="Agregar cuotas", IF(("16%")="", "-", "16%"), IF(INDIRECT(ADDRESS(ROW() + (0),COLUMN() + (1)))="No agregar cuotas", IF(("16%")="", "-", "16%"), "-"))</f>
        <v/>
      </c>
      <c r="K775" s="0" t="n"/>
      <c r="L775" s="31">
        <f>IF(INDIRECT(ADDRESS(ROW() + (0),COLUMN() + (-1)))="Agregar cuotas", IF(("13.4%")="", "Sin costo", "13.4%"), IF(INDIRECT(ADDRESS(ROW() + (0),COLUMN() + (-1)))="No agregar cuotas", IF(("")="", "Sin costo", ""), "-"))</f>
        <v/>
      </c>
      <c r="M775" s="0" t="n"/>
      <c r="N775" s="0" t="n"/>
      <c r="O775" s="0" t="n"/>
      <c r="P775" s="47" t="n"/>
      <c r="R775" s="0" t="n"/>
      <c r="S775" s="0" t="n"/>
      <c r="U775" s="0" t="n"/>
      <c r="X775" s="0" t="n"/>
      <c r="AA775" s="0" t="n"/>
      <c r="AB7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5" s="53">
        <f>IF(OR(TRIM(INDIRECT("B"&amp;ROW())) &lt;&gt; "",TRIM(INDIRECT("A"&amp;ROW())) &lt;&gt; ""),AND(TRIM(INDIRECT("A"&amp;ROW())) &lt;&gt; "",TRIM(INDIRECT("D"&amp;ROW())) = "nuevo"),"")</f>
        <v/>
      </c>
    </row>
    <row r="776" ht="27.5" customHeight="1" s="62">
      <c r="C776" s="0">
        <f>LEN(INDIRECT(ADDRESS(ROW() + (0),COLUMN() + (-1))))</f>
        <v/>
      </c>
      <c r="D776" s="0" t="n"/>
      <c r="E776" s="38" t="n"/>
      <c r="G776" s="40" t="n"/>
      <c r="J776" s="31">
        <f>IF(INDIRECT(ADDRESS(ROW() + (0),COLUMN() + (1)))="Agregar cuotas", IF(("16%")="", "-", "16%"), IF(INDIRECT(ADDRESS(ROW() + (0),COLUMN() + (1)))="No agregar cuotas", IF(("16%")="", "-", "16%"), "-"))</f>
        <v/>
      </c>
      <c r="K776" s="0" t="n"/>
      <c r="L776" s="31">
        <f>IF(INDIRECT(ADDRESS(ROW() + (0),COLUMN() + (-1)))="Agregar cuotas", IF(("13.4%")="", "Sin costo", "13.4%"), IF(INDIRECT(ADDRESS(ROW() + (0),COLUMN() + (-1)))="No agregar cuotas", IF(("")="", "Sin costo", ""), "-"))</f>
        <v/>
      </c>
      <c r="M776" s="0" t="n"/>
      <c r="N776" s="0" t="n"/>
      <c r="O776" s="0" t="n"/>
      <c r="P776" s="47" t="n"/>
      <c r="R776" s="0" t="n"/>
      <c r="S776" s="0" t="n"/>
      <c r="U776" s="0" t="n"/>
      <c r="X776" s="0" t="n"/>
      <c r="AA776" s="0" t="n"/>
      <c r="AB7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6" s="53">
        <f>IF(OR(TRIM(INDIRECT("B"&amp;ROW())) &lt;&gt; "",TRIM(INDIRECT("A"&amp;ROW())) &lt;&gt; ""),AND(TRIM(INDIRECT("A"&amp;ROW())) &lt;&gt; "",TRIM(INDIRECT("D"&amp;ROW())) = "nuevo"),"")</f>
        <v/>
      </c>
    </row>
    <row r="777" ht="27.5" customHeight="1" s="62">
      <c r="C777" s="0">
        <f>LEN(INDIRECT(ADDRESS(ROW() + (0),COLUMN() + (-1))))</f>
        <v/>
      </c>
      <c r="D777" s="0" t="n"/>
      <c r="E777" s="38" t="n"/>
      <c r="G777" s="40" t="n"/>
      <c r="J777" s="31">
        <f>IF(INDIRECT(ADDRESS(ROW() + (0),COLUMN() + (1)))="Agregar cuotas", IF(("16%")="", "-", "16%"), IF(INDIRECT(ADDRESS(ROW() + (0),COLUMN() + (1)))="No agregar cuotas", IF(("16%")="", "-", "16%"), "-"))</f>
        <v/>
      </c>
      <c r="K777" s="0" t="n"/>
      <c r="L777" s="31">
        <f>IF(INDIRECT(ADDRESS(ROW() + (0),COLUMN() + (-1)))="Agregar cuotas", IF(("13.4%")="", "Sin costo", "13.4%"), IF(INDIRECT(ADDRESS(ROW() + (0),COLUMN() + (-1)))="No agregar cuotas", IF(("")="", "Sin costo", ""), "-"))</f>
        <v/>
      </c>
      <c r="M777" s="0" t="n"/>
      <c r="N777" s="0" t="n"/>
      <c r="O777" s="0" t="n"/>
      <c r="P777" s="47" t="n"/>
      <c r="R777" s="0" t="n"/>
      <c r="S777" s="0" t="n"/>
      <c r="U777" s="0" t="n"/>
      <c r="X777" s="0" t="n"/>
      <c r="AA777" s="0" t="n"/>
      <c r="AB7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7" s="53">
        <f>IF(OR(TRIM(INDIRECT("B"&amp;ROW())) &lt;&gt; "",TRIM(INDIRECT("A"&amp;ROW())) &lt;&gt; ""),AND(TRIM(INDIRECT("A"&amp;ROW())) &lt;&gt; "",TRIM(INDIRECT("D"&amp;ROW())) = "nuevo"),"")</f>
        <v/>
      </c>
    </row>
    <row r="778" ht="27.5" customHeight="1" s="62">
      <c r="C778" s="0">
        <f>LEN(INDIRECT(ADDRESS(ROW() + (0),COLUMN() + (-1))))</f>
        <v/>
      </c>
      <c r="D778" s="0" t="n"/>
      <c r="E778" s="38" t="n"/>
      <c r="G778" s="40" t="n"/>
      <c r="J778" s="31">
        <f>IF(INDIRECT(ADDRESS(ROW() + (0),COLUMN() + (1)))="Agregar cuotas", IF(("16%")="", "-", "16%"), IF(INDIRECT(ADDRESS(ROW() + (0),COLUMN() + (1)))="No agregar cuotas", IF(("16%")="", "-", "16%"), "-"))</f>
        <v/>
      </c>
      <c r="K778" s="0" t="n"/>
      <c r="L778" s="31">
        <f>IF(INDIRECT(ADDRESS(ROW() + (0),COLUMN() + (-1)))="Agregar cuotas", IF(("13.4%")="", "Sin costo", "13.4%"), IF(INDIRECT(ADDRESS(ROW() + (0),COLUMN() + (-1)))="No agregar cuotas", IF(("")="", "Sin costo", ""), "-"))</f>
        <v/>
      </c>
      <c r="M778" s="0" t="n"/>
      <c r="N778" s="0" t="n"/>
      <c r="O778" s="0" t="n"/>
      <c r="P778" s="47" t="n"/>
      <c r="R778" s="0" t="n"/>
      <c r="S778" s="0" t="n"/>
      <c r="U778" s="0" t="n"/>
      <c r="X778" s="0" t="n"/>
      <c r="AA778" s="0" t="n"/>
      <c r="AB7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8" s="53">
        <f>IF(OR(TRIM(INDIRECT("B"&amp;ROW())) &lt;&gt; "",TRIM(INDIRECT("A"&amp;ROW())) &lt;&gt; ""),AND(TRIM(INDIRECT("A"&amp;ROW())) &lt;&gt; "",TRIM(INDIRECT("D"&amp;ROW())) = "nuevo"),"")</f>
        <v/>
      </c>
    </row>
    <row r="779" ht="27.5" customHeight="1" s="62">
      <c r="C779" s="0">
        <f>LEN(INDIRECT(ADDRESS(ROW() + (0),COLUMN() + (-1))))</f>
        <v/>
      </c>
      <c r="D779" s="0" t="n"/>
      <c r="E779" s="38" t="n"/>
      <c r="G779" s="40" t="n"/>
      <c r="J779" s="31">
        <f>IF(INDIRECT(ADDRESS(ROW() + (0),COLUMN() + (1)))="Agregar cuotas", IF(("16%")="", "-", "16%"), IF(INDIRECT(ADDRESS(ROW() + (0),COLUMN() + (1)))="No agregar cuotas", IF(("16%")="", "-", "16%"), "-"))</f>
        <v/>
      </c>
      <c r="K779" s="0" t="n"/>
      <c r="L779" s="31">
        <f>IF(INDIRECT(ADDRESS(ROW() + (0),COLUMN() + (-1)))="Agregar cuotas", IF(("13.4%")="", "Sin costo", "13.4%"), IF(INDIRECT(ADDRESS(ROW() + (0),COLUMN() + (-1)))="No agregar cuotas", IF(("")="", "Sin costo", ""), "-"))</f>
        <v/>
      </c>
      <c r="M779" s="0" t="n"/>
      <c r="N779" s="0" t="n"/>
      <c r="O779" s="0" t="n"/>
      <c r="P779" s="47" t="n"/>
      <c r="R779" s="0" t="n"/>
      <c r="S779" s="0" t="n"/>
      <c r="U779" s="0" t="n"/>
      <c r="X779" s="0" t="n"/>
      <c r="AA779" s="0" t="n"/>
      <c r="AB7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79" s="53">
        <f>IF(OR(TRIM(INDIRECT("B"&amp;ROW())) &lt;&gt; "",TRIM(INDIRECT("A"&amp;ROW())) &lt;&gt; ""),AND(TRIM(INDIRECT("A"&amp;ROW())) &lt;&gt; "",TRIM(INDIRECT("D"&amp;ROW())) = "nuevo"),"")</f>
        <v/>
      </c>
    </row>
    <row r="780" ht="27.5" customHeight="1" s="62">
      <c r="C780" s="0">
        <f>LEN(INDIRECT(ADDRESS(ROW() + (0),COLUMN() + (-1))))</f>
        <v/>
      </c>
      <c r="D780" s="0" t="n"/>
      <c r="E780" s="38" t="n"/>
      <c r="G780" s="40" t="n"/>
      <c r="J780" s="31">
        <f>IF(INDIRECT(ADDRESS(ROW() + (0),COLUMN() + (1)))="Agregar cuotas", IF(("16%")="", "-", "16%"), IF(INDIRECT(ADDRESS(ROW() + (0),COLUMN() + (1)))="No agregar cuotas", IF(("16%")="", "-", "16%"), "-"))</f>
        <v/>
      </c>
      <c r="K780" s="0" t="n"/>
      <c r="L780" s="31">
        <f>IF(INDIRECT(ADDRESS(ROW() + (0),COLUMN() + (-1)))="Agregar cuotas", IF(("13.4%")="", "Sin costo", "13.4%"), IF(INDIRECT(ADDRESS(ROW() + (0),COLUMN() + (-1)))="No agregar cuotas", IF(("")="", "Sin costo", ""), "-"))</f>
        <v/>
      </c>
      <c r="M780" s="0" t="n"/>
      <c r="N780" s="0" t="n"/>
      <c r="O780" s="0" t="n"/>
      <c r="P780" s="47" t="n"/>
      <c r="R780" s="0" t="n"/>
      <c r="S780" s="0" t="n"/>
      <c r="U780" s="0" t="n"/>
      <c r="X780" s="0" t="n"/>
      <c r="AA780" s="0" t="n"/>
      <c r="AB7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0" s="53">
        <f>IF(OR(TRIM(INDIRECT("B"&amp;ROW())) &lt;&gt; "",TRIM(INDIRECT("A"&amp;ROW())) &lt;&gt; ""),AND(TRIM(INDIRECT("A"&amp;ROW())) &lt;&gt; "",TRIM(INDIRECT("D"&amp;ROW())) = "nuevo"),"")</f>
        <v/>
      </c>
    </row>
    <row r="781" ht="27.5" customHeight="1" s="62">
      <c r="C781" s="0">
        <f>LEN(INDIRECT(ADDRESS(ROW() + (0),COLUMN() + (-1))))</f>
        <v/>
      </c>
      <c r="D781" s="0" t="n"/>
      <c r="E781" s="38" t="n"/>
      <c r="G781" s="40" t="n"/>
      <c r="J781" s="31">
        <f>IF(INDIRECT(ADDRESS(ROW() + (0),COLUMN() + (1)))="Agregar cuotas", IF(("16%")="", "-", "16%"), IF(INDIRECT(ADDRESS(ROW() + (0),COLUMN() + (1)))="No agregar cuotas", IF(("16%")="", "-", "16%"), "-"))</f>
        <v/>
      </c>
      <c r="K781" s="0" t="n"/>
      <c r="L781" s="31">
        <f>IF(INDIRECT(ADDRESS(ROW() + (0),COLUMN() + (-1)))="Agregar cuotas", IF(("13.4%")="", "Sin costo", "13.4%"), IF(INDIRECT(ADDRESS(ROW() + (0),COLUMN() + (-1)))="No agregar cuotas", IF(("")="", "Sin costo", ""), "-"))</f>
        <v/>
      </c>
      <c r="M781" s="0" t="n"/>
      <c r="N781" s="0" t="n"/>
      <c r="O781" s="0" t="n"/>
      <c r="P781" s="47" t="n"/>
      <c r="R781" s="0" t="n"/>
      <c r="S781" s="0" t="n"/>
      <c r="U781" s="0" t="n"/>
      <c r="X781" s="0" t="n"/>
      <c r="AA781" s="0" t="n"/>
      <c r="AB7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1" s="53">
        <f>IF(OR(TRIM(INDIRECT("B"&amp;ROW())) &lt;&gt; "",TRIM(INDIRECT("A"&amp;ROW())) &lt;&gt; ""),AND(TRIM(INDIRECT("A"&amp;ROW())) &lt;&gt; "",TRIM(INDIRECT("D"&amp;ROW())) = "nuevo"),"")</f>
        <v/>
      </c>
    </row>
    <row r="782" ht="27.5" customHeight="1" s="62">
      <c r="C782" s="0">
        <f>LEN(INDIRECT(ADDRESS(ROW() + (0),COLUMN() + (-1))))</f>
        <v/>
      </c>
      <c r="D782" s="0" t="n"/>
      <c r="E782" s="38" t="n"/>
      <c r="G782" s="40" t="n"/>
      <c r="J782" s="31">
        <f>IF(INDIRECT(ADDRESS(ROW() + (0),COLUMN() + (1)))="Agregar cuotas", IF(("16%")="", "-", "16%"), IF(INDIRECT(ADDRESS(ROW() + (0),COLUMN() + (1)))="No agregar cuotas", IF(("16%")="", "-", "16%"), "-"))</f>
        <v/>
      </c>
      <c r="K782" s="0" t="n"/>
      <c r="L782" s="31">
        <f>IF(INDIRECT(ADDRESS(ROW() + (0),COLUMN() + (-1)))="Agregar cuotas", IF(("13.4%")="", "Sin costo", "13.4%"), IF(INDIRECT(ADDRESS(ROW() + (0),COLUMN() + (-1)))="No agregar cuotas", IF(("")="", "Sin costo", ""), "-"))</f>
        <v/>
      </c>
      <c r="M782" s="0" t="n"/>
      <c r="N782" s="0" t="n"/>
      <c r="O782" s="0" t="n"/>
      <c r="P782" s="47" t="n"/>
      <c r="R782" s="0" t="n"/>
      <c r="S782" s="0" t="n"/>
      <c r="U782" s="0" t="n"/>
      <c r="X782" s="0" t="n"/>
      <c r="AA782" s="0" t="n"/>
      <c r="AB7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2" s="53">
        <f>IF(OR(TRIM(INDIRECT("B"&amp;ROW())) &lt;&gt; "",TRIM(INDIRECT("A"&amp;ROW())) &lt;&gt; ""),AND(TRIM(INDIRECT("A"&amp;ROW())) &lt;&gt; "",TRIM(INDIRECT("D"&amp;ROW())) = "nuevo"),"")</f>
        <v/>
      </c>
    </row>
    <row r="783" ht="27.5" customHeight="1" s="62">
      <c r="C783" s="0">
        <f>LEN(INDIRECT(ADDRESS(ROW() + (0),COLUMN() + (-1))))</f>
        <v/>
      </c>
      <c r="D783" s="0" t="n"/>
      <c r="E783" s="38" t="n"/>
      <c r="G783" s="40" t="n"/>
      <c r="J783" s="31">
        <f>IF(INDIRECT(ADDRESS(ROW() + (0),COLUMN() + (1)))="Agregar cuotas", IF(("16%")="", "-", "16%"), IF(INDIRECT(ADDRESS(ROW() + (0),COLUMN() + (1)))="No agregar cuotas", IF(("16%")="", "-", "16%"), "-"))</f>
        <v/>
      </c>
      <c r="K783" s="0" t="n"/>
      <c r="L783" s="31">
        <f>IF(INDIRECT(ADDRESS(ROW() + (0),COLUMN() + (-1)))="Agregar cuotas", IF(("13.4%")="", "Sin costo", "13.4%"), IF(INDIRECT(ADDRESS(ROW() + (0),COLUMN() + (-1)))="No agregar cuotas", IF(("")="", "Sin costo", ""), "-"))</f>
        <v/>
      </c>
      <c r="M783" s="0" t="n"/>
      <c r="N783" s="0" t="n"/>
      <c r="O783" s="0" t="n"/>
      <c r="P783" s="47" t="n"/>
      <c r="R783" s="0" t="n"/>
      <c r="S783" s="0" t="n"/>
      <c r="U783" s="0" t="n"/>
      <c r="X783" s="0" t="n"/>
      <c r="AA783" s="0" t="n"/>
      <c r="AB7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3" s="53">
        <f>IF(OR(TRIM(INDIRECT("B"&amp;ROW())) &lt;&gt; "",TRIM(INDIRECT("A"&amp;ROW())) &lt;&gt; ""),AND(TRIM(INDIRECT("A"&amp;ROW())) &lt;&gt; "",TRIM(INDIRECT("D"&amp;ROW())) = "nuevo"),"")</f>
        <v/>
      </c>
    </row>
    <row r="784" ht="27.5" customHeight="1" s="62">
      <c r="C784" s="0">
        <f>LEN(INDIRECT(ADDRESS(ROW() + (0),COLUMN() + (-1))))</f>
        <v/>
      </c>
      <c r="D784" s="0" t="n"/>
      <c r="E784" s="38" t="n"/>
      <c r="G784" s="40" t="n"/>
      <c r="J784" s="31">
        <f>IF(INDIRECT(ADDRESS(ROW() + (0),COLUMN() + (1)))="Agregar cuotas", IF(("16%")="", "-", "16%"), IF(INDIRECT(ADDRESS(ROW() + (0),COLUMN() + (1)))="No agregar cuotas", IF(("16%")="", "-", "16%"), "-"))</f>
        <v/>
      </c>
      <c r="K784" s="0" t="n"/>
      <c r="L784" s="31">
        <f>IF(INDIRECT(ADDRESS(ROW() + (0),COLUMN() + (-1)))="Agregar cuotas", IF(("13.4%")="", "Sin costo", "13.4%"), IF(INDIRECT(ADDRESS(ROW() + (0),COLUMN() + (-1)))="No agregar cuotas", IF(("")="", "Sin costo", ""), "-"))</f>
        <v/>
      </c>
      <c r="M784" s="0" t="n"/>
      <c r="N784" s="0" t="n"/>
      <c r="O784" s="0" t="n"/>
      <c r="P784" s="47" t="n"/>
      <c r="R784" s="0" t="n"/>
      <c r="S784" s="0" t="n"/>
      <c r="U784" s="0" t="n"/>
      <c r="X784" s="0" t="n"/>
      <c r="AA784" s="0" t="n"/>
      <c r="AB7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4" s="53">
        <f>IF(OR(TRIM(INDIRECT("B"&amp;ROW())) &lt;&gt; "",TRIM(INDIRECT("A"&amp;ROW())) &lt;&gt; ""),AND(TRIM(INDIRECT("A"&amp;ROW())) &lt;&gt; "",TRIM(INDIRECT("D"&amp;ROW())) = "nuevo"),"")</f>
        <v/>
      </c>
    </row>
    <row r="785" ht="27.5" customHeight="1" s="62">
      <c r="C785" s="0">
        <f>LEN(INDIRECT(ADDRESS(ROW() + (0),COLUMN() + (-1))))</f>
        <v/>
      </c>
      <c r="D785" s="0" t="n"/>
      <c r="E785" s="38" t="n"/>
      <c r="G785" s="40" t="n"/>
      <c r="J785" s="31">
        <f>IF(INDIRECT(ADDRESS(ROW() + (0),COLUMN() + (1)))="Agregar cuotas", IF(("16%")="", "-", "16%"), IF(INDIRECT(ADDRESS(ROW() + (0),COLUMN() + (1)))="No agregar cuotas", IF(("16%")="", "-", "16%"), "-"))</f>
        <v/>
      </c>
      <c r="K785" s="0" t="n"/>
      <c r="L785" s="31">
        <f>IF(INDIRECT(ADDRESS(ROW() + (0),COLUMN() + (-1)))="Agregar cuotas", IF(("13.4%")="", "Sin costo", "13.4%"), IF(INDIRECT(ADDRESS(ROW() + (0),COLUMN() + (-1)))="No agregar cuotas", IF(("")="", "Sin costo", ""), "-"))</f>
        <v/>
      </c>
      <c r="M785" s="0" t="n"/>
      <c r="N785" s="0" t="n"/>
      <c r="O785" s="0" t="n"/>
      <c r="P785" s="47" t="n"/>
      <c r="R785" s="0" t="n"/>
      <c r="S785" s="0" t="n"/>
      <c r="U785" s="0" t="n"/>
      <c r="X785" s="0" t="n"/>
      <c r="AA785" s="0" t="n"/>
      <c r="AB7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5" s="53">
        <f>IF(OR(TRIM(INDIRECT("B"&amp;ROW())) &lt;&gt; "",TRIM(INDIRECT("A"&amp;ROW())) &lt;&gt; ""),AND(TRIM(INDIRECT("A"&amp;ROW())) &lt;&gt; "",TRIM(INDIRECT("D"&amp;ROW())) = "nuevo"),"")</f>
        <v/>
      </c>
    </row>
    <row r="786" ht="27.5" customHeight="1" s="62">
      <c r="C786" s="0">
        <f>LEN(INDIRECT(ADDRESS(ROW() + (0),COLUMN() + (-1))))</f>
        <v/>
      </c>
      <c r="D786" s="0" t="n"/>
      <c r="E786" s="38" t="n"/>
      <c r="G786" s="40" t="n"/>
      <c r="J786" s="31">
        <f>IF(INDIRECT(ADDRESS(ROW() + (0),COLUMN() + (1)))="Agregar cuotas", IF(("16%")="", "-", "16%"), IF(INDIRECT(ADDRESS(ROW() + (0),COLUMN() + (1)))="No agregar cuotas", IF(("16%")="", "-", "16%"), "-"))</f>
        <v/>
      </c>
      <c r="K786" s="0" t="n"/>
      <c r="L786" s="31">
        <f>IF(INDIRECT(ADDRESS(ROW() + (0),COLUMN() + (-1)))="Agregar cuotas", IF(("13.4%")="", "Sin costo", "13.4%"), IF(INDIRECT(ADDRESS(ROW() + (0),COLUMN() + (-1)))="No agregar cuotas", IF(("")="", "Sin costo", ""), "-"))</f>
        <v/>
      </c>
      <c r="M786" s="0" t="n"/>
      <c r="N786" s="0" t="n"/>
      <c r="O786" s="0" t="n"/>
      <c r="P786" s="47" t="n"/>
      <c r="R786" s="0" t="n"/>
      <c r="S786" s="0" t="n"/>
      <c r="U786" s="0" t="n"/>
      <c r="X786" s="0" t="n"/>
      <c r="AA786" s="0" t="n"/>
      <c r="AB7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6" s="53">
        <f>IF(OR(TRIM(INDIRECT("B"&amp;ROW())) &lt;&gt; "",TRIM(INDIRECT("A"&amp;ROW())) &lt;&gt; ""),AND(TRIM(INDIRECT("A"&amp;ROW())) &lt;&gt; "",TRIM(INDIRECT("D"&amp;ROW())) = "nuevo"),"")</f>
        <v/>
      </c>
    </row>
    <row r="787" ht="27.5" customHeight="1" s="62">
      <c r="C787" s="0">
        <f>LEN(INDIRECT(ADDRESS(ROW() + (0),COLUMN() + (-1))))</f>
        <v/>
      </c>
      <c r="D787" s="0" t="n"/>
      <c r="E787" s="38" t="n"/>
      <c r="G787" s="40" t="n"/>
      <c r="J787" s="31">
        <f>IF(INDIRECT(ADDRESS(ROW() + (0),COLUMN() + (1)))="Agregar cuotas", IF(("16%")="", "-", "16%"), IF(INDIRECT(ADDRESS(ROW() + (0),COLUMN() + (1)))="No agregar cuotas", IF(("16%")="", "-", "16%"), "-"))</f>
        <v/>
      </c>
      <c r="K787" s="0" t="n"/>
      <c r="L787" s="31">
        <f>IF(INDIRECT(ADDRESS(ROW() + (0),COLUMN() + (-1)))="Agregar cuotas", IF(("13.4%")="", "Sin costo", "13.4%"), IF(INDIRECT(ADDRESS(ROW() + (0),COLUMN() + (-1)))="No agregar cuotas", IF(("")="", "Sin costo", ""), "-"))</f>
        <v/>
      </c>
      <c r="M787" s="0" t="n"/>
      <c r="N787" s="0" t="n"/>
      <c r="O787" s="0" t="n"/>
      <c r="P787" s="47" t="n"/>
      <c r="R787" s="0" t="n"/>
      <c r="S787" s="0" t="n"/>
      <c r="U787" s="0" t="n"/>
      <c r="X787" s="0" t="n"/>
      <c r="AA787" s="0" t="n"/>
      <c r="AB7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7" s="53">
        <f>IF(OR(TRIM(INDIRECT("B"&amp;ROW())) &lt;&gt; "",TRIM(INDIRECT("A"&amp;ROW())) &lt;&gt; ""),AND(TRIM(INDIRECT("A"&amp;ROW())) &lt;&gt; "",TRIM(INDIRECT("D"&amp;ROW())) = "nuevo"),"")</f>
        <v/>
      </c>
    </row>
    <row r="788" ht="27.5" customHeight="1" s="62">
      <c r="C788" s="0">
        <f>LEN(INDIRECT(ADDRESS(ROW() + (0),COLUMN() + (-1))))</f>
        <v/>
      </c>
      <c r="D788" s="0" t="n"/>
      <c r="E788" s="38" t="n"/>
      <c r="G788" s="40" t="n"/>
      <c r="J788" s="31">
        <f>IF(INDIRECT(ADDRESS(ROW() + (0),COLUMN() + (1)))="Agregar cuotas", IF(("16%")="", "-", "16%"), IF(INDIRECT(ADDRESS(ROW() + (0),COLUMN() + (1)))="No agregar cuotas", IF(("16%")="", "-", "16%"), "-"))</f>
        <v/>
      </c>
      <c r="K788" s="0" t="n"/>
      <c r="L788" s="31">
        <f>IF(INDIRECT(ADDRESS(ROW() + (0),COLUMN() + (-1)))="Agregar cuotas", IF(("13.4%")="", "Sin costo", "13.4%"), IF(INDIRECT(ADDRESS(ROW() + (0),COLUMN() + (-1)))="No agregar cuotas", IF(("")="", "Sin costo", ""), "-"))</f>
        <v/>
      </c>
      <c r="M788" s="0" t="n"/>
      <c r="N788" s="0" t="n"/>
      <c r="O788" s="0" t="n"/>
      <c r="P788" s="47" t="n"/>
      <c r="R788" s="0" t="n"/>
      <c r="S788" s="0" t="n"/>
      <c r="U788" s="0" t="n"/>
      <c r="X788" s="0" t="n"/>
      <c r="AA788" s="0" t="n"/>
      <c r="AB7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8" s="53">
        <f>IF(OR(TRIM(INDIRECT("B"&amp;ROW())) &lt;&gt; "",TRIM(INDIRECT("A"&amp;ROW())) &lt;&gt; ""),AND(TRIM(INDIRECT("A"&amp;ROW())) &lt;&gt; "",TRIM(INDIRECT("D"&amp;ROW())) = "nuevo"),"")</f>
        <v/>
      </c>
    </row>
    <row r="789" ht="27.5" customHeight="1" s="62">
      <c r="C789" s="0">
        <f>LEN(INDIRECT(ADDRESS(ROW() + (0),COLUMN() + (-1))))</f>
        <v/>
      </c>
      <c r="D789" s="0" t="n"/>
      <c r="E789" s="38" t="n"/>
      <c r="G789" s="40" t="n"/>
      <c r="J789" s="31">
        <f>IF(INDIRECT(ADDRESS(ROW() + (0),COLUMN() + (1)))="Agregar cuotas", IF(("16%")="", "-", "16%"), IF(INDIRECT(ADDRESS(ROW() + (0),COLUMN() + (1)))="No agregar cuotas", IF(("16%")="", "-", "16%"), "-"))</f>
        <v/>
      </c>
      <c r="K789" s="0" t="n"/>
      <c r="L789" s="31">
        <f>IF(INDIRECT(ADDRESS(ROW() + (0),COLUMN() + (-1)))="Agregar cuotas", IF(("13.4%")="", "Sin costo", "13.4%"), IF(INDIRECT(ADDRESS(ROW() + (0),COLUMN() + (-1)))="No agregar cuotas", IF(("")="", "Sin costo", ""), "-"))</f>
        <v/>
      </c>
      <c r="M789" s="0" t="n"/>
      <c r="N789" s="0" t="n"/>
      <c r="O789" s="0" t="n"/>
      <c r="P789" s="47" t="n"/>
      <c r="R789" s="0" t="n"/>
      <c r="S789" s="0" t="n"/>
      <c r="U789" s="0" t="n"/>
      <c r="X789" s="0" t="n"/>
      <c r="AA789" s="0" t="n"/>
      <c r="AB7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89" s="53">
        <f>IF(OR(TRIM(INDIRECT("B"&amp;ROW())) &lt;&gt; "",TRIM(INDIRECT("A"&amp;ROW())) &lt;&gt; ""),AND(TRIM(INDIRECT("A"&amp;ROW())) &lt;&gt; "",TRIM(INDIRECT("D"&amp;ROW())) = "nuevo"),"")</f>
        <v/>
      </c>
    </row>
    <row r="790" ht="27.5" customHeight="1" s="62">
      <c r="C790" s="0">
        <f>LEN(INDIRECT(ADDRESS(ROW() + (0),COLUMN() + (-1))))</f>
        <v/>
      </c>
      <c r="D790" s="0" t="n"/>
      <c r="E790" s="38" t="n"/>
      <c r="G790" s="40" t="n"/>
      <c r="J790" s="31">
        <f>IF(INDIRECT(ADDRESS(ROW() + (0),COLUMN() + (1)))="Agregar cuotas", IF(("16%")="", "-", "16%"), IF(INDIRECT(ADDRESS(ROW() + (0),COLUMN() + (1)))="No agregar cuotas", IF(("16%")="", "-", "16%"), "-"))</f>
        <v/>
      </c>
      <c r="K790" s="0" t="n"/>
      <c r="L790" s="31">
        <f>IF(INDIRECT(ADDRESS(ROW() + (0),COLUMN() + (-1)))="Agregar cuotas", IF(("13.4%")="", "Sin costo", "13.4%"), IF(INDIRECT(ADDRESS(ROW() + (0),COLUMN() + (-1)))="No agregar cuotas", IF(("")="", "Sin costo", ""), "-"))</f>
        <v/>
      </c>
      <c r="M790" s="0" t="n"/>
      <c r="N790" s="0" t="n"/>
      <c r="O790" s="0" t="n"/>
      <c r="P790" s="47" t="n"/>
      <c r="R790" s="0" t="n"/>
      <c r="S790" s="0" t="n"/>
      <c r="U790" s="0" t="n"/>
      <c r="X790" s="0" t="n"/>
      <c r="AA790" s="0" t="n"/>
      <c r="AB7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0" s="53">
        <f>IF(OR(TRIM(INDIRECT("B"&amp;ROW())) &lt;&gt; "",TRIM(INDIRECT("A"&amp;ROW())) &lt;&gt; ""),AND(TRIM(INDIRECT("A"&amp;ROW())) &lt;&gt; "",TRIM(INDIRECT("D"&amp;ROW())) = "nuevo"),"")</f>
        <v/>
      </c>
    </row>
    <row r="791" ht="27.5" customHeight="1" s="62">
      <c r="C791" s="0">
        <f>LEN(INDIRECT(ADDRESS(ROW() + (0),COLUMN() + (-1))))</f>
        <v/>
      </c>
      <c r="D791" s="0" t="n"/>
      <c r="E791" s="38" t="n"/>
      <c r="G791" s="40" t="n"/>
      <c r="J791" s="31">
        <f>IF(INDIRECT(ADDRESS(ROW() + (0),COLUMN() + (1)))="Agregar cuotas", IF(("16%")="", "-", "16%"), IF(INDIRECT(ADDRESS(ROW() + (0),COLUMN() + (1)))="No agregar cuotas", IF(("16%")="", "-", "16%"), "-"))</f>
        <v/>
      </c>
      <c r="K791" s="0" t="n"/>
      <c r="L791" s="31">
        <f>IF(INDIRECT(ADDRESS(ROW() + (0),COLUMN() + (-1)))="Agregar cuotas", IF(("13.4%")="", "Sin costo", "13.4%"), IF(INDIRECT(ADDRESS(ROW() + (0),COLUMN() + (-1)))="No agregar cuotas", IF(("")="", "Sin costo", ""), "-"))</f>
        <v/>
      </c>
      <c r="M791" s="0" t="n"/>
      <c r="N791" s="0" t="n"/>
      <c r="O791" s="0" t="n"/>
      <c r="P791" s="47" t="n"/>
      <c r="R791" s="0" t="n"/>
      <c r="S791" s="0" t="n"/>
      <c r="U791" s="0" t="n"/>
      <c r="X791" s="0" t="n"/>
      <c r="AA791" s="0" t="n"/>
      <c r="AB7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1" s="53">
        <f>IF(OR(TRIM(INDIRECT("B"&amp;ROW())) &lt;&gt; "",TRIM(INDIRECT("A"&amp;ROW())) &lt;&gt; ""),AND(TRIM(INDIRECT("A"&amp;ROW())) &lt;&gt; "",TRIM(INDIRECT("D"&amp;ROW())) = "nuevo"),"")</f>
        <v/>
      </c>
    </row>
    <row r="792" ht="27.5" customHeight="1" s="62">
      <c r="C792" s="0">
        <f>LEN(INDIRECT(ADDRESS(ROW() + (0),COLUMN() + (-1))))</f>
        <v/>
      </c>
      <c r="D792" s="0" t="n"/>
      <c r="E792" s="38" t="n"/>
      <c r="G792" s="40" t="n"/>
      <c r="J792" s="31">
        <f>IF(INDIRECT(ADDRESS(ROW() + (0),COLUMN() + (1)))="Agregar cuotas", IF(("16%")="", "-", "16%"), IF(INDIRECT(ADDRESS(ROW() + (0),COLUMN() + (1)))="No agregar cuotas", IF(("16%")="", "-", "16%"), "-"))</f>
        <v/>
      </c>
      <c r="K792" s="0" t="n"/>
      <c r="L792" s="31">
        <f>IF(INDIRECT(ADDRESS(ROW() + (0),COLUMN() + (-1)))="Agregar cuotas", IF(("13.4%")="", "Sin costo", "13.4%"), IF(INDIRECT(ADDRESS(ROW() + (0),COLUMN() + (-1)))="No agregar cuotas", IF(("")="", "Sin costo", ""), "-"))</f>
        <v/>
      </c>
      <c r="M792" s="0" t="n"/>
      <c r="N792" s="0" t="n"/>
      <c r="O792" s="0" t="n"/>
      <c r="P792" s="47" t="n"/>
      <c r="R792" s="0" t="n"/>
      <c r="S792" s="0" t="n"/>
      <c r="U792" s="0" t="n"/>
      <c r="X792" s="0" t="n"/>
      <c r="AA792" s="0" t="n"/>
      <c r="AB7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2" s="53">
        <f>IF(OR(TRIM(INDIRECT("B"&amp;ROW())) &lt;&gt; "",TRIM(INDIRECT("A"&amp;ROW())) &lt;&gt; ""),AND(TRIM(INDIRECT("A"&amp;ROW())) &lt;&gt; "",TRIM(INDIRECT("D"&amp;ROW())) = "nuevo"),"")</f>
        <v/>
      </c>
    </row>
    <row r="793" ht="27.5" customHeight="1" s="62">
      <c r="C793" s="0">
        <f>LEN(INDIRECT(ADDRESS(ROW() + (0),COLUMN() + (-1))))</f>
        <v/>
      </c>
      <c r="D793" s="0" t="n"/>
      <c r="E793" s="38" t="n"/>
      <c r="G793" s="40" t="n"/>
      <c r="J793" s="31">
        <f>IF(INDIRECT(ADDRESS(ROW() + (0),COLUMN() + (1)))="Agregar cuotas", IF(("16%")="", "-", "16%"), IF(INDIRECT(ADDRESS(ROW() + (0),COLUMN() + (1)))="No agregar cuotas", IF(("16%")="", "-", "16%"), "-"))</f>
        <v/>
      </c>
      <c r="K793" s="0" t="n"/>
      <c r="L793" s="31">
        <f>IF(INDIRECT(ADDRESS(ROW() + (0),COLUMN() + (-1)))="Agregar cuotas", IF(("13.4%")="", "Sin costo", "13.4%"), IF(INDIRECT(ADDRESS(ROW() + (0),COLUMN() + (-1)))="No agregar cuotas", IF(("")="", "Sin costo", ""), "-"))</f>
        <v/>
      </c>
      <c r="M793" s="0" t="n"/>
      <c r="N793" s="0" t="n"/>
      <c r="O793" s="0" t="n"/>
      <c r="P793" s="47" t="n"/>
      <c r="R793" s="0" t="n"/>
      <c r="S793" s="0" t="n"/>
      <c r="U793" s="0" t="n"/>
      <c r="X793" s="0" t="n"/>
      <c r="AA793" s="0" t="n"/>
      <c r="AB7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3" s="53">
        <f>IF(OR(TRIM(INDIRECT("B"&amp;ROW())) &lt;&gt; "",TRIM(INDIRECT("A"&amp;ROW())) &lt;&gt; ""),AND(TRIM(INDIRECT("A"&amp;ROW())) &lt;&gt; "",TRIM(INDIRECT("D"&amp;ROW())) = "nuevo"),"")</f>
        <v/>
      </c>
    </row>
    <row r="794" ht="27.5" customHeight="1" s="62">
      <c r="C794" s="0">
        <f>LEN(INDIRECT(ADDRESS(ROW() + (0),COLUMN() + (-1))))</f>
        <v/>
      </c>
      <c r="D794" s="0" t="n"/>
      <c r="E794" s="38" t="n"/>
      <c r="G794" s="40" t="n"/>
      <c r="J794" s="31">
        <f>IF(INDIRECT(ADDRESS(ROW() + (0),COLUMN() + (1)))="Agregar cuotas", IF(("16%")="", "-", "16%"), IF(INDIRECT(ADDRESS(ROW() + (0),COLUMN() + (1)))="No agregar cuotas", IF(("16%")="", "-", "16%"), "-"))</f>
        <v/>
      </c>
      <c r="K794" s="0" t="n"/>
      <c r="L794" s="31">
        <f>IF(INDIRECT(ADDRESS(ROW() + (0),COLUMN() + (-1)))="Agregar cuotas", IF(("13.4%")="", "Sin costo", "13.4%"), IF(INDIRECT(ADDRESS(ROW() + (0),COLUMN() + (-1)))="No agregar cuotas", IF(("")="", "Sin costo", ""), "-"))</f>
        <v/>
      </c>
      <c r="M794" s="0" t="n"/>
      <c r="N794" s="0" t="n"/>
      <c r="O794" s="0" t="n"/>
      <c r="P794" s="47" t="n"/>
      <c r="R794" s="0" t="n"/>
      <c r="S794" s="0" t="n"/>
      <c r="U794" s="0" t="n"/>
      <c r="X794" s="0" t="n"/>
      <c r="AA794" s="0" t="n"/>
      <c r="AB7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4" s="53">
        <f>IF(OR(TRIM(INDIRECT("B"&amp;ROW())) &lt;&gt; "",TRIM(INDIRECT("A"&amp;ROW())) &lt;&gt; ""),AND(TRIM(INDIRECT("A"&amp;ROW())) &lt;&gt; "",TRIM(INDIRECT("D"&amp;ROW())) = "nuevo"),"")</f>
        <v/>
      </c>
    </row>
    <row r="795" ht="27.5" customHeight="1" s="62">
      <c r="C795" s="0">
        <f>LEN(INDIRECT(ADDRESS(ROW() + (0),COLUMN() + (-1))))</f>
        <v/>
      </c>
      <c r="D795" s="0" t="n"/>
      <c r="E795" s="38" t="n"/>
      <c r="G795" s="40" t="n"/>
      <c r="J795" s="31">
        <f>IF(INDIRECT(ADDRESS(ROW() + (0),COLUMN() + (1)))="Agregar cuotas", IF(("16%")="", "-", "16%"), IF(INDIRECT(ADDRESS(ROW() + (0),COLUMN() + (1)))="No agregar cuotas", IF(("16%")="", "-", "16%"), "-"))</f>
        <v/>
      </c>
      <c r="K795" s="0" t="n"/>
      <c r="L795" s="31">
        <f>IF(INDIRECT(ADDRESS(ROW() + (0),COLUMN() + (-1)))="Agregar cuotas", IF(("13.4%")="", "Sin costo", "13.4%"), IF(INDIRECT(ADDRESS(ROW() + (0),COLUMN() + (-1)))="No agregar cuotas", IF(("")="", "Sin costo", ""), "-"))</f>
        <v/>
      </c>
      <c r="M795" s="0" t="n"/>
      <c r="N795" s="0" t="n"/>
      <c r="O795" s="0" t="n"/>
      <c r="P795" s="47" t="n"/>
      <c r="R795" s="0" t="n"/>
      <c r="S795" s="0" t="n"/>
      <c r="U795" s="0" t="n"/>
      <c r="X795" s="0" t="n"/>
      <c r="AA795" s="0" t="n"/>
      <c r="AB7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5" s="53">
        <f>IF(OR(TRIM(INDIRECT("B"&amp;ROW())) &lt;&gt; "",TRIM(INDIRECT("A"&amp;ROW())) &lt;&gt; ""),AND(TRIM(INDIRECT("A"&amp;ROW())) &lt;&gt; "",TRIM(INDIRECT("D"&amp;ROW())) = "nuevo"),"")</f>
        <v/>
      </c>
    </row>
    <row r="796" ht="27.5" customHeight="1" s="62">
      <c r="C796" s="0">
        <f>LEN(INDIRECT(ADDRESS(ROW() + (0),COLUMN() + (-1))))</f>
        <v/>
      </c>
      <c r="D796" s="0" t="n"/>
      <c r="E796" s="38" t="n"/>
      <c r="G796" s="40" t="n"/>
      <c r="J796" s="31">
        <f>IF(INDIRECT(ADDRESS(ROW() + (0),COLUMN() + (1)))="Agregar cuotas", IF(("16%")="", "-", "16%"), IF(INDIRECT(ADDRESS(ROW() + (0),COLUMN() + (1)))="No agregar cuotas", IF(("16%")="", "-", "16%"), "-"))</f>
        <v/>
      </c>
      <c r="K796" s="0" t="n"/>
      <c r="L796" s="31">
        <f>IF(INDIRECT(ADDRESS(ROW() + (0),COLUMN() + (-1)))="Agregar cuotas", IF(("13.4%")="", "Sin costo", "13.4%"), IF(INDIRECT(ADDRESS(ROW() + (0),COLUMN() + (-1)))="No agregar cuotas", IF(("")="", "Sin costo", ""), "-"))</f>
        <v/>
      </c>
      <c r="M796" s="0" t="n"/>
      <c r="N796" s="0" t="n"/>
      <c r="O796" s="0" t="n"/>
      <c r="P796" s="47" t="n"/>
      <c r="R796" s="0" t="n"/>
      <c r="S796" s="0" t="n"/>
      <c r="U796" s="0" t="n"/>
      <c r="X796" s="0" t="n"/>
      <c r="AA796" s="0" t="n"/>
      <c r="AB7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6" s="53">
        <f>IF(OR(TRIM(INDIRECT("B"&amp;ROW())) &lt;&gt; "",TRIM(INDIRECT("A"&amp;ROW())) &lt;&gt; ""),AND(TRIM(INDIRECT("A"&amp;ROW())) &lt;&gt; "",TRIM(INDIRECT("D"&amp;ROW())) = "nuevo"),"")</f>
        <v/>
      </c>
    </row>
    <row r="797" ht="27.5" customHeight="1" s="62">
      <c r="C797" s="0">
        <f>LEN(INDIRECT(ADDRESS(ROW() + (0),COLUMN() + (-1))))</f>
        <v/>
      </c>
      <c r="D797" s="0" t="n"/>
      <c r="E797" s="38" t="n"/>
      <c r="G797" s="40" t="n"/>
      <c r="J797" s="31">
        <f>IF(INDIRECT(ADDRESS(ROW() + (0),COLUMN() + (1)))="Agregar cuotas", IF(("16%")="", "-", "16%"), IF(INDIRECT(ADDRESS(ROW() + (0),COLUMN() + (1)))="No agregar cuotas", IF(("16%")="", "-", "16%"), "-"))</f>
        <v/>
      </c>
      <c r="K797" s="0" t="n"/>
      <c r="L797" s="31">
        <f>IF(INDIRECT(ADDRESS(ROW() + (0),COLUMN() + (-1)))="Agregar cuotas", IF(("13.4%")="", "Sin costo", "13.4%"), IF(INDIRECT(ADDRESS(ROW() + (0),COLUMN() + (-1)))="No agregar cuotas", IF(("")="", "Sin costo", ""), "-"))</f>
        <v/>
      </c>
      <c r="M797" s="0" t="n"/>
      <c r="N797" s="0" t="n"/>
      <c r="O797" s="0" t="n"/>
      <c r="P797" s="47" t="n"/>
      <c r="R797" s="0" t="n"/>
      <c r="S797" s="0" t="n"/>
      <c r="U797" s="0" t="n"/>
      <c r="X797" s="0" t="n"/>
      <c r="AA797" s="0" t="n"/>
      <c r="AB7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7" s="53">
        <f>IF(OR(TRIM(INDIRECT("B"&amp;ROW())) &lt;&gt; "",TRIM(INDIRECT("A"&amp;ROW())) &lt;&gt; ""),AND(TRIM(INDIRECT("A"&amp;ROW())) &lt;&gt; "",TRIM(INDIRECT("D"&amp;ROW())) = "nuevo"),"")</f>
        <v/>
      </c>
    </row>
    <row r="798" ht="27.5" customHeight="1" s="62">
      <c r="C798" s="0">
        <f>LEN(INDIRECT(ADDRESS(ROW() + (0),COLUMN() + (-1))))</f>
        <v/>
      </c>
      <c r="D798" s="0" t="n"/>
      <c r="E798" s="38" t="n"/>
      <c r="G798" s="40" t="n"/>
      <c r="J798" s="31">
        <f>IF(INDIRECT(ADDRESS(ROW() + (0),COLUMN() + (1)))="Agregar cuotas", IF(("16%")="", "-", "16%"), IF(INDIRECT(ADDRESS(ROW() + (0),COLUMN() + (1)))="No agregar cuotas", IF(("16%")="", "-", "16%"), "-"))</f>
        <v/>
      </c>
      <c r="K798" s="0" t="n"/>
      <c r="L798" s="31">
        <f>IF(INDIRECT(ADDRESS(ROW() + (0),COLUMN() + (-1)))="Agregar cuotas", IF(("13.4%")="", "Sin costo", "13.4%"), IF(INDIRECT(ADDRESS(ROW() + (0),COLUMN() + (-1)))="No agregar cuotas", IF(("")="", "Sin costo", ""), "-"))</f>
        <v/>
      </c>
      <c r="M798" s="0" t="n"/>
      <c r="N798" s="0" t="n"/>
      <c r="O798" s="0" t="n"/>
      <c r="P798" s="47" t="n"/>
      <c r="R798" s="0" t="n"/>
      <c r="S798" s="0" t="n"/>
      <c r="U798" s="0" t="n"/>
      <c r="X798" s="0" t="n"/>
      <c r="AA798" s="0" t="n"/>
      <c r="AB7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8" s="53">
        <f>IF(OR(TRIM(INDIRECT("B"&amp;ROW())) &lt;&gt; "",TRIM(INDIRECT("A"&amp;ROW())) &lt;&gt; ""),AND(TRIM(INDIRECT("A"&amp;ROW())) &lt;&gt; "",TRIM(INDIRECT("D"&amp;ROW())) = "nuevo"),"")</f>
        <v/>
      </c>
    </row>
    <row r="799" ht="27.5" customHeight="1" s="62">
      <c r="C799" s="0">
        <f>LEN(INDIRECT(ADDRESS(ROW() + (0),COLUMN() + (-1))))</f>
        <v/>
      </c>
      <c r="D799" s="0" t="n"/>
      <c r="E799" s="38" t="n"/>
      <c r="G799" s="40" t="n"/>
      <c r="J799" s="31">
        <f>IF(INDIRECT(ADDRESS(ROW() + (0),COLUMN() + (1)))="Agregar cuotas", IF(("16%")="", "-", "16%"), IF(INDIRECT(ADDRESS(ROW() + (0),COLUMN() + (1)))="No agregar cuotas", IF(("16%")="", "-", "16%"), "-"))</f>
        <v/>
      </c>
      <c r="K799" s="0" t="n"/>
      <c r="L799" s="31">
        <f>IF(INDIRECT(ADDRESS(ROW() + (0),COLUMN() + (-1)))="Agregar cuotas", IF(("13.4%")="", "Sin costo", "13.4%"), IF(INDIRECT(ADDRESS(ROW() + (0),COLUMN() + (-1)))="No agregar cuotas", IF(("")="", "Sin costo", ""), "-"))</f>
        <v/>
      </c>
      <c r="M799" s="0" t="n"/>
      <c r="N799" s="0" t="n"/>
      <c r="O799" s="0" t="n"/>
      <c r="P799" s="47" t="n"/>
      <c r="R799" s="0" t="n"/>
      <c r="S799" s="0" t="n"/>
      <c r="U799" s="0" t="n"/>
      <c r="X799" s="0" t="n"/>
      <c r="AA799" s="0" t="n"/>
      <c r="AB7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799" s="53">
        <f>IF(OR(TRIM(INDIRECT("B"&amp;ROW())) &lt;&gt; "",TRIM(INDIRECT("A"&amp;ROW())) &lt;&gt; ""),AND(TRIM(INDIRECT("A"&amp;ROW())) &lt;&gt; "",TRIM(INDIRECT("D"&amp;ROW())) = "nuevo"),"")</f>
        <v/>
      </c>
    </row>
    <row r="800" ht="27.5" customHeight="1" s="62">
      <c r="C800" s="0">
        <f>LEN(INDIRECT(ADDRESS(ROW() + (0),COLUMN() + (-1))))</f>
        <v/>
      </c>
      <c r="D800" s="0" t="n"/>
      <c r="E800" s="38" t="n"/>
      <c r="G800" s="40" t="n"/>
      <c r="J800" s="31">
        <f>IF(INDIRECT(ADDRESS(ROW() + (0),COLUMN() + (1)))="Agregar cuotas", IF(("16%")="", "-", "16%"), IF(INDIRECT(ADDRESS(ROW() + (0),COLUMN() + (1)))="No agregar cuotas", IF(("16%")="", "-", "16%"), "-"))</f>
        <v/>
      </c>
      <c r="K800" s="0" t="n"/>
      <c r="L800" s="31">
        <f>IF(INDIRECT(ADDRESS(ROW() + (0),COLUMN() + (-1)))="Agregar cuotas", IF(("13.4%")="", "Sin costo", "13.4%"), IF(INDIRECT(ADDRESS(ROW() + (0),COLUMN() + (-1)))="No agregar cuotas", IF(("")="", "Sin costo", ""), "-"))</f>
        <v/>
      </c>
      <c r="M800" s="0" t="n"/>
      <c r="N800" s="0" t="n"/>
      <c r="O800" s="0" t="n"/>
      <c r="P800" s="47" t="n"/>
      <c r="R800" s="0" t="n"/>
      <c r="S800" s="0" t="n"/>
      <c r="U800" s="0" t="n"/>
      <c r="X800" s="0" t="n"/>
      <c r="AA800" s="0" t="n"/>
      <c r="AB8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0" s="53">
        <f>IF(OR(TRIM(INDIRECT("B"&amp;ROW())) &lt;&gt; "",TRIM(INDIRECT("A"&amp;ROW())) &lt;&gt; ""),AND(TRIM(INDIRECT("A"&amp;ROW())) &lt;&gt; "",TRIM(INDIRECT("D"&amp;ROW())) = "nuevo"),"")</f>
        <v/>
      </c>
    </row>
    <row r="801" ht="27.5" customHeight="1" s="62">
      <c r="C801" s="0">
        <f>LEN(INDIRECT(ADDRESS(ROW() + (0),COLUMN() + (-1))))</f>
        <v/>
      </c>
      <c r="D801" s="0" t="n"/>
      <c r="E801" s="38" t="n"/>
      <c r="G801" s="40" t="n"/>
      <c r="J801" s="31">
        <f>IF(INDIRECT(ADDRESS(ROW() + (0),COLUMN() + (1)))="Agregar cuotas", IF(("16%")="", "-", "16%"), IF(INDIRECT(ADDRESS(ROW() + (0),COLUMN() + (1)))="No agregar cuotas", IF(("16%")="", "-", "16%"), "-"))</f>
        <v/>
      </c>
      <c r="K801" s="0" t="n"/>
      <c r="L801" s="31">
        <f>IF(INDIRECT(ADDRESS(ROW() + (0),COLUMN() + (-1)))="Agregar cuotas", IF(("13.4%")="", "Sin costo", "13.4%"), IF(INDIRECT(ADDRESS(ROW() + (0),COLUMN() + (-1)))="No agregar cuotas", IF(("")="", "Sin costo", ""), "-"))</f>
        <v/>
      </c>
      <c r="M801" s="0" t="n"/>
      <c r="N801" s="0" t="n"/>
      <c r="O801" s="0" t="n"/>
      <c r="P801" s="47" t="n"/>
      <c r="R801" s="0" t="n"/>
      <c r="S801" s="0" t="n"/>
      <c r="U801" s="0" t="n"/>
      <c r="X801" s="0" t="n"/>
      <c r="AA801" s="0" t="n"/>
      <c r="AB8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1" s="53">
        <f>IF(OR(TRIM(INDIRECT("B"&amp;ROW())) &lt;&gt; "",TRIM(INDIRECT("A"&amp;ROW())) &lt;&gt; ""),AND(TRIM(INDIRECT("A"&amp;ROW())) &lt;&gt; "",TRIM(INDIRECT("D"&amp;ROW())) = "nuevo"),"")</f>
        <v/>
      </c>
    </row>
    <row r="802" ht="27.5" customHeight="1" s="62">
      <c r="C802" s="0">
        <f>LEN(INDIRECT(ADDRESS(ROW() + (0),COLUMN() + (-1))))</f>
        <v/>
      </c>
      <c r="D802" s="0" t="n"/>
      <c r="E802" s="38" t="n"/>
      <c r="G802" s="40" t="n"/>
      <c r="J802" s="31">
        <f>IF(INDIRECT(ADDRESS(ROW() + (0),COLUMN() + (1)))="Agregar cuotas", IF(("16%")="", "-", "16%"), IF(INDIRECT(ADDRESS(ROW() + (0),COLUMN() + (1)))="No agregar cuotas", IF(("16%")="", "-", "16%"), "-"))</f>
        <v/>
      </c>
      <c r="K802" s="0" t="n"/>
      <c r="L802" s="31">
        <f>IF(INDIRECT(ADDRESS(ROW() + (0),COLUMN() + (-1)))="Agregar cuotas", IF(("13.4%")="", "Sin costo", "13.4%"), IF(INDIRECT(ADDRESS(ROW() + (0),COLUMN() + (-1)))="No agregar cuotas", IF(("")="", "Sin costo", ""), "-"))</f>
        <v/>
      </c>
      <c r="M802" s="0" t="n"/>
      <c r="N802" s="0" t="n"/>
      <c r="O802" s="0" t="n"/>
      <c r="P802" s="47" t="n"/>
      <c r="R802" s="0" t="n"/>
      <c r="S802" s="0" t="n"/>
      <c r="U802" s="0" t="n"/>
      <c r="X802" s="0" t="n"/>
      <c r="AA802" s="0" t="n"/>
      <c r="AB8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2" s="53">
        <f>IF(OR(TRIM(INDIRECT("B"&amp;ROW())) &lt;&gt; "",TRIM(INDIRECT("A"&amp;ROW())) &lt;&gt; ""),AND(TRIM(INDIRECT("A"&amp;ROW())) &lt;&gt; "",TRIM(INDIRECT("D"&amp;ROW())) = "nuevo"),"")</f>
        <v/>
      </c>
    </row>
    <row r="803" ht="27.5" customHeight="1" s="62">
      <c r="C803" s="0">
        <f>LEN(INDIRECT(ADDRESS(ROW() + (0),COLUMN() + (-1))))</f>
        <v/>
      </c>
      <c r="D803" s="0" t="n"/>
      <c r="E803" s="38" t="n"/>
      <c r="G803" s="40" t="n"/>
      <c r="J803" s="31">
        <f>IF(INDIRECT(ADDRESS(ROW() + (0),COLUMN() + (1)))="Agregar cuotas", IF(("16%")="", "-", "16%"), IF(INDIRECT(ADDRESS(ROW() + (0),COLUMN() + (1)))="No agregar cuotas", IF(("16%")="", "-", "16%"), "-"))</f>
        <v/>
      </c>
      <c r="K803" s="0" t="n"/>
      <c r="L803" s="31">
        <f>IF(INDIRECT(ADDRESS(ROW() + (0),COLUMN() + (-1)))="Agregar cuotas", IF(("13.4%")="", "Sin costo", "13.4%"), IF(INDIRECT(ADDRESS(ROW() + (0),COLUMN() + (-1)))="No agregar cuotas", IF(("")="", "Sin costo", ""), "-"))</f>
        <v/>
      </c>
      <c r="M803" s="0" t="n"/>
      <c r="N803" s="0" t="n"/>
      <c r="O803" s="0" t="n"/>
      <c r="P803" s="47" t="n"/>
      <c r="R803" s="0" t="n"/>
      <c r="S803" s="0" t="n"/>
      <c r="U803" s="0" t="n"/>
      <c r="X803" s="0" t="n"/>
      <c r="AA803" s="0" t="n"/>
      <c r="AB8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3" s="53">
        <f>IF(OR(TRIM(INDIRECT("B"&amp;ROW())) &lt;&gt; "",TRIM(INDIRECT("A"&amp;ROW())) &lt;&gt; ""),AND(TRIM(INDIRECT("A"&amp;ROW())) &lt;&gt; "",TRIM(INDIRECT("D"&amp;ROW())) = "nuevo"),"")</f>
        <v/>
      </c>
    </row>
    <row r="804" ht="27.5" customHeight="1" s="62">
      <c r="C804" s="0">
        <f>LEN(INDIRECT(ADDRESS(ROW() + (0),COLUMN() + (-1))))</f>
        <v/>
      </c>
      <c r="D804" s="0" t="n"/>
      <c r="E804" s="38" t="n"/>
      <c r="G804" s="40" t="n"/>
      <c r="J804" s="31">
        <f>IF(INDIRECT(ADDRESS(ROW() + (0),COLUMN() + (1)))="Agregar cuotas", IF(("16%")="", "-", "16%"), IF(INDIRECT(ADDRESS(ROW() + (0),COLUMN() + (1)))="No agregar cuotas", IF(("16%")="", "-", "16%"), "-"))</f>
        <v/>
      </c>
      <c r="K804" s="0" t="n"/>
      <c r="L804" s="31">
        <f>IF(INDIRECT(ADDRESS(ROW() + (0),COLUMN() + (-1)))="Agregar cuotas", IF(("13.4%")="", "Sin costo", "13.4%"), IF(INDIRECT(ADDRESS(ROW() + (0),COLUMN() + (-1)))="No agregar cuotas", IF(("")="", "Sin costo", ""), "-"))</f>
        <v/>
      </c>
      <c r="M804" s="0" t="n"/>
      <c r="N804" s="0" t="n"/>
      <c r="O804" s="0" t="n"/>
      <c r="P804" s="47" t="n"/>
      <c r="R804" s="0" t="n"/>
      <c r="S804" s="0" t="n"/>
      <c r="U804" s="0" t="n"/>
      <c r="X804" s="0" t="n"/>
      <c r="AA804" s="0" t="n"/>
      <c r="AB8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4" s="53">
        <f>IF(OR(TRIM(INDIRECT("B"&amp;ROW())) &lt;&gt; "",TRIM(INDIRECT("A"&amp;ROW())) &lt;&gt; ""),AND(TRIM(INDIRECT("A"&amp;ROW())) &lt;&gt; "",TRIM(INDIRECT("D"&amp;ROW())) = "nuevo"),"")</f>
        <v/>
      </c>
    </row>
    <row r="805" ht="27.5" customHeight="1" s="62">
      <c r="C805" s="0">
        <f>LEN(INDIRECT(ADDRESS(ROW() + (0),COLUMN() + (-1))))</f>
        <v/>
      </c>
      <c r="D805" s="0" t="n"/>
      <c r="E805" s="38" t="n"/>
      <c r="G805" s="40" t="n"/>
      <c r="J805" s="31">
        <f>IF(INDIRECT(ADDRESS(ROW() + (0),COLUMN() + (1)))="Agregar cuotas", IF(("16%")="", "-", "16%"), IF(INDIRECT(ADDRESS(ROW() + (0),COLUMN() + (1)))="No agregar cuotas", IF(("16%")="", "-", "16%"), "-"))</f>
        <v/>
      </c>
      <c r="K805" s="0" t="n"/>
      <c r="L805" s="31">
        <f>IF(INDIRECT(ADDRESS(ROW() + (0),COLUMN() + (-1)))="Agregar cuotas", IF(("13.4%")="", "Sin costo", "13.4%"), IF(INDIRECT(ADDRESS(ROW() + (0),COLUMN() + (-1)))="No agregar cuotas", IF(("")="", "Sin costo", ""), "-"))</f>
        <v/>
      </c>
      <c r="M805" s="0" t="n"/>
      <c r="N805" s="0" t="n"/>
      <c r="O805" s="0" t="n"/>
      <c r="P805" s="47" t="n"/>
      <c r="R805" s="0" t="n"/>
      <c r="S805" s="0" t="n"/>
      <c r="U805" s="0" t="n"/>
      <c r="X805" s="0" t="n"/>
      <c r="AA805" s="0" t="n"/>
      <c r="AB8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5" s="53">
        <f>IF(OR(TRIM(INDIRECT("B"&amp;ROW())) &lt;&gt; "",TRIM(INDIRECT("A"&amp;ROW())) &lt;&gt; ""),AND(TRIM(INDIRECT("A"&amp;ROW())) &lt;&gt; "",TRIM(INDIRECT("D"&amp;ROW())) = "nuevo"),"")</f>
        <v/>
      </c>
    </row>
    <row r="806" ht="27.5" customHeight="1" s="62">
      <c r="C806" s="0">
        <f>LEN(INDIRECT(ADDRESS(ROW() + (0),COLUMN() + (-1))))</f>
        <v/>
      </c>
      <c r="D806" s="0" t="n"/>
      <c r="E806" s="38" t="n"/>
      <c r="G806" s="40" t="n"/>
      <c r="J806" s="31">
        <f>IF(INDIRECT(ADDRESS(ROW() + (0),COLUMN() + (1)))="Agregar cuotas", IF(("16%")="", "-", "16%"), IF(INDIRECT(ADDRESS(ROW() + (0),COLUMN() + (1)))="No agregar cuotas", IF(("16%")="", "-", "16%"), "-"))</f>
        <v/>
      </c>
      <c r="K806" s="0" t="n"/>
      <c r="L806" s="31">
        <f>IF(INDIRECT(ADDRESS(ROW() + (0),COLUMN() + (-1)))="Agregar cuotas", IF(("13.4%")="", "Sin costo", "13.4%"), IF(INDIRECT(ADDRESS(ROW() + (0),COLUMN() + (-1)))="No agregar cuotas", IF(("")="", "Sin costo", ""), "-"))</f>
        <v/>
      </c>
      <c r="M806" s="0" t="n"/>
      <c r="N806" s="0" t="n"/>
      <c r="O806" s="0" t="n"/>
      <c r="P806" s="47" t="n"/>
      <c r="R806" s="0" t="n"/>
      <c r="S806" s="0" t="n"/>
      <c r="U806" s="0" t="n"/>
      <c r="X806" s="0" t="n"/>
      <c r="AA806" s="0" t="n"/>
      <c r="AB8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6" s="53">
        <f>IF(OR(TRIM(INDIRECT("B"&amp;ROW())) &lt;&gt; "",TRIM(INDIRECT("A"&amp;ROW())) &lt;&gt; ""),AND(TRIM(INDIRECT("A"&amp;ROW())) &lt;&gt; "",TRIM(INDIRECT("D"&amp;ROW())) = "nuevo"),"")</f>
        <v/>
      </c>
    </row>
    <row r="807" ht="27.5" customHeight="1" s="62">
      <c r="C807" s="0">
        <f>LEN(INDIRECT(ADDRESS(ROW() + (0),COLUMN() + (-1))))</f>
        <v/>
      </c>
      <c r="D807" s="0" t="n"/>
      <c r="E807" s="38" t="n"/>
      <c r="G807" s="40" t="n"/>
      <c r="J807" s="31">
        <f>IF(INDIRECT(ADDRESS(ROW() + (0),COLUMN() + (1)))="Agregar cuotas", IF(("16%")="", "-", "16%"), IF(INDIRECT(ADDRESS(ROW() + (0),COLUMN() + (1)))="No agregar cuotas", IF(("16%")="", "-", "16%"), "-"))</f>
        <v/>
      </c>
      <c r="K807" s="0" t="n"/>
      <c r="L807" s="31">
        <f>IF(INDIRECT(ADDRESS(ROW() + (0),COLUMN() + (-1)))="Agregar cuotas", IF(("13.4%")="", "Sin costo", "13.4%"), IF(INDIRECT(ADDRESS(ROW() + (0),COLUMN() + (-1)))="No agregar cuotas", IF(("")="", "Sin costo", ""), "-"))</f>
        <v/>
      </c>
      <c r="M807" s="0" t="n"/>
      <c r="N807" s="0" t="n"/>
      <c r="O807" s="0" t="n"/>
      <c r="P807" s="47" t="n"/>
      <c r="R807" s="0" t="n"/>
      <c r="S807" s="0" t="n"/>
      <c r="U807" s="0" t="n"/>
      <c r="X807" s="0" t="n"/>
      <c r="AA807" s="0" t="n"/>
      <c r="AB8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7" s="53">
        <f>IF(OR(TRIM(INDIRECT("B"&amp;ROW())) &lt;&gt; "",TRIM(INDIRECT("A"&amp;ROW())) &lt;&gt; ""),AND(TRIM(INDIRECT("A"&amp;ROW())) &lt;&gt; "",TRIM(INDIRECT("D"&amp;ROW())) = "nuevo"),"")</f>
        <v/>
      </c>
    </row>
    <row r="808" ht="27.5" customHeight="1" s="62">
      <c r="C808" s="0">
        <f>LEN(INDIRECT(ADDRESS(ROW() + (0),COLUMN() + (-1))))</f>
        <v/>
      </c>
      <c r="D808" s="0" t="n"/>
      <c r="E808" s="38" t="n"/>
      <c r="G808" s="40" t="n"/>
      <c r="J808" s="31">
        <f>IF(INDIRECT(ADDRESS(ROW() + (0),COLUMN() + (1)))="Agregar cuotas", IF(("16%")="", "-", "16%"), IF(INDIRECT(ADDRESS(ROW() + (0),COLUMN() + (1)))="No agregar cuotas", IF(("16%")="", "-", "16%"), "-"))</f>
        <v/>
      </c>
      <c r="K808" s="0" t="n"/>
      <c r="L808" s="31">
        <f>IF(INDIRECT(ADDRESS(ROW() + (0),COLUMN() + (-1)))="Agregar cuotas", IF(("13.4%")="", "Sin costo", "13.4%"), IF(INDIRECT(ADDRESS(ROW() + (0),COLUMN() + (-1)))="No agregar cuotas", IF(("")="", "Sin costo", ""), "-"))</f>
        <v/>
      </c>
      <c r="M808" s="0" t="n"/>
      <c r="N808" s="0" t="n"/>
      <c r="O808" s="0" t="n"/>
      <c r="P808" s="47" t="n"/>
      <c r="R808" s="0" t="n"/>
      <c r="S808" s="0" t="n"/>
      <c r="U808" s="0" t="n"/>
      <c r="X808" s="0" t="n"/>
      <c r="AA808" s="0" t="n"/>
      <c r="AB8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8" s="53">
        <f>IF(OR(TRIM(INDIRECT("B"&amp;ROW())) &lt;&gt; "",TRIM(INDIRECT("A"&amp;ROW())) &lt;&gt; ""),AND(TRIM(INDIRECT("A"&amp;ROW())) &lt;&gt; "",TRIM(INDIRECT("D"&amp;ROW())) = "nuevo"),"")</f>
        <v/>
      </c>
    </row>
    <row r="809" ht="27.5" customHeight="1" s="62">
      <c r="C809" s="0">
        <f>LEN(INDIRECT(ADDRESS(ROW() + (0),COLUMN() + (-1))))</f>
        <v/>
      </c>
      <c r="D809" s="0" t="n"/>
      <c r="E809" s="38" t="n"/>
      <c r="G809" s="40" t="n"/>
      <c r="J809" s="31">
        <f>IF(INDIRECT(ADDRESS(ROW() + (0),COLUMN() + (1)))="Agregar cuotas", IF(("16%")="", "-", "16%"), IF(INDIRECT(ADDRESS(ROW() + (0),COLUMN() + (1)))="No agregar cuotas", IF(("16%")="", "-", "16%"), "-"))</f>
        <v/>
      </c>
      <c r="K809" s="0" t="n"/>
      <c r="L809" s="31">
        <f>IF(INDIRECT(ADDRESS(ROW() + (0),COLUMN() + (-1)))="Agregar cuotas", IF(("13.4%")="", "Sin costo", "13.4%"), IF(INDIRECT(ADDRESS(ROW() + (0),COLUMN() + (-1)))="No agregar cuotas", IF(("")="", "Sin costo", ""), "-"))</f>
        <v/>
      </c>
      <c r="M809" s="0" t="n"/>
      <c r="N809" s="0" t="n"/>
      <c r="O809" s="0" t="n"/>
      <c r="P809" s="47" t="n"/>
      <c r="R809" s="0" t="n"/>
      <c r="S809" s="0" t="n"/>
      <c r="U809" s="0" t="n"/>
      <c r="X809" s="0" t="n"/>
      <c r="AA809" s="0" t="n"/>
      <c r="AB8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09" s="53">
        <f>IF(OR(TRIM(INDIRECT("B"&amp;ROW())) &lt;&gt; "",TRIM(INDIRECT("A"&amp;ROW())) &lt;&gt; ""),AND(TRIM(INDIRECT("A"&amp;ROW())) &lt;&gt; "",TRIM(INDIRECT("D"&amp;ROW())) = "nuevo"),"")</f>
        <v/>
      </c>
    </row>
    <row r="810" ht="27.5" customHeight="1" s="62">
      <c r="C810" s="0">
        <f>LEN(INDIRECT(ADDRESS(ROW() + (0),COLUMN() + (-1))))</f>
        <v/>
      </c>
      <c r="D810" s="0" t="n"/>
      <c r="E810" s="38" t="n"/>
      <c r="G810" s="40" t="n"/>
      <c r="J810" s="31">
        <f>IF(INDIRECT(ADDRESS(ROW() + (0),COLUMN() + (1)))="Agregar cuotas", IF(("16%")="", "-", "16%"), IF(INDIRECT(ADDRESS(ROW() + (0),COLUMN() + (1)))="No agregar cuotas", IF(("16%")="", "-", "16%"), "-"))</f>
        <v/>
      </c>
      <c r="K810" s="0" t="n"/>
      <c r="L810" s="31">
        <f>IF(INDIRECT(ADDRESS(ROW() + (0),COLUMN() + (-1)))="Agregar cuotas", IF(("13.4%")="", "Sin costo", "13.4%"), IF(INDIRECT(ADDRESS(ROW() + (0),COLUMN() + (-1)))="No agregar cuotas", IF(("")="", "Sin costo", ""), "-"))</f>
        <v/>
      </c>
      <c r="M810" s="0" t="n"/>
      <c r="N810" s="0" t="n"/>
      <c r="O810" s="0" t="n"/>
      <c r="P810" s="47" t="n"/>
      <c r="R810" s="0" t="n"/>
      <c r="S810" s="0" t="n"/>
      <c r="U810" s="0" t="n"/>
      <c r="X810" s="0" t="n"/>
      <c r="AA810" s="0" t="n"/>
      <c r="AB8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0" s="53">
        <f>IF(OR(TRIM(INDIRECT("B"&amp;ROW())) &lt;&gt; "",TRIM(INDIRECT("A"&amp;ROW())) &lt;&gt; ""),AND(TRIM(INDIRECT("A"&amp;ROW())) &lt;&gt; "",TRIM(INDIRECT("D"&amp;ROW())) = "nuevo"),"")</f>
        <v/>
      </c>
    </row>
    <row r="811" ht="27.5" customHeight="1" s="62">
      <c r="C811" s="0">
        <f>LEN(INDIRECT(ADDRESS(ROW() + (0),COLUMN() + (-1))))</f>
        <v/>
      </c>
      <c r="D811" s="0" t="n"/>
      <c r="E811" s="38" t="n"/>
      <c r="G811" s="40" t="n"/>
      <c r="J811" s="31">
        <f>IF(INDIRECT(ADDRESS(ROW() + (0),COLUMN() + (1)))="Agregar cuotas", IF(("16%")="", "-", "16%"), IF(INDIRECT(ADDRESS(ROW() + (0),COLUMN() + (1)))="No agregar cuotas", IF(("16%")="", "-", "16%"), "-"))</f>
        <v/>
      </c>
      <c r="K811" s="0" t="n"/>
      <c r="L811" s="31">
        <f>IF(INDIRECT(ADDRESS(ROW() + (0),COLUMN() + (-1)))="Agregar cuotas", IF(("13.4%")="", "Sin costo", "13.4%"), IF(INDIRECT(ADDRESS(ROW() + (0),COLUMN() + (-1)))="No agregar cuotas", IF(("")="", "Sin costo", ""), "-"))</f>
        <v/>
      </c>
      <c r="M811" s="0" t="n"/>
      <c r="N811" s="0" t="n"/>
      <c r="O811" s="0" t="n"/>
      <c r="P811" s="47" t="n"/>
      <c r="R811" s="0" t="n"/>
      <c r="S811" s="0" t="n"/>
      <c r="U811" s="0" t="n"/>
      <c r="X811" s="0" t="n"/>
      <c r="AA811" s="0" t="n"/>
      <c r="AB8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1" s="53">
        <f>IF(OR(TRIM(INDIRECT("B"&amp;ROW())) &lt;&gt; "",TRIM(INDIRECT("A"&amp;ROW())) &lt;&gt; ""),AND(TRIM(INDIRECT("A"&amp;ROW())) &lt;&gt; "",TRIM(INDIRECT("D"&amp;ROW())) = "nuevo"),"")</f>
        <v/>
      </c>
    </row>
    <row r="812" ht="27.5" customHeight="1" s="62">
      <c r="C812" s="0">
        <f>LEN(INDIRECT(ADDRESS(ROW() + (0),COLUMN() + (-1))))</f>
        <v/>
      </c>
      <c r="D812" s="0" t="n"/>
      <c r="E812" s="38" t="n"/>
      <c r="G812" s="40" t="n"/>
      <c r="J812" s="31">
        <f>IF(INDIRECT(ADDRESS(ROW() + (0),COLUMN() + (1)))="Agregar cuotas", IF(("16%")="", "-", "16%"), IF(INDIRECT(ADDRESS(ROW() + (0),COLUMN() + (1)))="No agregar cuotas", IF(("16%")="", "-", "16%"), "-"))</f>
        <v/>
      </c>
      <c r="K812" s="0" t="n"/>
      <c r="L812" s="31">
        <f>IF(INDIRECT(ADDRESS(ROW() + (0),COLUMN() + (-1)))="Agregar cuotas", IF(("13.4%")="", "Sin costo", "13.4%"), IF(INDIRECT(ADDRESS(ROW() + (0),COLUMN() + (-1)))="No agregar cuotas", IF(("")="", "Sin costo", ""), "-"))</f>
        <v/>
      </c>
      <c r="M812" s="0" t="n"/>
      <c r="N812" s="0" t="n"/>
      <c r="O812" s="0" t="n"/>
      <c r="P812" s="47" t="n"/>
      <c r="R812" s="0" t="n"/>
      <c r="S812" s="0" t="n"/>
      <c r="U812" s="0" t="n"/>
      <c r="X812" s="0" t="n"/>
      <c r="AA812" s="0" t="n"/>
      <c r="AB8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2" s="53">
        <f>IF(OR(TRIM(INDIRECT("B"&amp;ROW())) &lt;&gt; "",TRIM(INDIRECT("A"&amp;ROW())) &lt;&gt; ""),AND(TRIM(INDIRECT("A"&amp;ROW())) &lt;&gt; "",TRIM(INDIRECT("D"&amp;ROW())) = "nuevo"),"")</f>
        <v/>
      </c>
    </row>
    <row r="813" ht="27.5" customHeight="1" s="62">
      <c r="C813" s="0">
        <f>LEN(INDIRECT(ADDRESS(ROW() + (0),COLUMN() + (-1))))</f>
        <v/>
      </c>
      <c r="D813" s="0" t="n"/>
      <c r="E813" s="38" t="n"/>
      <c r="G813" s="40" t="n"/>
      <c r="J813" s="31">
        <f>IF(INDIRECT(ADDRESS(ROW() + (0),COLUMN() + (1)))="Agregar cuotas", IF(("16%")="", "-", "16%"), IF(INDIRECT(ADDRESS(ROW() + (0),COLUMN() + (1)))="No agregar cuotas", IF(("16%")="", "-", "16%"), "-"))</f>
        <v/>
      </c>
      <c r="K813" s="0" t="n"/>
      <c r="L813" s="31">
        <f>IF(INDIRECT(ADDRESS(ROW() + (0),COLUMN() + (-1)))="Agregar cuotas", IF(("13.4%")="", "Sin costo", "13.4%"), IF(INDIRECT(ADDRESS(ROW() + (0),COLUMN() + (-1)))="No agregar cuotas", IF(("")="", "Sin costo", ""), "-"))</f>
        <v/>
      </c>
      <c r="M813" s="0" t="n"/>
      <c r="N813" s="0" t="n"/>
      <c r="O813" s="0" t="n"/>
      <c r="P813" s="47" t="n"/>
      <c r="R813" s="0" t="n"/>
      <c r="S813" s="0" t="n"/>
      <c r="U813" s="0" t="n"/>
      <c r="X813" s="0" t="n"/>
      <c r="AA813" s="0" t="n"/>
      <c r="AB8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3" s="53">
        <f>IF(OR(TRIM(INDIRECT("B"&amp;ROW())) &lt;&gt; "",TRIM(INDIRECT("A"&amp;ROW())) &lt;&gt; ""),AND(TRIM(INDIRECT("A"&amp;ROW())) &lt;&gt; "",TRIM(INDIRECT("D"&amp;ROW())) = "nuevo"),"")</f>
        <v/>
      </c>
    </row>
    <row r="814" ht="27.5" customHeight="1" s="62">
      <c r="C814" s="0">
        <f>LEN(INDIRECT(ADDRESS(ROW() + (0),COLUMN() + (-1))))</f>
        <v/>
      </c>
      <c r="D814" s="0" t="n"/>
      <c r="E814" s="38" t="n"/>
      <c r="G814" s="40" t="n"/>
      <c r="J814" s="31">
        <f>IF(INDIRECT(ADDRESS(ROW() + (0),COLUMN() + (1)))="Agregar cuotas", IF(("16%")="", "-", "16%"), IF(INDIRECT(ADDRESS(ROW() + (0),COLUMN() + (1)))="No agregar cuotas", IF(("16%")="", "-", "16%"), "-"))</f>
        <v/>
      </c>
      <c r="K814" s="0" t="n"/>
      <c r="L814" s="31">
        <f>IF(INDIRECT(ADDRESS(ROW() + (0),COLUMN() + (-1)))="Agregar cuotas", IF(("13.4%")="", "Sin costo", "13.4%"), IF(INDIRECT(ADDRESS(ROW() + (0),COLUMN() + (-1)))="No agregar cuotas", IF(("")="", "Sin costo", ""), "-"))</f>
        <v/>
      </c>
      <c r="M814" s="0" t="n"/>
      <c r="N814" s="0" t="n"/>
      <c r="O814" s="0" t="n"/>
      <c r="P814" s="47" t="n"/>
      <c r="R814" s="0" t="n"/>
      <c r="S814" s="0" t="n"/>
      <c r="U814" s="0" t="n"/>
      <c r="X814" s="0" t="n"/>
      <c r="AA814" s="0" t="n"/>
      <c r="AB8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4" s="53">
        <f>IF(OR(TRIM(INDIRECT("B"&amp;ROW())) &lt;&gt; "",TRIM(INDIRECT("A"&amp;ROW())) &lt;&gt; ""),AND(TRIM(INDIRECT("A"&amp;ROW())) &lt;&gt; "",TRIM(INDIRECT("D"&amp;ROW())) = "nuevo"),"")</f>
        <v/>
      </c>
    </row>
    <row r="815" ht="27.5" customHeight="1" s="62">
      <c r="C815" s="0">
        <f>LEN(INDIRECT(ADDRESS(ROW() + (0),COLUMN() + (-1))))</f>
        <v/>
      </c>
      <c r="D815" s="0" t="n"/>
      <c r="E815" s="38" t="n"/>
      <c r="G815" s="40" t="n"/>
      <c r="J815" s="31">
        <f>IF(INDIRECT(ADDRESS(ROW() + (0),COLUMN() + (1)))="Agregar cuotas", IF(("16%")="", "-", "16%"), IF(INDIRECT(ADDRESS(ROW() + (0),COLUMN() + (1)))="No agregar cuotas", IF(("16%")="", "-", "16%"), "-"))</f>
        <v/>
      </c>
      <c r="K815" s="0" t="n"/>
      <c r="L815" s="31">
        <f>IF(INDIRECT(ADDRESS(ROW() + (0),COLUMN() + (-1)))="Agregar cuotas", IF(("13.4%")="", "Sin costo", "13.4%"), IF(INDIRECT(ADDRESS(ROW() + (0),COLUMN() + (-1)))="No agregar cuotas", IF(("")="", "Sin costo", ""), "-"))</f>
        <v/>
      </c>
      <c r="M815" s="0" t="n"/>
      <c r="N815" s="0" t="n"/>
      <c r="O815" s="0" t="n"/>
      <c r="P815" s="47" t="n"/>
      <c r="R815" s="0" t="n"/>
      <c r="S815" s="0" t="n"/>
      <c r="U815" s="0" t="n"/>
      <c r="X815" s="0" t="n"/>
      <c r="AA815" s="0" t="n"/>
      <c r="AB8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5" s="53">
        <f>IF(OR(TRIM(INDIRECT("B"&amp;ROW())) &lt;&gt; "",TRIM(INDIRECT("A"&amp;ROW())) &lt;&gt; ""),AND(TRIM(INDIRECT("A"&amp;ROW())) &lt;&gt; "",TRIM(INDIRECT("D"&amp;ROW())) = "nuevo"),"")</f>
        <v/>
      </c>
    </row>
    <row r="816" ht="27.5" customHeight="1" s="62">
      <c r="C816" s="0">
        <f>LEN(INDIRECT(ADDRESS(ROW() + (0),COLUMN() + (-1))))</f>
        <v/>
      </c>
      <c r="D816" s="0" t="n"/>
      <c r="E816" s="38" t="n"/>
      <c r="G816" s="40" t="n"/>
      <c r="J816" s="31">
        <f>IF(INDIRECT(ADDRESS(ROW() + (0),COLUMN() + (1)))="Agregar cuotas", IF(("16%")="", "-", "16%"), IF(INDIRECT(ADDRESS(ROW() + (0),COLUMN() + (1)))="No agregar cuotas", IF(("16%")="", "-", "16%"), "-"))</f>
        <v/>
      </c>
      <c r="K816" s="0" t="n"/>
      <c r="L816" s="31">
        <f>IF(INDIRECT(ADDRESS(ROW() + (0),COLUMN() + (-1)))="Agregar cuotas", IF(("13.4%")="", "Sin costo", "13.4%"), IF(INDIRECT(ADDRESS(ROW() + (0),COLUMN() + (-1)))="No agregar cuotas", IF(("")="", "Sin costo", ""), "-"))</f>
        <v/>
      </c>
      <c r="M816" s="0" t="n"/>
      <c r="N816" s="0" t="n"/>
      <c r="O816" s="0" t="n"/>
      <c r="P816" s="47" t="n"/>
      <c r="R816" s="0" t="n"/>
      <c r="S816" s="0" t="n"/>
      <c r="U816" s="0" t="n"/>
      <c r="X816" s="0" t="n"/>
      <c r="AA816" s="0" t="n"/>
      <c r="AB8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6" s="53">
        <f>IF(OR(TRIM(INDIRECT("B"&amp;ROW())) &lt;&gt; "",TRIM(INDIRECT("A"&amp;ROW())) &lt;&gt; ""),AND(TRIM(INDIRECT("A"&amp;ROW())) &lt;&gt; "",TRIM(INDIRECT("D"&amp;ROW())) = "nuevo"),"")</f>
        <v/>
      </c>
    </row>
    <row r="817" ht="27.5" customHeight="1" s="62">
      <c r="C817" s="0">
        <f>LEN(INDIRECT(ADDRESS(ROW() + (0),COLUMN() + (-1))))</f>
        <v/>
      </c>
      <c r="D817" s="0" t="n"/>
      <c r="E817" s="38" t="n"/>
      <c r="G817" s="40" t="n"/>
      <c r="J817" s="31">
        <f>IF(INDIRECT(ADDRESS(ROW() + (0),COLUMN() + (1)))="Agregar cuotas", IF(("16%")="", "-", "16%"), IF(INDIRECT(ADDRESS(ROW() + (0),COLUMN() + (1)))="No agregar cuotas", IF(("16%")="", "-", "16%"), "-"))</f>
        <v/>
      </c>
      <c r="K817" s="0" t="n"/>
      <c r="L817" s="31">
        <f>IF(INDIRECT(ADDRESS(ROW() + (0),COLUMN() + (-1)))="Agregar cuotas", IF(("13.4%")="", "Sin costo", "13.4%"), IF(INDIRECT(ADDRESS(ROW() + (0),COLUMN() + (-1)))="No agregar cuotas", IF(("")="", "Sin costo", ""), "-"))</f>
        <v/>
      </c>
      <c r="M817" s="0" t="n"/>
      <c r="N817" s="0" t="n"/>
      <c r="O817" s="0" t="n"/>
      <c r="P817" s="47" t="n"/>
      <c r="R817" s="0" t="n"/>
      <c r="S817" s="0" t="n"/>
      <c r="U817" s="0" t="n"/>
      <c r="X817" s="0" t="n"/>
      <c r="AA817" s="0" t="n"/>
      <c r="AB8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7" s="53">
        <f>IF(OR(TRIM(INDIRECT("B"&amp;ROW())) &lt;&gt; "",TRIM(INDIRECT("A"&amp;ROW())) &lt;&gt; ""),AND(TRIM(INDIRECT("A"&amp;ROW())) &lt;&gt; "",TRIM(INDIRECT("D"&amp;ROW())) = "nuevo"),"")</f>
        <v/>
      </c>
    </row>
    <row r="818" ht="27.5" customHeight="1" s="62">
      <c r="C818" s="0">
        <f>LEN(INDIRECT(ADDRESS(ROW() + (0),COLUMN() + (-1))))</f>
        <v/>
      </c>
      <c r="D818" s="0" t="n"/>
      <c r="E818" s="38" t="n"/>
      <c r="G818" s="40" t="n"/>
      <c r="J818" s="31">
        <f>IF(INDIRECT(ADDRESS(ROW() + (0),COLUMN() + (1)))="Agregar cuotas", IF(("16%")="", "-", "16%"), IF(INDIRECT(ADDRESS(ROW() + (0),COLUMN() + (1)))="No agregar cuotas", IF(("16%")="", "-", "16%"), "-"))</f>
        <v/>
      </c>
      <c r="K818" s="0" t="n"/>
      <c r="L818" s="31">
        <f>IF(INDIRECT(ADDRESS(ROW() + (0),COLUMN() + (-1)))="Agregar cuotas", IF(("13.4%")="", "Sin costo", "13.4%"), IF(INDIRECT(ADDRESS(ROW() + (0),COLUMN() + (-1)))="No agregar cuotas", IF(("")="", "Sin costo", ""), "-"))</f>
        <v/>
      </c>
      <c r="M818" s="0" t="n"/>
      <c r="N818" s="0" t="n"/>
      <c r="O818" s="0" t="n"/>
      <c r="P818" s="47" t="n"/>
      <c r="R818" s="0" t="n"/>
      <c r="S818" s="0" t="n"/>
      <c r="U818" s="0" t="n"/>
      <c r="X818" s="0" t="n"/>
      <c r="AA818" s="0" t="n"/>
      <c r="AB8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8" s="53">
        <f>IF(OR(TRIM(INDIRECT("B"&amp;ROW())) &lt;&gt; "",TRIM(INDIRECT("A"&amp;ROW())) &lt;&gt; ""),AND(TRIM(INDIRECT("A"&amp;ROW())) &lt;&gt; "",TRIM(INDIRECT("D"&amp;ROW())) = "nuevo"),"")</f>
        <v/>
      </c>
    </row>
    <row r="819" ht="27.5" customHeight="1" s="62">
      <c r="C819" s="0">
        <f>LEN(INDIRECT(ADDRESS(ROW() + (0),COLUMN() + (-1))))</f>
        <v/>
      </c>
      <c r="D819" s="0" t="n"/>
      <c r="E819" s="38" t="n"/>
      <c r="G819" s="40" t="n"/>
      <c r="J819" s="31">
        <f>IF(INDIRECT(ADDRESS(ROW() + (0),COLUMN() + (1)))="Agregar cuotas", IF(("16%")="", "-", "16%"), IF(INDIRECT(ADDRESS(ROW() + (0),COLUMN() + (1)))="No agregar cuotas", IF(("16%")="", "-", "16%"), "-"))</f>
        <v/>
      </c>
      <c r="K819" s="0" t="n"/>
      <c r="L819" s="31">
        <f>IF(INDIRECT(ADDRESS(ROW() + (0),COLUMN() + (-1)))="Agregar cuotas", IF(("13.4%")="", "Sin costo", "13.4%"), IF(INDIRECT(ADDRESS(ROW() + (0),COLUMN() + (-1)))="No agregar cuotas", IF(("")="", "Sin costo", ""), "-"))</f>
        <v/>
      </c>
      <c r="M819" s="0" t="n"/>
      <c r="N819" s="0" t="n"/>
      <c r="O819" s="0" t="n"/>
      <c r="P819" s="47" t="n"/>
      <c r="R819" s="0" t="n"/>
      <c r="S819" s="0" t="n"/>
      <c r="U819" s="0" t="n"/>
      <c r="X819" s="0" t="n"/>
      <c r="AA819" s="0" t="n"/>
      <c r="AB8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19" s="53">
        <f>IF(OR(TRIM(INDIRECT("B"&amp;ROW())) &lt;&gt; "",TRIM(INDIRECT("A"&amp;ROW())) &lt;&gt; ""),AND(TRIM(INDIRECT("A"&amp;ROW())) &lt;&gt; "",TRIM(INDIRECT("D"&amp;ROW())) = "nuevo"),"")</f>
        <v/>
      </c>
    </row>
    <row r="820" ht="27.5" customHeight="1" s="62">
      <c r="C820" s="0">
        <f>LEN(INDIRECT(ADDRESS(ROW() + (0),COLUMN() + (-1))))</f>
        <v/>
      </c>
      <c r="D820" s="0" t="n"/>
      <c r="E820" s="38" t="n"/>
      <c r="G820" s="40" t="n"/>
      <c r="J820" s="31">
        <f>IF(INDIRECT(ADDRESS(ROW() + (0),COLUMN() + (1)))="Agregar cuotas", IF(("16%")="", "-", "16%"), IF(INDIRECT(ADDRESS(ROW() + (0),COLUMN() + (1)))="No agregar cuotas", IF(("16%")="", "-", "16%"), "-"))</f>
        <v/>
      </c>
      <c r="K820" s="0" t="n"/>
      <c r="L820" s="31">
        <f>IF(INDIRECT(ADDRESS(ROW() + (0),COLUMN() + (-1)))="Agregar cuotas", IF(("13.4%")="", "Sin costo", "13.4%"), IF(INDIRECT(ADDRESS(ROW() + (0),COLUMN() + (-1)))="No agregar cuotas", IF(("")="", "Sin costo", ""), "-"))</f>
        <v/>
      </c>
      <c r="M820" s="0" t="n"/>
      <c r="N820" s="0" t="n"/>
      <c r="O820" s="0" t="n"/>
      <c r="P820" s="47" t="n"/>
      <c r="R820" s="0" t="n"/>
      <c r="S820" s="0" t="n"/>
      <c r="U820" s="0" t="n"/>
      <c r="X820" s="0" t="n"/>
      <c r="AA820" s="0" t="n"/>
      <c r="AB8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0" s="53">
        <f>IF(OR(TRIM(INDIRECT("B"&amp;ROW())) &lt;&gt; "",TRIM(INDIRECT("A"&amp;ROW())) &lt;&gt; ""),AND(TRIM(INDIRECT("A"&amp;ROW())) &lt;&gt; "",TRIM(INDIRECT("D"&amp;ROW())) = "nuevo"),"")</f>
        <v/>
      </c>
    </row>
    <row r="821" ht="27.5" customHeight="1" s="62">
      <c r="C821" s="0">
        <f>LEN(INDIRECT(ADDRESS(ROW() + (0),COLUMN() + (-1))))</f>
        <v/>
      </c>
      <c r="D821" s="0" t="n"/>
      <c r="E821" s="38" t="n"/>
      <c r="G821" s="40" t="n"/>
      <c r="J821" s="31">
        <f>IF(INDIRECT(ADDRESS(ROW() + (0),COLUMN() + (1)))="Agregar cuotas", IF(("16%")="", "-", "16%"), IF(INDIRECT(ADDRESS(ROW() + (0),COLUMN() + (1)))="No agregar cuotas", IF(("16%")="", "-", "16%"), "-"))</f>
        <v/>
      </c>
      <c r="K821" s="0" t="n"/>
      <c r="L821" s="31">
        <f>IF(INDIRECT(ADDRESS(ROW() + (0),COLUMN() + (-1)))="Agregar cuotas", IF(("13.4%")="", "Sin costo", "13.4%"), IF(INDIRECT(ADDRESS(ROW() + (0),COLUMN() + (-1)))="No agregar cuotas", IF(("")="", "Sin costo", ""), "-"))</f>
        <v/>
      </c>
      <c r="M821" s="0" t="n"/>
      <c r="N821" s="0" t="n"/>
      <c r="O821" s="0" t="n"/>
      <c r="P821" s="47" t="n"/>
      <c r="R821" s="0" t="n"/>
      <c r="S821" s="0" t="n"/>
      <c r="U821" s="0" t="n"/>
      <c r="X821" s="0" t="n"/>
      <c r="AA821" s="0" t="n"/>
      <c r="AB8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1" s="53">
        <f>IF(OR(TRIM(INDIRECT("B"&amp;ROW())) &lt;&gt; "",TRIM(INDIRECT("A"&amp;ROW())) &lt;&gt; ""),AND(TRIM(INDIRECT("A"&amp;ROW())) &lt;&gt; "",TRIM(INDIRECT("D"&amp;ROW())) = "nuevo"),"")</f>
        <v/>
      </c>
    </row>
    <row r="822" ht="27.5" customHeight="1" s="62">
      <c r="C822" s="0">
        <f>LEN(INDIRECT(ADDRESS(ROW() + (0),COLUMN() + (-1))))</f>
        <v/>
      </c>
      <c r="D822" s="0" t="n"/>
      <c r="E822" s="38" t="n"/>
      <c r="G822" s="40" t="n"/>
      <c r="J822" s="31">
        <f>IF(INDIRECT(ADDRESS(ROW() + (0),COLUMN() + (1)))="Agregar cuotas", IF(("16%")="", "-", "16%"), IF(INDIRECT(ADDRESS(ROW() + (0),COLUMN() + (1)))="No agregar cuotas", IF(("16%")="", "-", "16%"), "-"))</f>
        <v/>
      </c>
      <c r="K822" s="0" t="n"/>
      <c r="L822" s="31">
        <f>IF(INDIRECT(ADDRESS(ROW() + (0),COLUMN() + (-1)))="Agregar cuotas", IF(("13.4%")="", "Sin costo", "13.4%"), IF(INDIRECT(ADDRESS(ROW() + (0),COLUMN() + (-1)))="No agregar cuotas", IF(("")="", "Sin costo", ""), "-"))</f>
        <v/>
      </c>
      <c r="M822" s="0" t="n"/>
      <c r="N822" s="0" t="n"/>
      <c r="O822" s="0" t="n"/>
      <c r="P822" s="47" t="n"/>
      <c r="R822" s="0" t="n"/>
      <c r="S822" s="0" t="n"/>
      <c r="U822" s="0" t="n"/>
      <c r="X822" s="0" t="n"/>
      <c r="AA822" s="0" t="n"/>
      <c r="AB8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2" s="53">
        <f>IF(OR(TRIM(INDIRECT("B"&amp;ROW())) &lt;&gt; "",TRIM(INDIRECT("A"&amp;ROW())) &lt;&gt; ""),AND(TRIM(INDIRECT("A"&amp;ROW())) &lt;&gt; "",TRIM(INDIRECT("D"&amp;ROW())) = "nuevo"),"")</f>
        <v/>
      </c>
    </row>
    <row r="823" ht="27.5" customHeight="1" s="62">
      <c r="C823" s="0">
        <f>LEN(INDIRECT(ADDRESS(ROW() + (0),COLUMN() + (-1))))</f>
        <v/>
      </c>
      <c r="D823" s="0" t="n"/>
      <c r="E823" s="38" t="n"/>
      <c r="G823" s="40" t="n"/>
      <c r="J823" s="31">
        <f>IF(INDIRECT(ADDRESS(ROW() + (0),COLUMN() + (1)))="Agregar cuotas", IF(("16%")="", "-", "16%"), IF(INDIRECT(ADDRESS(ROW() + (0),COLUMN() + (1)))="No agregar cuotas", IF(("16%")="", "-", "16%"), "-"))</f>
        <v/>
      </c>
      <c r="K823" s="0" t="n"/>
      <c r="L823" s="31">
        <f>IF(INDIRECT(ADDRESS(ROW() + (0),COLUMN() + (-1)))="Agregar cuotas", IF(("13.4%")="", "Sin costo", "13.4%"), IF(INDIRECT(ADDRESS(ROW() + (0),COLUMN() + (-1)))="No agregar cuotas", IF(("")="", "Sin costo", ""), "-"))</f>
        <v/>
      </c>
      <c r="M823" s="0" t="n"/>
      <c r="N823" s="0" t="n"/>
      <c r="O823" s="0" t="n"/>
      <c r="P823" s="47" t="n"/>
      <c r="R823" s="0" t="n"/>
      <c r="S823" s="0" t="n"/>
      <c r="U823" s="0" t="n"/>
      <c r="X823" s="0" t="n"/>
      <c r="AA823" s="0" t="n"/>
      <c r="AB8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3" s="53">
        <f>IF(OR(TRIM(INDIRECT("B"&amp;ROW())) &lt;&gt; "",TRIM(INDIRECT("A"&amp;ROW())) &lt;&gt; ""),AND(TRIM(INDIRECT("A"&amp;ROW())) &lt;&gt; "",TRIM(INDIRECT("D"&amp;ROW())) = "nuevo"),"")</f>
        <v/>
      </c>
    </row>
    <row r="824" ht="27.5" customHeight="1" s="62">
      <c r="C824" s="0">
        <f>LEN(INDIRECT(ADDRESS(ROW() + (0),COLUMN() + (-1))))</f>
        <v/>
      </c>
      <c r="D824" s="0" t="n"/>
      <c r="E824" s="38" t="n"/>
      <c r="G824" s="40" t="n"/>
      <c r="J824" s="31">
        <f>IF(INDIRECT(ADDRESS(ROW() + (0),COLUMN() + (1)))="Agregar cuotas", IF(("16%")="", "-", "16%"), IF(INDIRECT(ADDRESS(ROW() + (0),COLUMN() + (1)))="No agregar cuotas", IF(("16%")="", "-", "16%"), "-"))</f>
        <v/>
      </c>
      <c r="K824" s="0" t="n"/>
      <c r="L824" s="31">
        <f>IF(INDIRECT(ADDRESS(ROW() + (0),COLUMN() + (-1)))="Agregar cuotas", IF(("13.4%")="", "Sin costo", "13.4%"), IF(INDIRECT(ADDRESS(ROW() + (0),COLUMN() + (-1)))="No agregar cuotas", IF(("")="", "Sin costo", ""), "-"))</f>
        <v/>
      </c>
      <c r="M824" s="0" t="n"/>
      <c r="N824" s="0" t="n"/>
      <c r="O824" s="0" t="n"/>
      <c r="P824" s="47" t="n"/>
      <c r="R824" s="0" t="n"/>
      <c r="S824" s="0" t="n"/>
      <c r="U824" s="0" t="n"/>
      <c r="X824" s="0" t="n"/>
      <c r="AA824" s="0" t="n"/>
      <c r="AB8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4" s="53">
        <f>IF(OR(TRIM(INDIRECT("B"&amp;ROW())) &lt;&gt; "",TRIM(INDIRECT("A"&amp;ROW())) &lt;&gt; ""),AND(TRIM(INDIRECT("A"&amp;ROW())) &lt;&gt; "",TRIM(INDIRECT("D"&amp;ROW())) = "nuevo"),"")</f>
        <v/>
      </c>
    </row>
    <row r="825" ht="27.5" customHeight="1" s="62">
      <c r="C825" s="0">
        <f>LEN(INDIRECT(ADDRESS(ROW() + (0),COLUMN() + (-1))))</f>
        <v/>
      </c>
      <c r="D825" s="0" t="n"/>
      <c r="E825" s="38" t="n"/>
      <c r="G825" s="40" t="n"/>
      <c r="J825" s="31">
        <f>IF(INDIRECT(ADDRESS(ROW() + (0),COLUMN() + (1)))="Agregar cuotas", IF(("16%")="", "-", "16%"), IF(INDIRECT(ADDRESS(ROW() + (0),COLUMN() + (1)))="No agregar cuotas", IF(("16%")="", "-", "16%"), "-"))</f>
        <v/>
      </c>
      <c r="K825" s="0" t="n"/>
      <c r="L825" s="31">
        <f>IF(INDIRECT(ADDRESS(ROW() + (0),COLUMN() + (-1)))="Agregar cuotas", IF(("13.4%")="", "Sin costo", "13.4%"), IF(INDIRECT(ADDRESS(ROW() + (0),COLUMN() + (-1)))="No agregar cuotas", IF(("")="", "Sin costo", ""), "-"))</f>
        <v/>
      </c>
      <c r="M825" s="0" t="n"/>
      <c r="N825" s="0" t="n"/>
      <c r="O825" s="0" t="n"/>
      <c r="P825" s="47" t="n"/>
      <c r="R825" s="0" t="n"/>
      <c r="S825" s="0" t="n"/>
      <c r="U825" s="0" t="n"/>
      <c r="X825" s="0" t="n"/>
      <c r="AA825" s="0" t="n"/>
      <c r="AB8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5" s="53">
        <f>IF(OR(TRIM(INDIRECT("B"&amp;ROW())) &lt;&gt; "",TRIM(INDIRECT("A"&amp;ROW())) &lt;&gt; ""),AND(TRIM(INDIRECT("A"&amp;ROW())) &lt;&gt; "",TRIM(INDIRECT("D"&amp;ROW())) = "nuevo"),"")</f>
        <v/>
      </c>
    </row>
    <row r="826" ht="27.5" customHeight="1" s="62">
      <c r="C826" s="0">
        <f>LEN(INDIRECT(ADDRESS(ROW() + (0),COLUMN() + (-1))))</f>
        <v/>
      </c>
      <c r="D826" s="0" t="n"/>
      <c r="E826" s="38" t="n"/>
      <c r="G826" s="40" t="n"/>
      <c r="J826" s="31">
        <f>IF(INDIRECT(ADDRESS(ROW() + (0),COLUMN() + (1)))="Agregar cuotas", IF(("16%")="", "-", "16%"), IF(INDIRECT(ADDRESS(ROW() + (0),COLUMN() + (1)))="No agregar cuotas", IF(("16%")="", "-", "16%"), "-"))</f>
        <v/>
      </c>
      <c r="K826" s="0" t="n"/>
      <c r="L826" s="31">
        <f>IF(INDIRECT(ADDRESS(ROW() + (0),COLUMN() + (-1)))="Agregar cuotas", IF(("13.4%")="", "Sin costo", "13.4%"), IF(INDIRECT(ADDRESS(ROW() + (0),COLUMN() + (-1)))="No agregar cuotas", IF(("")="", "Sin costo", ""), "-"))</f>
        <v/>
      </c>
      <c r="M826" s="0" t="n"/>
      <c r="N826" s="0" t="n"/>
      <c r="O826" s="0" t="n"/>
      <c r="P826" s="47" t="n"/>
      <c r="R826" s="0" t="n"/>
      <c r="S826" s="0" t="n"/>
      <c r="U826" s="0" t="n"/>
      <c r="X826" s="0" t="n"/>
      <c r="AA826" s="0" t="n"/>
      <c r="AB8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6" s="53">
        <f>IF(OR(TRIM(INDIRECT("B"&amp;ROW())) &lt;&gt; "",TRIM(INDIRECT("A"&amp;ROW())) &lt;&gt; ""),AND(TRIM(INDIRECT("A"&amp;ROW())) &lt;&gt; "",TRIM(INDIRECT("D"&amp;ROW())) = "nuevo"),"")</f>
        <v/>
      </c>
    </row>
    <row r="827" ht="27.5" customHeight="1" s="62">
      <c r="C827" s="0">
        <f>LEN(INDIRECT(ADDRESS(ROW() + (0),COLUMN() + (-1))))</f>
        <v/>
      </c>
      <c r="D827" s="0" t="n"/>
      <c r="E827" s="38" t="n"/>
      <c r="G827" s="40" t="n"/>
      <c r="J827" s="31">
        <f>IF(INDIRECT(ADDRESS(ROW() + (0),COLUMN() + (1)))="Agregar cuotas", IF(("16%")="", "-", "16%"), IF(INDIRECT(ADDRESS(ROW() + (0),COLUMN() + (1)))="No agregar cuotas", IF(("16%")="", "-", "16%"), "-"))</f>
        <v/>
      </c>
      <c r="K827" s="0" t="n"/>
      <c r="L827" s="31">
        <f>IF(INDIRECT(ADDRESS(ROW() + (0),COLUMN() + (-1)))="Agregar cuotas", IF(("13.4%")="", "Sin costo", "13.4%"), IF(INDIRECT(ADDRESS(ROW() + (0),COLUMN() + (-1)))="No agregar cuotas", IF(("")="", "Sin costo", ""), "-"))</f>
        <v/>
      </c>
      <c r="M827" s="0" t="n"/>
      <c r="N827" s="0" t="n"/>
      <c r="O827" s="0" t="n"/>
      <c r="P827" s="47" t="n"/>
      <c r="R827" s="0" t="n"/>
      <c r="S827" s="0" t="n"/>
      <c r="U827" s="0" t="n"/>
      <c r="X827" s="0" t="n"/>
      <c r="AA827" s="0" t="n"/>
      <c r="AB8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7" s="53">
        <f>IF(OR(TRIM(INDIRECT("B"&amp;ROW())) &lt;&gt; "",TRIM(INDIRECT("A"&amp;ROW())) &lt;&gt; ""),AND(TRIM(INDIRECT("A"&amp;ROW())) &lt;&gt; "",TRIM(INDIRECT("D"&amp;ROW())) = "nuevo"),"")</f>
        <v/>
      </c>
    </row>
    <row r="828" ht="27.5" customHeight="1" s="62">
      <c r="C828" s="0">
        <f>LEN(INDIRECT(ADDRESS(ROW() + (0),COLUMN() + (-1))))</f>
        <v/>
      </c>
      <c r="D828" s="0" t="n"/>
      <c r="E828" s="38" t="n"/>
      <c r="G828" s="40" t="n"/>
      <c r="J828" s="31">
        <f>IF(INDIRECT(ADDRESS(ROW() + (0),COLUMN() + (1)))="Agregar cuotas", IF(("16%")="", "-", "16%"), IF(INDIRECT(ADDRESS(ROW() + (0),COLUMN() + (1)))="No agregar cuotas", IF(("16%")="", "-", "16%"), "-"))</f>
        <v/>
      </c>
      <c r="K828" s="0" t="n"/>
      <c r="L828" s="31">
        <f>IF(INDIRECT(ADDRESS(ROW() + (0),COLUMN() + (-1)))="Agregar cuotas", IF(("13.4%")="", "Sin costo", "13.4%"), IF(INDIRECT(ADDRESS(ROW() + (0),COLUMN() + (-1)))="No agregar cuotas", IF(("")="", "Sin costo", ""), "-"))</f>
        <v/>
      </c>
      <c r="M828" s="0" t="n"/>
      <c r="N828" s="0" t="n"/>
      <c r="O828" s="0" t="n"/>
      <c r="P828" s="47" t="n"/>
      <c r="R828" s="0" t="n"/>
      <c r="S828" s="0" t="n"/>
      <c r="U828" s="0" t="n"/>
      <c r="X828" s="0" t="n"/>
      <c r="AA828" s="0" t="n"/>
      <c r="AB8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8" s="53">
        <f>IF(OR(TRIM(INDIRECT("B"&amp;ROW())) &lt;&gt; "",TRIM(INDIRECT("A"&amp;ROW())) &lt;&gt; ""),AND(TRIM(INDIRECT("A"&amp;ROW())) &lt;&gt; "",TRIM(INDIRECT("D"&amp;ROW())) = "nuevo"),"")</f>
        <v/>
      </c>
    </row>
    <row r="829" ht="27.5" customHeight="1" s="62">
      <c r="C829" s="0">
        <f>LEN(INDIRECT(ADDRESS(ROW() + (0),COLUMN() + (-1))))</f>
        <v/>
      </c>
      <c r="D829" s="0" t="n"/>
      <c r="E829" s="38" t="n"/>
      <c r="G829" s="40" t="n"/>
      <c r="J829" s="31">
        <f>IF(INDIRECT(ADDRESS(ROW() + (0),COLUMN() + (1)))="Agregar cuotas", IF(("16%")="", "-", "16%"), IF(INDIRECT(ADDRESS(ROW() + (0),COLUMN() + (1)))="No agregar cuotas", IF(("16%")="", "-", "16%"), "-"))</f>
        <v/>
      </c>
      <c r="K829" s="0" t="n"/>
      <c r="L829" s="31">
        <f>IF(INDIRECT(ADDRESS(ROW() + (0),COLUMN() + (-1)))="Agregar cuotas", IF(("13.4%")="", "Sin costo", "13.4%"), IF(INDIRECT(ADDRESS(ROW() + (0),COLUMN() + (-1)))="No agregar cuotas", IF(("")="", "Sin costo", ""), "-"))</f>
        <v/>
      </c>
      <c r="M829" s="0" t="n"/>
      <c r="N829" s="0" t="n"/>
      <c r="O829" s="0" t="n"/>
      <c r="P829" s="47" t="n"/>
      <c r="R829" s="0" t="n"/>
      <c r="S829" s="0" t="n"/>
      <c r="U829" s="0" t="n"/>
      <c r="X829" s="0" t="n"/>
      <c r="AA829" s="0" t="n"/>
      <c r="AB8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29" s="53">
        <f>IF(OR(TRIM(INDIRECT("B"&amp;ROW())) &lt;&gt; "",TRIM(INDIRECT("A"&amp;ROW())) &lt;&gt; ""),AND(TRIM(INDIRECT("A"&amp;ROW())) &lt;&gt; "",TRIM(INDIRECT("D"&amp;ROW())) = "nuevo"),"")</f>
        <v/>
      </c>
    </row>
    <row r="830" ht="27.5" customHeight="1" s="62">
      <c r="C830" s="0">
        <f>LEN(INDIRECT(ADDRESS(ROW() + (0),COLUMN() + (-1))))</f>
        <v/>
      </c>
      <c r="D830" s="0" t="n"/>
      <c r="E830" s="38" t="n"/>
      <c r="G830" s="40" t="n"/>
      <c r="J830" s="31">
        <f>IF(INDIRECT(ADDRESS(ROW() + (0),COLUMN() + (1)))="Agregar cuotas", IF(("16%")="", "-", "16%"), IF(INDIRECT(ADDRESS(ROW() + (0),COLUMN() + (1)))="No agregar cuotas", IF(("16%")="", "-", "16%"), "-"))</f>
        <v/>
      </c>
      <c r="K830" s="0" t="n"/>
      <c r="L830" s="31">
        <f>IF(INDIRECT(ADDRESS(ROW() + (0),COLUMN() + (-1)))="Agregar cuotas", IF(("13.4%")="", "Sin costo", "13.4%"), IF(INDIRECT(ADDRESS(ROW() + (0),COLUMN() + (-1)))="No agregar cuotas", IF(("")="", "Sin costo", ""), "-"))</f>
        <v/>
      </c>
      <c r="M830" s="0" t="n"/>
      <c r="N830" s="0" t="n"/>
      <c r="O830" s="0" t="n"/>
      <c r="P830" s="47" t="n"/>
      <c r="R830" s="0" t="n"/>
      <c r="S830" s="0" t="n"/>
      <c r="U830" s="0" t="n"/>
      <c r="X830" s="0" t="n"/>
      <c r="AA830" s="0" t="n"/>
      <c r="AB8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0" s="53">
        <f>IF(OR(TRIM(INDIRECT("B"&amp;ROW())) &lt;&gt; "",TRIM(INDIRECT("A"&amp;ROW())) &lt;&gt; ""),AND(TRIM(INDIRECT("A"&amp;ROW())) &lt;&gt; "",TRIM(INDIRECT("D"&amp;ROW())) = "nuevo"),"")</f>
        <v/>
      </c>
    </row>
    <row r="831" ht="27.5" customHeight="1" s="62">
      <c r="C831" s="0">
        <f>LEN(INDIRECT(ADDRESS(ROW() + (0),COLUMN() + (-1))))</f>
        <v/>
      </c>
      <c r="D831" s="0" t="n"/>
      <c r="E831" s="38" t="n"/>
      <c r="G831" s="40" t="n"/>
      <c r="J831" s="31">
        <f>IF(INDIRECT(ADDRESS(ROW() + (0),COLUMN() + (1)))="Agregar cuotas", IF(("16%")="", "-", "16%"), IF(INDIRECT(ADDRESS(ROW() + (0),COLUMN() + (1)))="No agregar cuotas", IF(("16%")="", "-", "16%"), "-"))</f>
        <v/>
      </c>
      <c r="K831" s="0" t="n"/>
      <c r="L831" s="31">
        <f>IF(INDIRECT(ADDRESS(ROW() + (0),COLUMN() + (-1)))="Agregar cuotas", IF(("13.4%")="", "Sin costo", "13.4%"), IF(INDIRECT(ADDRESS(ROW() + (0),COLUMN() + (-1)))="No agregar cuotas", IF(("")="", "Sin costo", ""), "-"))</f>
        <v/>
      </c>
      <c r="M831" s="0" t="n"/>
      <c r="N831" s="0" t="n"/>
      <c r="O831" s="0" t="n"/>
      <c r="P831" s="47" t="n"/>
      <c r="R831" s="0" t="n"/>
      <c r="S831" s="0" t="n"/>
      <c r="U831" s="0" t="n"/>
      <c r="X831" s="0" t="n"/>
      <c r="AA831" s="0" t="n"/>
      <c r="AB8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1" s="53">
        <f>IF(OR(TRIM(INDIRECT("B"&amp;ROW())) &lt;&gt; "",TRIM(INDIRECT("A"&amp;ROW())) &lt;&gt; ""),AND(TRIM(INDIRECT("A"&amp;ROW())) &lt;&gt; "",TRIM(INDIRECT("D"&amp;ROW())) = "nuevo"),"")</f>
        <v/>
      </c>
    </row>
    <row r="832" ht="27.5" customHeight="1" s="62">
      <c r="C832" s="0">
        <f>LEN(INDIRECT(ADDRESS(ROW() + (0),COLUMN() + (-1))))</f>
        <v/>
      </c>
      <c r="D832" s="0" t="n"/>
      <c r="E832" s="38" t="n"/>
      <c r="G832" s="40" t="n"/>
      <c r="J832" s="31">
        <f>IF(INDIRECT(ADDRESS(ROW() + (0),COLUMN() + (1)))="Agregar cuotas", IF(("16%")="", "-", "16%"), IF(INDIRECT(ADDRESS(ROW() + (0),COLUMN() + (1)))="No agregar cuotas", IF(("16%")="", "-", "16%"), "-"))</f>
        <v/>
      </c>
      <c r="K832" s="0" t="n"/>
      <c r="L832" s="31">
        <f>IF(INDIRECT(ADDRESS(ROW() + (0),COLUMN() + (-1)))="Agregar cuotas", IF(("13.4%")="", "Sin costo", "13.4%"), IF(INDIRECT(ADDRESS(ROW() + (0),COLUMN() + (-1)))="No agregar cuotas", IF(("")="", "Sin costo", ""), "-"))</f>
        <v/>
      </c>
      <c r="M832" s="0" t="n"/>
      <c r="N832" s="0" t="n"/>
      <c r="O832" s="0" t="n"/>
      <c r="P832" s="47" t="n"/>
      <c r="R832" s="0" t="n"/>
      <c r="S832" s="0" t="n"/>
      <c r="U832" s="0" t="n"/>
      <c r="X832" s="0" t="n"/>
      <c r="AA832" s="0" t="n"/>
      <c r="AB8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2" s="53">
        <f>IF(OR(TRIM(INDIRECT("B"&amp;ROW())) &lt;&gt; "",TRIM(INDIRECT("A"&amp;ROW())) &lt;&gt; ""),AND(TRIM(INDIRECT("A"&amp;ROW())) &lt;&gt; "",TRIM(INDIRECT("D"&amp;ROW())) = "nuevo"),"")</f>
        <v/>
      </c>
    </row>
    <row r="833" ht="27.5" customHeight="1" s="62">
      <c r="C833" s="0">
        <f>LEN(INDIRECT(ADDRESS(ROW() + (0),COLUMN() + (-1))))</f>
        <v/>
      </c>
      <c r="D833" s="0" t="n"/>
      <c r="E833" s="38" t="n"/>
      <c r="G833" s="40" t="n"/>
      <c r="J833" s="31">
        <f>IF(INDIRECT(ADDRESS(ROW() + (0),COLUMN() + (1)))="Agregar cuotas", IF(("16%")="", "-", "16%"), IF(INDIRECT(ADDRESS(ROW() + (0),COLUMN() + (1)))="No agregar cuotas", IF(("16%")="", "-", "16%"), "-"))</f>
        <v/>
      </c>
      <c r="K833" s="0" t="n"/>
      <c r="L833" s="31">
        <f>IF(INDIRECT(ADDRESS(ROW() + (0),COLUMN() + (-1)))="Agregar cuotas", IF(("13.4%")="", "Sin costo", "13.4%"), IF(INDIRECT(ADDRESS(ROW() + (0),COLUMN() + (-1)))="No agregar cuotas", IF(("")="", "Sin costo", ""), "-"))</f>
        <v/>
      </c>
      <c r="M833" s="0" t="n"/>
      <c r="N833" s="0" t="n"/>
      <c r="O833" s="0" t="n"/>
      <c r="P833" s="47" t="n"/>
      <c r="R833" s="0" t="n"/>
      <c r="S833" s="0" t="n"/>
      <c r="U833" s="0" t="n"/>
      <c r="X833" s="0" t="n"/>
      <c r="AA833" s="0" t="n"/>
      <c r="AB8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3" s="53">
        <f>IF(OR(TRIM(INDIRECT("B"&amp;ROW())) &lt;&gt; "",TRIM(INDIRECT("A"&amp;ROW())) &lt;&gt; ""),AND(TRIM(INDIRECT("A"&amp;ROW())) &lt;&gt; "",TRIM(INDIRECT("D"&amp;ROW())) = "nuevo"),"")</f>
        <v/>
      </c>
    </row>
    <row r="834" ht="27.5" customHeight="1" s="62">
      <c r="C834" s="0">
        <f>LEN(INDIRECT(ADDRESS(ROW() + (0),COLUMN() + (-1))))</f>
        <v/>
      </c>
      <c r="D834" s="0" t="n"/>
      <c r="E834" s="38" t="n"/>
      <c r="G834" s="40" t="n"/>
      <c r="J834" s="31">
        <f>IF(INDIRECT(ADDRESS(ROW() + (0),COLUMN() + (1)))="Agregar cuotas", IF(("16%")="", "-", "16%"), IF(INDIRECT(ADDRESS(ROW() + (0),COLUMN() + (1)))="No agregar cuotas", IF(("16%")="", "-", "16%"), "-"))</f>
        <v/>
      </c>
      <c r="K834" s="0" t="n"/>
      <c r="L834" s="31">
        <f>IF(INDIRECT(ADDRESS(ROW() + (0),COLUMN() + (-1)))="Agregar cuotas", IF(("13.4%")="", "Sin costo", "13.4%"), IF(INDIRECT(ADDRESS(ROW() + (0),COLUMN() + (-1)))="No agregar cuotas", IF(("")="", "Sin costo", ""), "-"))</f>
        <v/>
      </c>
      <c r="M834" s="0" t="n"/>
      <c r="N834" s="0" t="n"/>
      <c r="O834" s="0" t="n"/>
      <c r="P834" s="47" t="n"/>
      <c r="R834" s="0" t="n"/>
      <c r="S834" s="0" t="n"/>
      <c r="U834" s="0" t="n"/>
      <c r="X834" s="0" t="n"/>
      <c r="AA834" s="0" t="n"/>
      <c r="AB8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4" s="53">
        <f>IF(OR(TRIM(INDIRECT("B"&amp;ROW())) &lt;&gt; "",TRIM(INDIRECT("A"&amp;ROW())) &lt;&gt; ""),AND(TRIM(INDIRECT("A"&amp;ROW())) &lt;&gt; "",TRIM(INDIRECT("D"&amp;ROW())) = "nuevo"),"")</f>
        <v/>
      </c>
    </row>
    <row r="835" ht="27.5" customHeight="1" s="62">
      <c r="C835" s="0">
        <f>LEN(INDIRECT(ADDRESS(ROW() + (0),COLUMN() + (-1))))</f>
        <v/>
      </c>
      <c r="D835" s="0" t="n"/>
      <c r="E835" s="38" t="n"/>
      <c r="G835" s="40" t="n"/>
      <c r="J835" s="31">
        <f>IF(INDIRECT(ADDRESS(ROW() + (0),COLUMN() + (1)))="Agregar cuotas", IF(("16%")="", "-", "16%"), IF(INDIRECT(ADDRESS(ROW() + (0),COLUMN() + (1)))="No agregar cuotas", IF(("16%")="", "-", "16%"), "-"))</f>
        <v/>
      </c>
      <c r="K835" s="0" t="n"/>
      <c r="L835" s="31">
        <f>IF(INDIRECT(ADDRESS(ROW() + (0),COLUMN() + (-1)))="Agregar cuotas", IF(("13.4%")="", "Sin costo", "13.4%"), IF(INDIRECT(ADDRESS(ROW() + (0),COLUMN() + (-1)))="No agregar cuotas", IF(("")="", "Sin costo", ""), "-"))</f>
        <v/>
      </c>
      <c r="M835" s="0" t="n"/>
      <c r="N835" s="0" t="n"/>
      <c r="O835" s="0" t="n"/>
      <c r="P835" s="47" t="n"/>
      <c r="R835" s="0" t="n"/>
      <c r="S835" s="0" t="n"/>
      <c r="U835" s="0" t="n"/>
      <c r="X835" s="0" t="n"/>
      <c r="AA835" s="0" t="n"/>
      <c r="AB8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5" s="53">
        <f>IF(OR(TRIM(INDIRECT("B"&amp;ROW())) &lt;&gt; "",TRIM(INDIRECT("A"&amp;ROW())) &lt;&gt; ""),AND(TRIM(INDIRECT("A"&amp;ROW())) &lt;&gt; "",TRIM(INDIRECT("D"&amp;ROW())) = "nuevo"),"")</f>
        <v/>
      </c>
    </row>
    <row r="836" ht="27.5" customHeight="1" s="62">
      <c r="C836" s="0">
        <f>LEN(INDIRECT(ADDRESS(ROW() + (0),COLUMN() + (-1))))</f>
        <v/>
      </c>
      <c r="D836" s="0" t="n"/>
      <c r="E836" s="38" t="n"/>
      <c r="G836" s="40" t="n"/>
      <c r="J836" s="31">
        <f>IF(INDIRECT(ADDRESS(ROW() + (0),COLUMN() + (1)))="Agregar cuotas", IF(("16%")="", "-", "16%"), IF(INDIRECT(ADDRESS(ROW() + (0),COLUMN() + (1)))="No agregar cuotas", IF(("16%")="", "-", "16%"), "-"))</f>
        <v/>
      </c>
      <c r="K836" s="0" t="n"/>
      <c r="L836" s="31">
        <f>IF(INDIRECT(ADDRESS(ROW() + (0),COLUMN() + (-1)))="Agregar cuotas", IF(("13.4%")="", "Sin costo", "13.4%"), IF(INDIRECT(ADDRESS(ROW() + (0),COLUMN() + (-1)))="No agregar cuotas", IF(("")="", "Sin costo", ""), "-"))</f>
        <v/>
      </c>
      <c r="M836" s="0" t="n"/>
      <c r="N836" s="0" t="n"/>
      <c r="O836" s="0" t="n"/>
      <c r="P836" s="47" t="n"/>
      <c r="R836" s="0" t="n"/>
      <c r="S836" s="0" t="n"/>
      <c r="U836" s="0" t="n"/>
      <c r="X836" s="0" t="n"/>
      <c r="AA836" s="0" t="n"/>
      <c r="AB8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6" s="53">
        <f>IF(OR(TRIM(INDIRECT("B"&amp;ROW())) &lt;&gt; "",TRIM(INDIRECT("A"&amp;ROW())) &lt;&gt; ""),AND(TRIM(INDIRECT("A"&amp;ROW())) &lt;&gt; "",TRIM(INDIRECT("D"&amp;ROW())) = "nuevo"),"")</f>
        <v/>
      </c>
    </row>
    <row r="837" ht="27.5" customHeight="1" s="62">
      <c r="C837" s="0">
        <f>LEN(INDIRECT(ADDRESS(ROW() + (0),COLUMN() + (-1))))</f>
        <v/>
      </c>
      <c r="D837" s="0" t="n"/>
      <c r="E837" s="38" t="n"/>
      <c r="G837" s="40" t="n"/>
      <c r="J837" s="31">
        <f>IF(INDIRECT(ADDRESS(ROW() + (0),COLUMN() + (1)))="Agregar cuotas", IF(("16%")="", "-", "16%"), IF(INDIRECT(ADDRESS(ROW() + (0),COLUMN() + (1)))="No agregar cuotas", IF(("16%")="", "-", "16%"), "-"))</f>
        <v/>
      </c>
      <c r="K837" s="0" t="n"/>
      <c r="L837" s="31">
        <f>IF(INDIRECT(ADDRESS(ROW() + (0),COLUMN() + (-1)))="Agregar cuotas", IF(("13.4%")="", "Sin costo", "13.4%"), IF(INDIRECT(ADDRESS(ROW() + (0),COLUMN() + (-1)))="No agregar cuotas", IF(("")="", "Sin costo", ""), "-"))</f>
        <v/>
      </c>
      <c r="M837" s="0" t="n"/>
      <c r="N837" s="0" t="n"/>
      <c r="O837" s="0" t="n"/>
      <c r="P837" s="47" t="n"/>
      <c r="R837" s="0" t="n"/>
      <c r="S837" s="0" t="n"/>
      <c r="U837" s="0" t="n"/>
      <c r="X837" s="0" t="n"/>
      <c r="AA837" s="0" t="n"/>
      <c r="AB8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7" s="53">
        <f>IF(OR(TRIM(INDIRECT("B"&amp;ROW())) &lt;&gt; "",TRIM(INDIRECT("A"&amp;ROW())) &lt;&gt; ""),AND(TRIM(INDIRECT("A"&amp;ROW())) &lt;&gt; "",TRIM(INDIRECT("D"&amp;ROW())) = "nuevo"),"")</f>
        <v/>
      </c>
    </row>
    <row r="838" ht="27.5" customHeight="1" s="62">
      <c r="C838" s="0">
        <f>LEN(INDIRECT(ADDRESS(ROW() + (0),COLUMN() + (-1))))</f>
        <v/>
      </c>
      <c r="D838" s="0" t="n"/>
      <c r="E838" s="38" t="n"/>
      <c r="G838" s="40" t="n"/>
      <c r="J838" s="31">
        <f>IF(INDIRECT(ADDRESS(ROW() + (0),COLUMN() + (1)))="Agregar cuotas", IF(("16%")="", "-", "16%"), IF(INDIRECT(ADDRESS(ROW() + (0),COLUMN() + (1)))="No agregar cuotas", IF(("16%")="", "-", "16%"), "-"))</f>
        <v/>
      </c>
      <c r="K838" s="0" t="n"/>
      <c r="L838" s="31">
        <f>IF(INDIRECT(ADDRESS(ROW() + (0),COLUMN() + (-1)))="Agregar cuotas", IF(("13.4%")="", "Sin costo", "13.4%"), IF(INDIRECT(ADDRESS(ROW() + (0),COLUMN() + (-1)))="No agregar cuotas", IF(("")="", "Sin costo", ""), "-"))</f>
        <v/>
      </c>
      <c r="M838" s="0" t="n"/>
      <c r="N838" s="0" t="n"/>
      <c r="O838" s="0" t="n"/>
      <c r="P838" s="47" t="n"/>
      <c r="R838" s="0" t="n"/>
      <c r="S838" s="0" t="n"/>
      <c r="U838" s="0" t="n"/>
      <c r="X838" s="0" t="n"/>
      <c r="AA838" s="0" t="n"/>
      <c r="AB8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8" s="53">
        <f>IF(OR(TRIM(INDIRECT("B"&amp;ROW())) &lt;&gt; "",TRIM(INDIRECT("A"&amp;ROW())) &lt;&gt; ""),AND(TRIM(INDIRECT("A"&amp;ROW())) &lt;&gt; "",TRIM(INDIRECT("D"&amp;ROW())) = "nuevo"),"")</f>
        <v/>
      </c>
    </row>
    <row r="839" ht="27.5" customHeight="1" s="62">
      <c r="C839" s="0">
        <f>LEN(INDIRECT(ADDRESS(ROW() + (0),COLUMN() + (-1))))</f>
        <v/>
      </c>
      <c r="D839" s="0" t="n"/>
      <c r="E839" s="38" t="n"/>
      <c r="G839" s="40" t="n"/>
      <c r="J839" s="31">
        <f>IF(INDIRECT(ADDRESS(ROW() + (0),COLUMN() + (1)))="Agregar cuotas", IF(("16%")="", "-", "16%"), IF(INDIRECT(ADDRESS(ROW() + (0),COLUMN() + (1)))="No agregar cuotas", IF(("16%")="", "-", "16%"), "-"))</f>
        <v/>
      </c>
      <c r="K839" s="0" t="n"/>
      <c r="L839" s="31">
        <f>IF(INDIRECT(ADDRESS(ROW() + (0),COLUMN() + (-1)))="Agregar cuotas", IF(("13.4%")="", "Sin costo", "13.4%"), IF(INDIRECT(ADDRESS(ROW() + (0),COLUMN() + (-1)))="No agregar cuotas", IF(("")="", "Sin costo", ""), "-"))</f>
        <v/>
      </c>
      <c r="M839" s="0" t="n"/>
      <c r="N839" s="0" t="n"/>
      <c r="O839" s="0" t="n"/>
      <c r="P839" s="47" t="n"/>
      <c r="R839" s="0" t="n"/>
      <c r="S839" s="0" t="n"/>
      <c r="U839" s="0" t="n"/>
      <c r="X839" s="0" t="n"/>
      <c r="AA839" s="0" t="n"/>
      <c r="AB8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39" s="53">
        <f>IF(OR(TRIM(INDIRECT("B"&amp;ROW())) &lt;&gt; "",TRIM(INDIRECT("A"&amp;ROW())) &lt;&gt; ""),AND(TRIM(INDIRECT("A"&amp;ROW())) &lt;&gt; "",TRIM(INDIRECT("D"&amp;ROW())) = "nuevo"),"")</f>
        <v/>
      </c>
    </row>
    <row r="840" ht="27.5" customHeight="1" s="62">
      <c r="C840" s="0">
        <f>LEN(INDIRECT(ADDRESS(ROW() + (0),COLUMN() + (-1))))</f>
        <v/>
      </c>
      <c r="D840" s="0" t="n"/>
      <c r="E840" s="38" t="n"/>
      <c r="G840" s="40" t="n"/>
      <c r="J840" s="31">
        <f>IF(INDIRECT(ADDRESS(ROW() + (0),COLUMN() + (1)))="Agregar cuotas", IF(("16%")="", "-", "16%"), IF(INDIRECT(ADDRESS(ROW() + (0),COLUMN() + (1)))="No agregar cuotas", IF(("16%")="", "-", "16%"), "-"))</f>
        <v/>
      </c>
      <c r="K840" s="0" t="n"/>
      <c r="L840" s="31">
        <f>IF(INDIRECT(ADDRESS(ROW() + (0),COLUMN() + (-1)))="Agregar cuotas", IF(("13.4%")="", "Sin costo", "13.4%"), IF(INDIRECT(ADDRESS(ROW() + (0),COLUMN() + (-1)))="No agregar cuotas", IF(("")="", "Sin costo", ""), "-"))</f>
        <v/>
      </c>
      <c r="M840" s="0" t="n"/>
      <c r="N840" s="0" t="n"/>
      <c r="O840" s="0" t="n"/>
      <c r="P840" s="47" t="n"/>
      <c r="R840" s="0" t="n"/>
      <c r="S840" s="0" t="n"/>
      <c r="U840" s="0" t="n"/>
      <c r="X840" s="0" t="n"/>
      <c r="AA840" s="0" t="n"/>
      <c r="AB8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0" s="53">
        <f>IF(OR(TRIM(INDIRECT("B"&amp;ROW())) &lt;&gt; "",TRIM(INDIRECT("A"&amp;ROW())) &lt;&gt; ""),AND(TRIM(INDIRECT("A"&amp;ROW())) &lt;&gt; "",TRIM(INDIRECT("D"&amp;ROW())) = "nuevo"),"")</f>
        <v/>
      </c>
    </row>
    <row r="841" ht="27.5" customHeight="1" s="62">
      <c r="C841" s="0">
        <f>LEN(INDIRECT(ADDRESS(ROW() + (0),COLUMN() + (-1))))</f>
        <v/>
      </c>
      <c r="D841" s="0" t="n"/>
      <c r="E841" s="38" t="n"/>
      <c r="G841" s="40" t="n"/>
      <c r="J841" s="31">
        <f>IF(INDIRECT(ADDRESS(ROW() + (0),COLUMN() + (1)))="Agregar cuotas", IF(("16%")="", "-", "16%"), IF(INDIRECT(ADDRESS(ROW() + (0),COLUMN() + (1)))="No agregar cuotas", IF(("16%")="", "-", "16%"), "-"))</f>
        <v/>
      </c>
      <c r="K841" s="0" t="n"/>
      <c r="L841" s="31">
        <f>IF(INDIRECT(ADDRESS(ROW() + (0),COLUMN() + (-1)))="Agregar cuotas", IF(("13.4%")="", "Sin costo", "13.4%"), IF(INDIRECT(ADDRESS(ROW() + (0),COLUMN() + (-1)))="No agregar cuotas", IF(("")="", "Sin costo", ""), "-"))</f>
        <v/>
      </c>
      <c r="M841" s="0" t="n"/>
      <c r="N841" s="0" t="n"/>
      <c r="O841" s="0" t="n"/>
      <c r="P841" s="47" t="n"/>
      <c r="R841" s="0" t="n"/>
      <c r="S841" s="0" t="n"/>
      <c r="U841" s="0" t="n"/>
      <c r="X841" s="0" t="n"/>
      <c r="AA841" s="0" t="n"/>
      <c r="AB8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1" s="53">
        <f>IF(OR(TRIM(INDIRECT("B"&amp;ROW())) &lt;&gt; "",TRIM(INDIRECT("A"&amp;ROW())) &lt;&gt; ""),AND(TRIM(INDIRECT("A"&amp;ROW())) &lt;&gt; "",TRIM(INDIRECT("D"&amp;ROW())) = "nuevo"),"")</f>
        <v/>
      </c>
    </row>
    <row r="842" ht="27.5" customHeight="1" s="62">
      <c r="C842" s="0">
        <f>LEN(INDIRECT(ADDRESS(ROW() + (0),COLUMN() + (-1))))</f>
        <v/>
      </c>
      <c r="D842" s="0" t="n"/>
      <c r="E842" s="38" t="n"/>
      <c r="G842" s="40" t="n"/>
      <c r="J842" s="31">
        <f>IF(INDIRECT(ADDRESS(ROW() + (0),COLUMN() + (1)))="Agregar cuotas", IF(("16%")="", "-", "16%"), IF(INDIRECT(ADDRESS(ROW() + (0),COLUMN() + (1)))="No agregar cuotas", IF(("16%")="", "-", "16%"), "-"))</f>
        <v/>
      </c>
      <c r="K842" s="0" t="n"/>
      <c r="L842" s="31">
        <f>IF(INDIRECT(ADDRESS(ROW() + (0),COLUMN() + (-1)))="Agregar cuotas", IF(("13.4%")="", "Sin costo", "13.4%"), IF(INDIRECT(ADDRESS(ROW() + (0),COLUMN() + (-1)))="No agregar cuotas", IF(("")="", "Sin costo", ""), "-"))</f>
        <v/>
      </c>
      <c r="M842" s="0" t="n"/>
      <c r="N842" s="0" t="n"/>
      <c r="O842" s="0" t="n"/>
      <c r="P842" s="47" t="n"/>
      <c r="R842" s="0" t="n"/>
      <c r="S842" s="0" t="n"/>
      <c r="U842" s="0" t="n"/>
      <c r="X842" s="0" t="n"/>
      <c r="AA842" s="0" t="n"/>
      <c r="AB8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2" s="53">
        <f>IF(OR(TRIM(INDIRECT("B"&amp;ROW())) &lt;&gt; "",TRIM(INDIRECT("A"&amp;ROW())) &lt;&gt; ""),AND(TRIM(INDIRECT("A"&amp;ROW())) &lt;&gt; "",TRIM(INDIRECT("D"&amp;ROW())) = "nuevo"),"")</f>
        <v/>
      </c>
    </row>
    <row r="843" ht="27.5" customHeight="1" s="62">
      <c r="C843" s="0">
        <f>LEN(INDIRECT(ADDRESS(ROW() + (0),COLUMN() + (-1))))</f>
        <v/>
      </c>
      <c r="D843" s="0" t="n"/>
      <c r="E843" s="38" t="n"/>
      <c r="G843" s="40" t="n"/>
      <c r="J843" s="31">
        <f>IF(INDIRECT(ADDRESS(ROW() + (0),COLUMN() + (1)))="Agregar cuotas", IF(("16%")="", "-", "16%"), IF(INDIRECT(ADDRESS(ROW() + (0),COLUMN() + (1)))="No agregar cuotas", IF(("16%")="", "-", "16%"), "-"))</f>
        <v/>
      </c>
      <c r="K843" s="0" t="n"/>
      <c r="L843" s="31">
        <f>IF(INDIRECT(ADDRESS(ROW() + (0),COLUMN() + (-1)))="Agregar cuotas", IF(("13.4%")="", "Sin costo", "13.4%"), IF(INDIRECT(ADDRESS(ROW() + (0),COLUMN() + (-1)))="No agregar cuotas", IF(("")="", "Sin costo", ""), "-"))</f>
        <v/>
      </c>
      <c r="M843" s="0" t="n"/>
      <c r="N843" s="0" t="n"/>
      <c r="O843" s="0" t="n"/>
      <c r="P843" s="47" t="n"/>
      <c r="R843" s="0" t="n"/>
      <c r="S843" s="0" t="n"/>
      <c r="U843" s="0" t="n"/>
      <c r="X843" s="0" t="n"/>
      <c r="AA843" s="0" t="n"/>
      <c r="AB8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3" s="53">
        <f>IF(OR(TRIM(INDIRECT("B"&amp;ROW())) &lt;&gt; "",TRIM(INDIRECT("A"&amp;ROW())) &lt;&gt; ""),AND(TRIM(INDIRECT("A"&amp;ROW())) &lt;&gt; "",TRIM(INDIRECT("D"&amp;ROW())) = "nuevo"),"")</f>
        <v/>
      </c>
    </row>
    <row r="844" ht="27.5" customHeight="1" s="62">
      <c r="C844" s="0">
        <f>LEN(INDIRECT(ADDRESS(ROW() + (0),COLUMN() + (-1))))</f>
        <v/>
      </c>
      <c r="D844" s="0" t="n"/>
      <c r="E844" s="38" t="n"/>
      <c r="G844" s="40" t="n"/>
      <c r="J844" s="31">
        <f>IF(INDIRECT(ADDRESS(ROW() + (0),COLUMN() + (1)))="Agregar cuotas", IF(("16%")="", "-", "16%"), IF(INDIRECT(ADDRESS(ROW() + (0),COLUMN() + (1)))="No agregar cuotas", IF(("16%")="", "-", "16%"), "-"))</f>
        <v/>
      </c>
      <c r="K844" s="0" t="n"/>
      <c r="L844" s="31">
        <f>IF(INDIRECT(ADDRESS(ROW() + (0),COLUMN() + (-1)))="Agregar cuotas", IF(("13.4%")="", "Sin costo", "13.4%"), IF(INDIRECT(ADDRESS(ROW() + (0),COLUMN() + (-1)))="No agregar cuotas", IF(("")="", "Sin costo", ""), "-"))</f>
        <v/>
      </c>
      <c r="M844" s="0" t="n"/>
      <c r="N844" s="0" t="n"/>
      <c r="O844" s="0" t="n"/>
      <c r="P844" s="47" t="n"/>
      <c r="R844" s="0" t="n"/>
      <c r="S844" s="0" t="n"/>
      <c r="U844" s="0" t="n"/>
      <c r="X844" s="0" t="n"/>
      <c r="AA844" s="0" t="n"/>
      <c r="AB8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4" s="53">
        <f>IF(OR(TRIM(INDIRECT("B"&amp;ROW())) &lt;&gt; "",TRIM(INDIRECT("A"&amp;ROW())) &lt;&gt; ""),AND(TRIM(INDIRECT("A"&amp;ROW())) &lt;&gt; "",TRIM(INDIRECT("D"&amp;ROW())) = "nuevo"),"")</f>
        <v/>
      </c>
    </row>
    <row r="845" ht="27.5" customHeight="1" s="62">
      <c r="C845" s="0">
        <f>LEN(INDIRECT(ADDRESS(ROW() + (0),COLUMN() + (-1))))</f>
        <v/>
      </c>
      <c r="D845" s="0" t="n"/>
      <c r="E845" s="38" t="n"/>
      <c r="G845" s="40" t="n"/>
      <c r="J845" s="31">
        <f>IF(INDIRECT(ADDRESS(ROW() + (0),COLUMN() + (1)))="Agregar cuotas", IF(("16%")="", "-", "16%"), IF(INDIRECT(ADDRESS(ROW() + (0),COLUMN() + (1)))="No agregar cuotas", IF(("16%")="", "-", "16%"), "-"))</f>
        <v/>
      </c>
      <c r="K845" s="0" t="n"/>
      <c r="L845" s="31">
        <f>IF(INDIRECT(ADDRESS(ROW() + (0),COLUMN() + (-1)))="Agregar cuotas", IF(("13.4%")="", "Sin costo", "13.4%"), IF(INDIRECT(ADDRESS(ROW() + (0),COLUMN() + (-1)))="No agregar cuotas", IF(("")="", "Sin costo", ""), "-"))</f>
        <v/>
      </c>
      <c r="M845" s="0" t="n"/>
      <c r="N845" s="0" t="n"/>
      <c r="O845" s="0" t="n"/>
      <c r="P845" s="47" t="n"/>
      <c r="R845" s="0" t="n"/>
      <c r="S845" s="0" t="n"/>
      <c r="U845" s="0" t="n"/>
      <c r="X845" s="0" t="n"/>
      <c r="AA845" s="0" t="n"/>
      <c r="AB8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5" s="53">
        <f>IF(OR(TRIM(INDIRECT("B"&amp;ROW())) &lt;&gt; "",TRIM(INDIRECT("A"&amp;ROW())) &lt;&gt; ""),AND(TRIM(INDIRECT("A"&amp;ROW())) &lt;&gt; "",TRIM(INDIRECT("D"&amp;ROW())) = "nuevo"),"")</f>
        <v/>
      </c>
    </row>
    <row r="846" ht="27.5" customHeight="1" s="62">
      <c r="C846" s="0">
        <f>LEN(INDIRECT(ADDRESS(ROW() + (0),COLUMN() + (-1))))</f>
        <v/>
      </c>
      <c r="D846" s="0" t="n"/>
      <c r="E846" s="38" t="n"/>
      <c r="G846" s="40" t="n"/>
      <c r="J846" s="31">
        <f>IF(INDIRECT(ADDRESS(ROW() + (0),COLUMN() + (1)))="Agregar cuotas", IF(("16%")="", "-", "16%"), IF(INDIRECT(ADDRESS(ROW() + (0),COLUMN() + (1)))="No agregar cuotas", IF(("16%")="", "-", "16%"), "-"))</f>
        <v/>
      </c>
      <c r="K846" s="0" t="n"/>
      <c r="L846" s="31">
        <f>IF(INDIRECT(ADDRESS(ROW() + (0),COLUMN() + (-1)))="Agregar cuotas", IF(("13.4%")="", "Sin costo", "13.4%"), IF(INDIRECT(ADDRESS(ROW() + (0),COLUMN() + (-1)))="No agregar cuotas", IF(("")="", "Sin costo", ""), "-"))</f>
        <v/>
      </c>
      <c r="M846" s="0" t="n"/>
      <c r="N846" s="0" t="n"/>
      <c r="O846" s="0" t="n"/>
      <c r="P846" s="47" t="n"/>
      <c r="R846" s="0" t="n"/>
      <c r="S846" s="0" t="n"/>
      <c r="U846" s="0" t="n"/>
      <c r="X846" s="0" t="n"/>
      <c r="AA846" s="0" t="n"/>
      <c r="AB8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6" s="53">
        <f>IF(OR(TRIM(INDIRECT("B"&amp;ROW())) &lt;&gt; "",TRIM(INDIRECT("A"&amp;ROW())) &lt;&gt; ""),AND(TRIM(INDIRECT("A"&amp;ROW())) &lt;&gt; "",TRIM(INDIRECT("D"&amp;ROW())) = "nuevo"),"")</f>
        <v/>
      </c>
    </row>
    <row r="847" ht="27.5" customHeight="1" s="62">
      <c r="C847" s="0">
        <f>LEN(INDIRECT(ADDRESS(ROW() + (0),COLUMN() + (-1))))</f>
        <v/>
      </c>
      <c r="D847" s="0" t="n"/>
      <c r="E847" s="38" t="n"/>
      <c r="G847" s="40" t="n"/>
      <c r="J847" s="31">
        <f>IF(INDIRECT(ADDRESS(ROW() + (0),COLUMN() + (1)))="Agregar cuotas", IF(("16%")="", "-", "16%"), IF(INDIRECT(ADDRESS(ROW() + (0),COLUMN() + (1)))="No agregar cuotas", IF(("16%")="", "-", "16%"), "-"))</f>
        <v/>
      </c>
      <c r="K847" s="0" t="n"/>
      <c r="L847" s="31">
        <f>IF(INDIRECT(ADDRESS(ROW() + (0),COLUMN() + (-1)))="Agregar cuotas", IF(("13.4%")="", "Sin costo", "13.4%"), IF(INDIRECT(ADDRESS(ROW() + (0),COLUMN() + (-1)))="No agregar cuotas", IF(("")="", "Sin costo", ""), "-"))</f>
        <v/>
      </c>
      <c r="M847" s="0" t="n"/>
      <c r="N847" s="0" t="n"/>
      <c r="O847" s="0" t="n"/>
      <c r="P847" s="47" t="n"/>
      <c r="R847" s="0" t="n"/>
      <c r="S847" s="0" t="n"/>
      <c r="U847" s="0" t="n"/>
      <c r="X847" s="0" t="n"/>
      <c r="AA847" s="0" t="n"/>
      <c r="AB8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7" s="53">
        <f>IF(OR(TRIM(INDIRECT("B"&amp;ROW())) &lt;&gt; "",TRIM(INDIRECT("A"&amp;ROW())) &lt;&gt; ""),AND(TRIM(INDIRECT("A"&amp;ROW())) &lt;&gt; "",TRIM(INDIRECT("D"&amp;ROW())) = "nuevo"),"")</f>
        <v/>
      </c>
    </row>
    <row r="848" ht="27.5" customHeight="1" s="62">
      <c r="C848" s="0">
        <f>LEN(INDIRECT(ADDRESS(ROW() + (0),COLUMN() + (-1))))</f>
        <v/>
      </c>
      <c r="D848" s="0" t="n"/>
      <c r="E848" s="38" t="n"/>
      <c r="G848" s="40" t="n"/>
      <c r="J848" s="31">
        <f>IF(INDIRECT(ADDRESS(ROW() + (0),COLUMN() + (1)))="Agregar cuotas", IF(("16%")="", "-", "16%"), IF(INDIRECT(ADDRESS(ROW() + (0),COLUMN() + (1)))="No agregar cuotas", IF(("16%")="", "-", "16%"), "-"))</f>
        <v/>
      </c>
      <c r="K848" s="0" t="n"/>
      <c r="L848" s="31">
        <f>IF(INDIRECT(ADDRESS(ROW() + (0),COLUMN() + (-1)))="Agregar cuotas", IF(("13.4%")="", "Sin costo", "13.4%"), IF(INDIRECT(ADDRESS(ROW() + (0),COLUMN() + (-1)))="No agregar cuotas", IF(("")="", "Sin costo", ""), "-"))</f>
        <v/>
      </c>
      <c r="M848" s="0" t="n"/>
      <c r="N848" s="0" t="n"/>
      <c r="O848" s="0" t="n"/>
      <c r="P848" s="47" t="n"/>
      <c r="R848" s="0" t="n"/>
      <c r="S848" s="0" t="n"/>
      <c r="U848" s="0" t="n"/>
      <c r="X848" s="0" t="n"/>
      <c r="AA848" s="0" t="n"/>
      <c r="AB8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8" s="53">
        <f>IF(OR(TRIM(INDIRECT("B"&amp;ROW())) &lt;&gt; "",TRIM(INDIRECT("A"&amp;ROW())) &lt;&gt; ""),AND(TRIM(INDIRECT("A"&amp;ROW())) &lt;&gt; "",TRIM(INDIRECT("D"&amp;ROW())) = "nuevo"),"")</f>
        <v/>
      </c>
    </row>
    <row r="849" ht="27.5" customHeight="1" s="62">
      <c r="C849" s="0">
        <f>LEN(INDIRECT(ADDRESS(ROW() + (0),COLUMN() + (-1))))</f>
        <v/>
      </c>
      <c r="D849" s="0" t="n"/>
      <c r="E849" s="38" t="n"/>
      <c r="G849" s="40" t="n"/>
      <c r="J849" s="31">
        <f>IF(INDIRECT(ADDRESS(ROW() + (0),COLUMN() + (1)))="Agregar cuotas", IF(("16%")="", "-", "16%"), IF(INDIRECT(ADDRESS(ROW() + (0),COLUMN() + (1)))="No agregar cuotas", IF(("16%")="", "-", "16%"), "-"))</f>
        <v/>
      </c>
      <c r="K849" s="0" t="n"/>
      <c r="L849" s="31">
        <f>IF(INDIRECT(ADDRESS(ROW() + (0),COLUMN() + (-1)))="Agregar cuotas", IF(("13.4%")="", "Sin costo", "13.4%"), IF(INDIRECT(ADDRESS(ROW() + (0),COLUMN() + (-1)))="No agregar cuotas", IF(("")="", "Sin costo", ""), "-"))</f>
        <v/>
      </c>
      <c r="M849" s="0" t="n"/>
      <c r="N849" s="0" t="n"/>
      <c r="O849" s="0" t="n"/>
      <c r="P849" s="47" t="n"/>
      <c r="R849" s="0" t="n"/>
      <c r="S849" s="0" t="n"/>
      <c r="U849" s="0" t="n"/>
      <c r="X849" s="0" t="n"/>
      <c r="AA849" s="0" t="n"/>
      <c r="AB8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49" s="53">
        <f>IF(OR(TRIM(INDIRECT("B"&amp;ROW())) &lt;&gt; "",TRIM(INDIRECT("A"&amp;ROW())) &lt;&gt; ""),AND(TRIM(INDIRECT("A"&amp;ROW())) &lt;&gt; "",TRIM(INDIRECT("D"&amp;ROW())) = "nuevo"),"")</f>
        <v/>
      </c>
    </row>
    <row r="850" ht="27.5" customHeight="1" s="62">
      <c r="C850" s="0">
        <f>LEN(INDIRECT(ADDRESS(ROW() + (0),COLUMN() + (-1))))</f>
        <v/>
      </c>
      <c r="D850" s="0" t="n"/>
      <c r="E850" s="38" t="n"/>
      <c r="G850" s="40" t="n"/>
      <c r="J850" s="31">
        <f>IF(INDIRECT(ADDRESS(ROW() + (0),COLUMN() + (1)))="Agregar cuotas", IF(("16%")="", "-", "16%"), IF(INDIRECT(ADDRESS(ROW() + (0),COLUMN() + (1)))="No agregar cuotas", IF(("16%")="", "-", "16%"), "-"))</f>
        <v/>
      </c>
      <c r="K850" s="0" t="n"/>
      <c r="L850" s="31">
        <f>IF(INDIRECT(ADDRESS(ROW() + (0),COLUMN() + (-1)))="Agregar cuotas", IF(("13.4%")="", "Sin costo", "13.4%"), IF(INDIRECT(ADDRESS(ROW() + (0),COLUMN() + (-1)))="No agregar cuotas", IF(("")="", "Sin costo", ""), "-"))</f>
        <v/>
      </c>
      <c r="M850" s="0" t="n"/>
      <c r="N850" s="0" t="n"/>
      <c r="O850" s="0" t="n"/>
      <c r="P850" s="47" t="n"/>
      <c r="R850" s="0" t="n"/>
      <c r="S850" s="0" t="n"/>
      <c r="U850" s="0" t="n"/>
      <c r="X850" s="0" t="n"/>
      <c r="AA850" s="0" t="n"/>
      <c r="AB8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0" s="53">
        <f>IF(OR(TRIM(INDIRECT("B"&amp;ROW())) &lt;&gt; "",TRIM(INDIRECT("A"&amp;ROW())) &lt;&gt; ""),AND(TRIM(INDIRECT("A"&amp;ROW())) &lt;&gt; "",TRIM(INDIRECT("D"&amp;ROW())) = "nuevo"),"")</f>
        <v/>
      </c>
    </row>
    <row r="851" ht="27.5" customHeight="1" s="62">
      <c r="C851" s="0">
        <f>LEN(INDIRECT(ADDRESS(ROW() + (0),COLUMN() + (-1))))</f>
        <v/>
      </c>
      <c r="D851" s="0" t="n"/>
      <c r="E851" s="38" t="n"/>
      <c r="G851" s="40" t="n"/>
      <c r="J851" s="31">
        <f>IF(INDIRECT(ADDRESS(ROW() + (0),COLUMN() + (1)))="Agregar cuotas", IF(("16%")="", "-", "16%"), IF(INDIRECT(ADDRESS(ROW() + (0),COLUMN() + (1)))="No agregar cuotas", IF(("16%")="", "-", "16%"), "-"))</f>
        <v/>
      </c>
      <c r="K851" s="0" t="n"/>
      <c r="L851" s="31">
        <f>IF(INDIRECT(ADDRESS(ROW() + (0),COLUMN() + (-1)))="Agregar cuotas", IF(("13.4%")="", "Sin costo", "13.4%"), IF(INDIRECT(ADDRESS(ROW() + (0),COLUMN() + (-1)))="No agregar cuotas", IF(("")="", "Sin costo", ""), "-"))</f>
        <v/>
      </c>
      <c r="M851" s="0" t="n"/>
      <c r="N851" s="0" t="n"/>
      <c r="O851" s="0" t="n"/>
      <c r="P851" s="47" t="n"/>
      <c r="R851" s="0" t="n"/>
      <c r="S851" s="0" t="n"/>
      <c r="U851" s="0" t="n"/>
      <c r="X851" s="0" t="n"/>
      <c r="AA851" s="0" t="n"/>
      <c r="AB8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1" s="53">
        <f>IF(OR(TRIM(INDIRECT("B"&amp;ROW())) &lt;&gt; "",TRIM(INDIRECT("A"&amp;ROW())) &lt;&gt; ""),AND(TRIM(INDIRECT("A"&amp;ROW())) &lt;&gt; "",TRIM(INDIRECT("D"&amp;ROW())) = "nuevo"),"")</f>
        <v/>
      </c>
    </row>
    <row r="852" ht="27.5" customHeight="1" s="62">
      <c r="C852" s="0">
        <f>LEN(INDIRECT(ADDRESS(ROW() + (0),COLUMN() + (-1))))</f>
        <v/>
      </c>
      <c r="D852" s="0" t="n"/>
      <c r="E852" s="38" t="n"/>
      <c r="G852" s="40" t="n"/>
      <c r="J852" s="31">
        <f>IF(INDIRECT(ADDRESS(ROW() + (0),COLUMN() + (1)))="Agregar cuotas", IF(("16%")="", "-", "16%"), IF(INDIRECT(ADDRESS(ROW() + (0),COLUMN() + (1)))="No agregar cuotas", IF(("16%")="", "-", "16%"), "-"))</f>
        <v/>
      </c>
      <c r="K852" s="0" t="n"/>
      <c r="L852" s="31">
        <f>IF(INDIRECT(ADDRESS(ROW() + (0),COLUMN() + (-1)))="Agregar cuotas", IF(("13.4%")="", "Sin costo", "13.4%"), IF(INDIRECT(ADDRESS(ROW() + (0),COLUMN() + (-1)))="No agregar cuotas", IF(("")="", "Sin costo", ""), "-"))</f>
        <v/>
      </c>
      <c r="M852" s="0" t="n"/>
      <c r="N852" s="0" t="n"/>
      <c r="O852" s="0" t="n"/>
      <c r="P852" s="47" t="n"/>
      <c r="R852" s="0" t="n"/>
      <c r="S852" s="0" t="n"/>
      <c r="U852" s="0" t="n"/>
      <c r="X852" s="0" t="n"/>
      <c r="AA852" s="0" t="n"/>
      <c r="AB8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2" s="53">
        <f>IF(OR(TRIM(INDIRECT("B"&amp;ROW())) &lt;&gt; "",TRIM(INDIRECT("A"&amp;ROW())) &lt;&gt; ""),AND(TRIM(INDIRECT("A"&amp;ROW())) &lt;&gt; "",TRIM(INDIRECT("D"&amp;ROW())) = "nuevo"),"")</f>
        <v/>
      </c>
    </row>
    <row r="853" ht="27.5" customHeight="1" s="62">
      <c r="C853" s="0">
        <f>LEN(INDIRECT(ADDRESS(ROW() + (0),COLUMN() + (-1))))</f>
        <v/>
      </c>
      <c r="D853" s="0" t="n"/>
      <c r="E853" s="38" t="n"/>
      <c r="G853" s="40" t="n"/>
      <c r="J853" s="31">
        <f>IF(INDIRECT(ADDRESS(ROW() + (0),COLUMN() + (1)))="Agregar cuotas", IF(("16%")="", "-", "16%"), IF(INDIRECT(ADDRESS(ROW() + (0),COLUMN() + (1)))="No agregar cuotas", IF(("16%")="", "-", "16%"), "-"))</f>
        <v/>
      </c>
      <c r="K853" s="0" t="n"/>
      <c r="L853" s="31">
        <f>IF(INDIRECT(ADDRESS(ROW() + (0),COLUMN() + (-1)))="Agregar cuotas", IF(("13.4%")="", "Sin costo", "13.4%"), IF(INDIRECT(ADDRESS(ROW() + (0),COLUMN() + (-1)))="No agregar cuotas", IF(("")="", "Sin costo", ""), "-"))</f>
        <v/>
      </c>
      <c r="M853" s="0" t="n"/>
      <c r="N853" s="0" t="n"/>
      <c r="O853" s="0" t="n"/>
      <c r="P853" s="47" t="n"/>
      <c r="R853" s="0" t="n"/>
      <c r="S853" s="0" t="n"/>
      <c r="U853" s="0" t="n"/>
      <c r="X853" s="0" t="n"/>
      <c r="AA853" s="0" t="n"/>
      <c r="AB8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3" s="53">
        <f>IF(OR(TRIM(INDIRECT("B"&amp;ROW())) &lt;&gt; "",TRIM(INDIRECT("A"&amp;ROW())) &lt;&gt; ""),AND(TRIM(INDIRECT("A"&amp;ROW())) &lt;&gt; "",TRIM(INDIRECT("D"&amp;ROW())) = "nuevo"),"")</f>
        <v/>
      </c>
    </row>
    <row r="854" ht="27.5" customHeight="1" s="62">
      <c r="C854" s="0">
        <f>LEN(INDIRECT(ADDRESS(ROW() + (0),COLUMN() + (-1))))</f>
        <v/>
      </c>
      <c r="D854" s="0" t="n"/>
      <c r="E854" s="38" t="n"/>
      <c r="G854" s="40" t="n"/>
      <c r="J854" s="31">
        <f>IF(INDIRECT(ADDRESS(ROW() + (0),COLUMN() + (1)))="Agregar cuotas", IF(("16%")="", "-", "16%"), IF(INDIRECT(ADDRESS(ROW() + (0),COLUMN() + (1)))="No agregar cuotas", IF(("16%")="", "-", "16%"), "-"))</f>
        <v/>
      </c>
      <c r="K854" s="0" t="n"/>
      <c r="L854" s="31">
        <f>IF(INDIRECT(ADDRESS(ROW() + (0),COLUMN() + (-1)))="Agregar cuotas", IF(("13.4%")="", "Sin costo", "13.4%"), IF(INDIRECT(ADDRESS(ROW() + (0),COLUMN() + (-1)))="No agregar cuotas", IF(("")="", "Sin costo", ""), "-"))</f>
        <v/>
      </c>
      <c r="M854" s="0" t="n"/>
      <c r="N854" s="0" t="n"/>
      <c r="O854" s="0" t="n"/>
      <c r="P854" s="47" t="n"/>
      <c r="R854" s="0" t="n"/>
      <c r="S854" s="0" t="n"/>
      <c r="U854" s="0" t="n"/>
      <c r="X854" s="0" t="n"/>
      <c r="AA854" s="0" t="n"/>
      <c r="AB8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4" s="53">
        <f>IF(OR(TRIM(INDIRECT("B"&amp;ROW())) &lt;&gt; "",TRIM(INDIRECT("A"&amp;ROW())) &lt;&gt; ""),AND(TRIM(INDIRECT("A"&amp;ROW())) &lt;&gt; "",TRIM(INDIRECT("D"&amp;ROW())) = "nuevo"),"")</f>
        <v/>
      </c>
    </row>
    <row r="855" ht="27.5" customHeight="1" s="62">
      <c r="C855" s="0">
        <f>LEN(INDIRECT(ADDRESS(ROW() + (0),COLUMN() + (-1))))</f>
        <v/>
      </c>
      <c r="D855" s="0" t="n"/>
      <c r="E855" s="38" t="n"/>
      <c r="G855" s="40" t="n"/>
      <c r="J855" s="31">
        <f>IF(INDIRECT(ADDRESS(ROW() + (0),COLUMN() + (1)))="Agregar cuotas", IF(("16%")="", "-", "16%"), IF(INDIRECT(ADDRESS(ROW() + (0),COLUMN() + (1)))="No agregar cuotas", IF(("16%")="", "-", "16%"), "-"))</f>
        <v/>
      </c>
      <c r="K855" s="0" t="n"/>
      <c r="L855" s="31">
        <f>IF(INDIRECT(ADDRESS(ROW() + (0),COLUMN() + (-1)))="Agregar cuotas", IF(("13.4%")="", "Sin costo", "13.4%"), IF(INDIRECT(ADDRESS(ROW() + (0),COLUMN() + (-1)))="No agregar cuotas", IF(("")="", "Sin costo", ""), "-"))</f>
        <v/>
      </c>
      <c r="M855" s="0" t="n"/>
      <c r="N855" s="0" t="n"/>
      <c r="O855" s="0" t="n"/>
      <c r="P855" s="47" t="n"/>
      <c r="R855" s="0" t="n"/>
      <c r="S855" s="0" t="n"/>
      <c r="U855" s="0" t="n"/>
      <c r="X855" s="0" t="n"/>
      <c r="AA855" s="0" t="n"/>
      <c r="AB8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5" s="53">
        <f>IF(OR(TRIM(INDIRECT("B"&amp;ROW())) &lt;&gt; "",TRIM(INDIRECT("A"&amp;ROW())) &lt;&gt; ""),AND(TRIM(INDIRECT("A"&amp;ROW())) &lt;&gt; "",TRIM(INDIRECT("D"&amp;ROW())) = "nuevo"),"")</f>
        <v/>
      </c>
    </row>
    <row r="856" ht="27.5" customHeight="1" s="62">
      <c r="C856" s="0">
        <f>LEN(INDIRECT(ADDRESS(ROW() + (0),COLUMN() + (-1))))</f>
        <v/>
      </c>
      <c r="D856" s="0" t="n"/>
      <c r="E856" s="38" t="n"/>
      <c r="G856" s="40" t="n"/>
      <c r="J856" s="31">
        <f>IF(INDIRECT(ADDRESS(ROW() + (0),COLUMN() + (1)))="Agregar cuotas", IF(("16%")="", "-", "16%"), IF(INDIRECT(ADDRESS(ROW() + (0),COLUMN() + (1)))="No agregar cuotas", IF(("16%")="", "-", "16%"), "-"))</f>
        <v/>
      </c>
      <c r="K856" s="0" t="n"/>
      <c r="L856" s="31">
        <f>IF(INDIRECT(ADDRESS(ROW() + (0),COLUMN() + (-1)))="Agregar cuotas", IF(("13.4%")="", "Sin costo", "13.4%"), IF(INDIRECT(ADDRESS(ROW() + (0),COLUMN() + (-1)))="No agregar cuotas", IF(("")="", "Sin costo", ""), "-"))</f>
        <v/>
      </c>
      <c r="M856" s="0" t="n"/>
      <c r="N856" s="0" t="n"/>
      <c r="O856" s="0" t="n"/>
      <c r="P856" s="47" t="n"/>
      <c r="R856" s="0" t="n"/>
      <c r="S856" s="0" t="n"/>
      <c r="U856" s="0" t="n"/>
      <c r="X856" s="0" t="n"/>
      <c r="AA856" s="0" t="n"/>
      <c r="AB8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6" s="53">
        <f>IF(OR(TRIM(INDIRECT("B"&amp;ROW())) &lt;&gt; "",TRIM(INDIRECT("A"&amp;ROW())) &lt;&gt; ""),AND(TRIM(INDIRECT("A"&amp;ROW())) &lt;&gt; "",TRIM(INDIRECT("D"&amp;ROW())) = "nuevo"),"")</f>
        <v/>
      </c>
    </row>
    <row r="857" ht="27.5" customHeight="1" s="62">
      <c r="C857" s="0">
        <f>LEN(INDIRECT(ADDRESS(ROW() + (0),COLUMN() + (-1))))</f>
        <v/>
      </c>
      <c r="D857" s="0" t="n"/>
      <c r="E857" s="38" t="n"/>
      <c r="G857" s="40" t="n"/>
      <c r="J857" s="31">
        <f>IF(INDIRECT(ADDRESS(ROW() + (0),COLUMN() + (1)))="Agregar cuotas", IF(("16%")="", "-", "16%"), IF(INDIRECT(ADDRESS(ROW() + (0),COLUMN() + (1)))="No agregar cuotas", IF(("16%")="", "-", "16%"), "-"))</f>
        <v/>
      </c>
      <c r="K857" s="0" t="n"/>
      <c r="L857" s="31">
        <f>IF(INDIRECT(ADDRESS(ROW() + (0),COLUMN() + (-1)))="Agregar cuotas", IF(("13.4%")="", "Sin costo", "13.4%"), IF(INDIRECT(ADDRESS(ROW() + (0),COLUMN() + (-1)))="No agregar cuotas", IF(("")="", "Sin costo", ""), "-"))</f>
        <v/>
      </c>
      <c r="M857" s="0" t="n"/>
      <c r="N857" s="0" t="n"/>
      <c r="O857" s="0" t="n"/>
      <c r="P857" s="47" t="n"/>
      <c r="R857" s="0" t="n"/>
      <c r="S857" s="0" t="n"/>
      <c r="U857" s="0" t="n"/>
      <c r="X857" s="0" t="n"/>
      <c r="AA857" s="0" t="n"/>
      <c r="AB8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7" s="53">
        <f>IF(OR(TRIM(INDIRECT("B"&amp;ROW())) &lt;&gt; "",TRIM(INDIRECT("A"&amp;ROW())) &lt;&gt; ""),AND(TRIM(INDIRECT("A"&amp;ROW())) &lt;&gt; "",TRIM(INDIRECT("D"&amp;ROW())) = "nuevo"),"")</f>
        <v/>
      </c>
    </row>
    <row r="858" ht="27.5" customHeight="1" s="62">
      <c r="C858" s="0">
        <f>LEN(INDIRECT(ADDRESS(ROW() + (0),COLUMN() + (-1))))</f>
        <v/>
      </c>
      <c r="D858" s="0" t="n"/>
      <c r="E858" s="38" t="n"/>
      <c r="G858" s="40" t="n"/>
      <c r="J858" s="31">
        <f>IF(INDIRECT(ADDRESS(ROW() + (0),COLUMN() + (1)))="Agregar cuotas", IF(("16%")="", "-", "16%"), IF(INDIRECT(ADDRESS(ROW() + (0),COLUMN() + (1)))="No agregar cuotas", IF(("16%")="", "-", "16%"), "-"))</f>
        <v/>
      </c>
      <c r="K858" s="0" t="n"/>
      <c r="L858" s="31">
        <f>IF(INDIRECT(ADDRESS(ROW() + (0),COLUMN() + (-1)))="Agregar cuotas", IF(("13.4%")="", "Sin costo", "13.4%"), IF(INDIRECT(ADDRESS(ROW() + (0),COLUMN() + (-1)))="No agregar cuotas", IF(("")="", "Sin costo", ""), "-"))</f>
        <v/>
      </c>
      <c r="M858" s="0" t="n"/>
      <c r="N858" s="0" t="n"/>
      <c r="O858" s="0" t="n"/>
      <c r="P858" s="47" t="n"/>
      <c r="R858" s="0" t="n"/>
      <c r="S858" s="0" t="n"/>
      <c r="U858" s="0" t="n"/>
      <c r="X858" s="0" t="n"/>
      <c r="AA858" s="0" t="n"/>
      <c r="AB8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8" s="53">
        <f>IF(OR(TRIM(INDIRECT("B"&amp;ROW())) &lt;&gt; "",TRIM(INDIRECT("A"&amp;ROW())) &lt;&gt; ""),AND(TRIM(INDIRECT("A"&amp;ROW())) &lt;&gt; "",TRIM(INDIRECT("D"&amp;ROW())) = "nuevo"),"")</f>
        <v/>
      </c>
    </row>
    <row r="859" ht="27.5" customHeight="1" s="62">
      <c r="C859" s="0">
        <f>LEN(INDIRECT(ADDRESS(ROW() + (0),COLUMN() + (-1))))</f>
        <v/>
      </c>
      <c r="D859" s="0" t="n"/>
      <c r="E859" s="38" t="n"/>
      <c r="G859" s="40" t="n"/>
      <c r="J859" s="31">
        <f>IF(INDIRECT(ADDRESS(ROW() + (0),COLUMN() + (1)))="Agregar cuotas", IF(("16%")="", "-", "16%"), IF(INDIRECT(ADDRESS(ROW() + (0),COLUMN() + (1)))="No agregar cuotas", IF(("16%")="", "-", "16%"), "-"))</f>
        <v/>
      </c>
      <c r="K859" s="0" t="n"/>
      <c r="L859" s="31">
        <f>IF(INDIRECT(ADDRESS(ROW() + (0),COLUMN() + (-1)))="Agregar cuotas", IF(("13.4%")="", "Sin costo", "13.4%"), IF(INDIRECT(ADDRESS(ROW() + (0),COLUMN() + (-1)))="No agregar cuotas", IF(("")="", "Sin costo", ""), "-"))</f>
        <v/>
      </c>
      <c r="M859" s="0" t="n"/>
      <c r="N859" s="0" t="n"/>
      <c r="O859" s="0" t="n"/>
      <c r="P859" s="47" t="n"/>
      <c r="R859" s="0" t="n"/>
      <c r="S859" s="0" t="n"/>
      <c r="U859" s="0" t="n"/>
      <c r="X859" s="0" t="n"/>
      <c r="AA859" s="0" t="n"/>
      <c r="AB8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59" s="53">
        <f>IF(OR(TRIM(INDIRECT("B"&amp;ROW())) &lt;&gt; "",TRIM(INDIRECT("A"&amp;ROW())) &lt;&gt; ""),AND(TRIM(INDIRECT("A"&amp;ROW())) &lt;&gt; "",TRIM(INDIRECT("D"&amp;ROW())) = "nuevo"),"")</f>
        <v/>
      </c>
    </row>
    <row r="860" ht="27.5" customHeight="1" s="62">
      <c r="C860" s="0">
        <f>LEN(INDIRECT(ADDRESS(ROW() + (0),COLUMN() + (-1))))</f>
        <v/>
      </c>
      <c r="D860" s="0" t="n"/>
      <c r="E860" s="38" t="n"/>
      <c r="G860" s="40" t="n"/>
      <c r="J860" s="31">
        <f>IF(INDIRECT(ADDRESS(ROW() + (0),COLUMN() + (1)))="Agregar cuotas", IF(("16%")="", "-", "16%"), IF(INDIRECT(ADDRESS(ROW() + (0),COLUMN() + (1)))="No agregar cuotas", IF(("16%")="", "-", "16%"), "-"))</f>
        <v/>
      </c>
      <c r="K860" s="0" t="n"/>
      <c r="L860" s="31">
        <f>IF(INDIRECT(ADDRESS(ROW() + (0),COLUMN() + (-1)))="Agregar cuotas", IF(("13.4%")="", "Sin costo", "13.4%"), IF(INDIRECT(ADDRESS(ROW() + (0),COLUMN() + (-1)))="No agregar cuotas", IF(("")="", "Sin costo", ""), "-"))</f>
        <v/>
      </c>
      <c r="M860" s="0" t="n"/>
      <c r="N860" s="0" t="n"/>
      <c r="O860" s="0" t="n"/>
      <c r="P860" s="47" t="n"/>
      <c r="R860" s="0" t="n"/>
      <c r="S860" s="0" t="n"/>
      <c r="U860" s="0" t="n"/>
      <c r="X860" s="0" t="n"/>
      <c r="AA860" s="0" t="n"/>
      <c r="AB8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0" s="53">
        <f>IF(OR(TRIM(INDIRECT("B"&amp;ROW())) &lt;&gt; "",TRIM(INDIRECT("A"&amp;ROW())) &lt;&gt; ""),AND(TRIM(INDIRECT("A"&amp;ROW())) &lt;&gt; "",TRIM(INDIRECT("D"&amp;ROW())) = "nuevo"),"")</f>
        <v/>
      </c>
    </row>
    <row r="861" ht="27.5" customHeight="1" s="62">
      <c r="C861" s="0">
        <f>LEN(INDIRECT(ADDRESS(ROW() + (0),COLUMN() + (-1))))</f>
        <v/>
      </c>
      <c r="D861" s="0" t="n"/>
      <c r="E861" s="38" t="n"/>
      <c r="G861" s="40" t="n"/>
      <c r="J861" s="31">
        <f>IF(INDIRECT(ADDRESS(ROW() + (0),COLUMN() + (1)))="Agregar cuotas", IF(("16%")="", "-", "16%"), IF(INDIRECT(ADDRESS(ROW() + (0),COLUMN() + (1)))="No agregar cuotas", IF(("16%")="", "-", "16%"), "-"))</f>
        <v/>
      </c>
      <c r="K861" s="0" t="n"/>
      <c r="L861" s="31">
        <f>IF(INDIRECT(ADDRESS(ROW() + (0),COLUMN() + (-1)))="Agregar cuotas", IF(("13.4%")="", "Sin costo", "13.4%"), IF(INDIRECT(ADDRESS(ROW() + (0),COLUMN() + (-1)))="No agregar cuotas", IF(("")="", "Sin costo", ""), "-"))</f>
        <v/>
      </c>
      <c r="M861" s="0" t="n"/>
      <c r="N861" s="0" t="n"/>
      <c r="O861" s="0" t="n"/>
      <c r="P861" s="47" t="n"/>
      <c r="R861" s="0" t="n"/>
      <c r="S861" s="0" t="n"/>
      <c r="U861" s="0" t="n"/>
      <c r="X861" s="0" t="n"/>
      <c r="AA861" s="0" t="n"/>
      <c r="AB8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1" s="53">
        <f>IF(OR(TRIM(INDIRECT("B"&amp;ROW())) &lt;&gt; "",TRIM(INDIRECT("A"&amp;ROW())) &lt;&gt; ""),AND(TRIM(INDIRECT("A"&amp;ROW())) &lt;&gt; "",TRIM(INDIRECT("D"&amp;ROW())) = "nuevo"),"")</f>
        <v/>
      </c>
    </row>
    <row r="862" ht="27.5" customHeight="1" s="62">
      <c r="C862" s="0">
        <f>LEN(INDIRECT(ADDRESS(ROW() + (0),COLUMN() + (-1))))</f>
        <v/>
      </c>
      <c r="D862" s="0" t="n"/>
      <c r="E862" s="38" t="n"/>
      <c r="G862" s="40" t="n"/>
      <c r="J862" s="31">
        <f>IF(INDIRECT(ADDRESS(ROW() + (0),COLUMN() + (1)))="Agregar cuotas", IF(("16%")="", "-", "16%"), IF(INDIRECT(ADDRESS(ROW() + (0),COLUMN() + (1)))="No agregar cuotas", IF(("16%")="", "-", "16%"), "-"))</f>
        <v/>
      </c>
      <c r="K862" s="0" t="n"/>
      <c r="L862" s="31">
        <f>IF(INDIRECT(ADDRESS(ROW() + (0),COLUMN() + (-1)))="Agregar cuotas", IF(("13.4%")="", "Sin costo", "13.4%"), IF(INDIRECT(ADDRESS(ROW() + (0),COLUMN() + (-1)))="No agregar cuotas", IF(("")="", "Sin costo", ""), "-"))</f>
        <v/>
      </c>
      <c r="M862" s="0" t="n"/>
      <c r="N862" s="0" t="n"/>
      <c r="O862" s="0" t="n"/>
      <c r="P862" s="47" t="n"/>
      <c r="R862" s="0" t="n"/>
      <c r="S862" s="0" t="n"/>
      <c r="U862" s="0" t="n"/>
      <c r="X862" s="0" t="n"/>
      <c r="AA862" s="0" t="n"/>
      <c r="AB8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2" s="53">
        <f>IF(OR(TRIM(INDIRECT("B"&amp;ROW())) &lt;&gt; "",TRIM(INDIRECT("A"&amp;ROW())) &lt;&gt; ""),AND(TRIM(INDIRECT("A"&amp;ROW())) &lt;&gt; "",TRIM(INDIRECT("D"&amp;ROW())) = "nuevo"),"")</f>
        <v/>
      </c>
    </row>
    <row r="863" ht="27.5" customHeight="1" s="62">
      <c r="C863" s="0">
        <f>LEN(INDIRECT(ADDRESS(ROW() + (0),COLUMN() + (-1))))</f>
        <v/>
      </c>
      <c r="D863" s="0" t="n"/>
      <c r="E863" s="38" t="n"/>
      <c r="G863" s="40" t="n"/>
      <c r="J863" s="31">
        <f>IF(INDIRECT(ADDRESS(ROW() + (0),COLUMN() + (1)))="Agregar cuotas", IF(("16%")="", "-", "16%"), IF(INDIRECT(ADDRESS(ROW() + (0),COLUMN() + (1)))="No agregar cuotas", IF(("16%")="", "-", "16%"), "-"))</f>
        <v/>
      </c>
      <c r="K863" s="0" t="n"/>
      <c r="L863" s="31">
        <f>IF(INDIRECT(ADDRESS(ROW() + (0),COLUMN() + (-1)))="Agregar cuotas", IF(("13.4%")="", "Sin costo", "13.4%"), IF(INDIRECT(ADDRESS(ROW() + (0),COLUMN() + (-1)))="No agregar cuotas", IF(("")="", "Sin costo", ""), "-"))</f>
        <v/>
      </c>
      <c r="M863" s="0" t="n"/>
      <c r="N863" s="0" t="n"/>
      <c r="O863" s="0" t="n"/>
      <c r="P863" s="47" t="n"/>
      <c r="R863" s="0" t="n"/>
      <c r="S863" s="0" t="n"/>
      <c r="U863" s="0" t="n"/>
      <c r="X863" s="0" t="n"/>
      <c r="AA863" s="0" t="n"/>
      <c r="AB8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3" s="53">
        <f>IF(OR(TRIM(INDIRECT("B"&amp;ROW())) &lt;&gt; "",TRIM(INDIRECT("A"&amp;ROW())) &lt;&gt; ""),AND(TRIM(INDIRECT("A"&amp;ROW())) &lt;&gt; "",TRIM(INDIRECT("D"&amp;ROW())) = "nuevo"),"")</f>
        <v/>
      </c>
    </row>
    <row r="864" ht="27.5" customHeight="1" s="62">
      <c r="C864" s="0">
        <f>LEN(INDIRECT(ADDRESS(ROW() + (0),COLUMN() + (-1))))</f>
        <v/>
      </c>
      <c r="D864" s="0" t="n"/>
      <c r="E864" s="38" t="n"/>
      <c r="G864" s="40" t="n"/>
      <c r="J864" s="31">
        <f>IF(INDIRECT(ADDRESS(ROW() + (0),COLUMN() + (1)))="Agregar cuotas", IF(("16%")="", "-", "16%"), IF(INDIRECT(ADDRESS(ROW() + (0),COLUMN() + (1)))="No agregar cuotas", IF(("16%")="", "-", "16%"), "-"))</f>
        <v/>
      </c>
      <c r="K864" s="0" t="n"/>
      <c r="L864" s="31">
        <f>IF(INDIRECT(ADDRESS(ROW() + (0),COLUMN() + (-1)))="Agregar cuotas", IF(("13.4%")="", "Sin costo", "13.4%"), IF(INDIRECT(ADDRESS(ROW() + (0),COLUMN() + (-1)))="No agregar cuotas", IF(("")="", "Sin costo", ""), "-"))</f>
        <v/>
      </c>
      <c r="M864" s="0" t="n"/>
      <c r="N864" s="0" t="n"/>
      <c r="O864" s="0" t="n"/>
      <c r="P864" s="47" t="n"/>
      <c r="R864" s="0" t="n"/>
      <c r="S864" s="0" t="n"/>
      <c r="U864" s="0" t="n"/>
      <c r="X864" s="0" t="n"/>
      <c r="AA864" s="0" t="n"/>
      <c r="AB8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4" s="53">
        <f>IF(OR(TRIM(INDIRECT("B"&amp;ROW())) &lt;&gt; "",TRIM(INDIRECT("A"&amp;ROW())) &lt;&gt; ""),AND(TRIM(INDIRECT("A"&amp;ROW())) &lt;&gt; "",TRIM(INDIRECT("D"&amp;ROW())) = "nuevo"),"")</f>
        <v/>
      </c>
    </row>
    <row r="865" ht="27.5" customHeight="1" s="62">
      <c r="C865" s="0">
        <f>LEN(INDIRECT(ADDRESS(ROW() + (0),COLUMN() + (-1))))</f>
        <v/>
      </c>
      <c r="D865" s="0" t="n"/>
      <c r="E865" s="38" t="n"/>
      <c r="G865" s="40" t="n"/>
      <c r="J865" s="31">
        <f>IF(INDIRECT(ADDRESS(ROW() + (0),COLUMN() + (1)))="Agregar cuotas", IF(("16%")="", "-", "16%"), IF(INDIRECT(ADDRESS(ROW() + (0),COLUMN() + (1)))="No agregar cuotas", IF(("16%")="", "-", "16%"), "-"))</f>
        <v/>
      </c>
      <c r="K865" s="0" t="n"/>
      <c r="L865" s="31">
        <f>IF(INDIRECT(ADDRESS(ROW() + (0),COLUMN() + (-1)))="Agregar cuotas", IF(("13.4%")="", "Sin costo", "13.4%"), IF(INDIRECT(ADDRESS(ROW() + (0),COLUMN() + (-1)))="No agregar cuotas", IF(("")="", "Sin costo", ""), "-"))</f>
        <v/>
      </c>
      <c r="M865" s="0" t="n"/>
      <c r="N865" s="0" t="n"/>
      <c r="O865" s="0" t="n"/>
      <c r="P865" s="47" t="n"/>
      <c r="R865" s="0" t="n"/>
      <c r="S865" s="0" t="n"/>
      <c r="U865" s="0" t="n"/>
      <c r="X865" s="0" t="n"/>
      <c r="AA865" s="0" t="n"/>
      <c r="AB8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5" s="53">
        <f>IF(OR(TRIM(INDIRECT("B"&amp;ROW())) &lt;&gt; "",TRIM(INDIRECT("A"&amp;ROW())) &lt;&gt; ""),AND(TRIM(INDIRECT("A"&amp;ROW())) &lt;&gt; "",TRIM(INDIRECT("D"&amp;ROW())) = "nuevo"),"")</f>
        <v/>
      </c>
    </row>
    <row r="866" ht="27.5" customHeight="1" s="62">
      <c r="C866" s="0">
        <f>LEN(INDIRECT(ADDRESS(ROW() + (0),COLUMN() + (-1))))</f>
        <v/>
      </c>
      <c r="D866" s="0" t="n"/>
      <c r="E866" s="38" t="n"/>
      <c r="G866" s="40" t="n"/>
      <c r="J866" s="31">
        <f>IF(INDIRECT(ADDRESS(ROW() + (0),COLUMN() + (1)))="Agregar cuotas", IF(("16%")="", "-", "16%"), IF(INDIRECT(ADDRESS(ROW() + (0),COLUMN() + (1)))="No agregar cuotas", IF(("16%")="", "-", "16%"), "-"))</f>
        <v/>
      </c>
      <c r="K866" s="0" t="n"/>
      <c r="L866" s="31">
        <f>IF(INDIRECT(ADDRESS(ROW() + (0),COLUMN() + (-1)))="Agregar cuotas", IF(("13.4%")="", "Sin costo", "13.4%"), IF(INDIRECT(ADDRESS(ROW() + (0),COLUMN() + (-1)))="No agregar cuotas", IF(("")="", "Sin costo", ""), "-"))</f>
        <v/>
      </c>
      <c r="M866" s="0" t="n"/>
      <c r="N866" s="0" t="n"/>
      <c r="O866" s="0" t="n"/>
      <c r="P866" s="47" t="n"/>
      <c r="R866" s="0" t="n"/>
      <c r="S866" s="0" t="n"/>
      <c r="U866" s="0" t="n"/>
      <c r="X866" s="0" t="n"/>
      <c r="AA866" s="0" t="n"/>
      <c r="AB8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6" s="53">
        <f>IF(OR(TRIM(INDIRECT("B"&amp;ROW())) &lt;&gt; "",TRIM(INDIRECT("A"&amp;ROW())) &lt;&gt; ""),AND(TRIM(INDIRECT("A"&amp;ROW())) &lt;&gt; "",TRIM(INDIRECT("D"&amp;ROW())) = "nuevo"),"")</f>
        <v/>
      </c>
    </row>
    <row r="867" ht="27.5" customHeight="1" s="62">
      <c r="C867" s="0">
        <f>LEN(INDIRECT(ADDRESS(ROW() + (0),COLUMN() + (-1))))</f>
        <v/>
      </c>
      <c r="D867" s="0" t="n"/>
      <c r="E867" s="38" t="n"/>
      <c r="G867" s="40" t="n"/>
      <c r="J867" s="31">
        <f>IF(INDIRECT(ADDRESS(ROW() + (0),COLUMN() + (1)))="Agregar cuotas", IF(("16%")="", "-", "16%"), IF(INDIRECT(ADDRESS(ROW() + (0),COLUMN() + (1)))="No agregar cuotas", IF(("16%")="", "-", "16%"), "-"))</f>
        <v/>
      </c>
      <c r="K867" s="0" t="n"/>
      <c r="L867" s="31">
        <f>IF(INDIRECT(ADDRESS(ROW() + (0),COLUMN() + (-1)))="Agregar cuotas", IF(("13.4%")="", "Sin costo", "13.4%"), IF(INDIRECT(ADDRESS(ROW() + (0),COLUMN() + (-1)))="No agregar cuotas", IF(("")="", "Sin costo", ""), "-"))</f>
        <v/>
      </c>
      <c r="M867" s="0" t="n"/>
      <c r="N867" s="0" t="n"/>
      <c r="O867" s="0" t="n"/>
      <c r="P867" s="47" t="n"/>
      <c r="R867" s="0" t="n"/>
      <c r="S867" s="0" t="n"/>
      <c r="U867" s="0" t="n"/>
      <c r="X867" s="0" t="n"/>
      <c r="AA867" s="0" t="n"/>
      <c r="AB8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7" s="53">
        <f>IF(OR(TRIM(INDIRECT("B"&amp;ROW())) &lt;&gt; "",TRIM(INDIRECT("A"&amp;ROW())) &lt;&gt; ""),AND(TRIM(INDIRECT("A"&amp;ROW())) &lt;&gt; "",TRIM(INDIRECT("D"&amp;ROW())) = "nuevo"),"")</f>
        <v/>
      </c>
    </row>
    <row r="868" ht="27.5" customHeight="1" s="62">
      <c r="C868" s="0">
        <f>LEN(INDIRECT(ADDRESS(ROW() + (0),COLUMN() + (-1))))</f>
        <v/>
      </c>
      <c r="D868" s="0" t="n"/>
      <c r="E868" s="38" t="n"/>
      <c r="G868" s="40" t="n"/>
      <c r="J868" s="31">
        <f>IF(INDIRECT(ADDRESS(ROW() + (0),COLUMN() + (1)))="Agregar cuotas", IF(("16%")="", "-", "16%"), IF(INDIRECT(ADDRESS(ROW() + (0),COLUMN() + (1)))="No agregar cuotas", IF(("16%")="", "-", "16%"), "-"))</f>
        <v/>
      </c>
      <c r="K868" s="0" t="n"/>
      <c r="L868" s="31">
        <f>IF(INDIRECT(ADDRESS(ROW() + (0),COLUMN() + (-1)))="Agregar cuotas", IF(("13.4%")="", "Sin costo", "13.4%"), IF(INDIRECT(ADDRESS(ROW() + (0),COLUMN() + (-1)))="No agregar cuotas", IF(("")="", "Sin costo", ""), "-"))</f>
        <v/>
      </c>
      <c r="M868" s="0" t="n"/>
      <c r="N868" s="0" t="n"/>
      <c r="O868" s="0" t="n"/>
      <c r="P868" s="47" t="n"/>
      <c r="R868" s="0" t="n"/>
      <c r="S868" s="0" t="n"/>
      <c r="U868" s="0" t="n"/>
      <c r="X868" s="0" t="n"/>
      <c r="AA868" s="0" t="n"/>
      <c r="AB8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8" s="53">
        <f>IF(OR(TRIM(INDIRECT("B"&amp;ROW())) &lt;&gt; "",TRIM(INDIRECT("A"&amp;ROW())) &lt;&gt; ""),AND(TRIM(INDIRECT("A"&amp;ROW())) &lt;&gt; "",TRIM(INDIRECT("D"&amp;ROW())) = "nuevo"),"")</f>
        <v/>
      </c>
    </row>
    <row r="869" ht="27.5" customHeight="1" s="62">
      <c r="C869" s="0">
        <f>LEN(INDIRECT(ADDRESS(ROW() + (0),COLUMN() + (-1))))</f>
        <v/>
      </c>
      <c r="D869" s="0" t="n"/>
      <c r="E869" s="38" t="n"/>
      <c r="G869" s="40" t="n"/>
      <c r="J869" s="31">
        <f>IF(INDIRECT(ADDRESS(ROW() + (0),COLUMN() + (1)))="Agregar cuotas", IF(("16%")="", "-", "16%"), IF(INDIRECT(ADDRESS(ROW() + (0),COLUMN() + (1)))="No agregar cuotas", IF(("16%")="", "-", "16%"), "-"))</f>
        <v/>
      </c>
      <c r="K869" s="0" t="n"/>
      <c r="L869" s="31">
        <f>IF(INDIRECT(ADDRESS(ROW() + (0),COLUMN() + (-1)))="Agregar cuotas", IF(("13.4%")="", "Sin costo", "13.4%"), IF(INDIRECT(ADDRESS(ROW() + (0),COLUMN() + (-1)))="No agregar cuotas", IF(("")="", "Sin costo", ""), "-"))</f>
        <v/>
      </c>
      <c r="M869" s="0" t="n"/>
      <c r="N869" s="0" t="n"/>
      <c r="O869" s="0" t="n"/>
      <c r="P869" s="47" t="n"/>
      <c r="R869" s="0" t="n"/>
      <c r="S869" s="0" t="n"/>
      <c r="U869" s="0" t="n"/>
      <c r="X869" s="0" t="n"/>
      <c r="AA869" s="0" t="n"/>
      <c r="AB8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69" s="53">
        <f>IF(OR(TRIM(INDIRECT("B"&amp;ROW())) &lt;&gt; "",TRIM(INDIRECT("A"&amp;ROW())) &lt;&gt; ""),AND(TRIM(INDIRECT("A"&amp;ROW())) &lt;&gt; "",TRIM(INDIRECT("D"&amp;ROW())) = "nuevo"),"")</f>
        <v/>
      </c>
    </row>
    <row r="870" ht="27.5" customHeight="1" s="62">
      <c r="C870" s="0">
        <f>LEN(INDIRECT(ADDRESS(ROW() + (0),COLUMN() + (-1))))</f>
        <v/>
      </c>
      <c r="D870" s="0" t="n"/>
      <c r="E870" s="38" t="n"/>
      <c r="G870" s="40" t="n"/>
      <c r="J870" s="31">
        <f>IF(INDIRECT(ADDRESS(ROW() + (0),COLUMN() + (1)))="Agregar cuotas", IF(("16%")="", "-", "16%"), IF(INDIRECT(ADDRESS(ROW() + (0),COLUMN() + (1)))="No agregar cuotas", IF(("16%")="", "-", "16%"), "-"))</f>
        <v/>
      </c>
      <c r="K870" s="0" t="n"/>
      <c r="L870" s="31">
        <f>IF(INDIRECT(ADDRESS(ROW() + (0),COLUMN() + (-1)))="Agregar cuotas", IF(("13.4%")="", "Sin costo", "13.4%"), IF(INDIRECT(ADDRESS(ROW() + (0),COLUMN() + (-1)))="No agregar cuotas", IF(("")="", "Sin costo", ""), "-"))</f>
        <v/>
      </c>
      <c r="M870" s="0" t="n"/>
      <c r="N870" s="0" t="n"/>
      <c r="O870" s="0" t="n"/>
      <c r="P870" s="47" t="n"/>
      <c r="R870" s="0" t="n"/>
      <c r="S870" s="0" t="n"/>
      <c r="U870" s="0" t="n"/>
      <c r="X870" s="0" t="n"/>
      <c r="AA870" s="0" t="n"/>
      <c r="AB8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0" s="53">
        <f>IF(OR(TRIM(INDIRECT("B"&amp;ROW())) &lt;&gt; "",TRIM(INDIRECT("A"&amp;ROW())) &lt;&gt; ""),AND(TRIM(INDIRECT("A"&amp;ROW())) &lt;&gt; "",TRIM(INDIRECT("D"&amp;ROW())) = "nuevo"),"")</f>
        <v/>
      </c>
    </row>
    <row r="871" ht="27.5" customHeight="1" s="62">
      <c r="C871" s="0">
        <f>LEN(INDIRECT(ADDRESS(ROW() + (0),COLUMN() + (-1))))</f>
        <v/>
      </c>
      <c r="D871" s="0" t="n"/>
      <c r="E871" s="38" t="n"/>
      <c r="G871" s="40" t="n"/>
      <c r="J871" s="31">
        <f>IF(INDIRECT(ADDRESS(ROW() + (0),COLUMN() + (1)))="Agregar cuotas", IF(("16%")="", "-", "16%"), IF(INDIRECT(ADDRESS(ROW() + (0),COLUMN() + (1)))="No agregar cuotas", IF(("16%")="", "-", "16%"), "-"))</f>
        <v/>
      </c>
      <c r="K871" s="0" t="n"/>
      <c r="L871" s="31">
        <f>IF(INDIRECT(ADDRESS(ROW() + (0),COLUMN() + (-1)))="Agregar cuotas", IF(("13.4%")="", "Sin costo", "13.4%"), IF(INDIRECT(ADDRESS(ROW() + (0),COLUMN() + (-1)))="No agregar cuotas", IF(("")="", "Sin costo", ""), "-"))</f>
        <v/>
      </c>
      <c r="M871" s="0" t="n"/>
      <c r="N871" s="0" t="n"/>
      <c r="O871" s="0" t="n"/>
      <c r="P871" s="47" t="n"/>
      <c r="R871" s="0" t="n"/>
      <c r="S871" s="0" t="n"/>
      <c r="U871" s="0" t="n"/>
      <c r="X871" s="0" t="n"/>
      <c r="AA871" s="0" t="n"/>
      <c r="AB8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1" s="53">
        <f>IF(OR(TRIM(INDIRECT("B"&amp;ROW())) &lt;&gt; "",TRIM(INDIRECT("A"&amp;ROW())) &lt;&gt; ""),AND(TRIM(INDIRECT("A"&amp;ROW())) &lt;&gt; "",TRIM(INDIRECT("D"&amp;ROW())) = "nuevo"),"")</f>
        <v/>
      </c>
    </row>
    <row r="872" ht="27.5" customHeight="1" s="62">
      <c r="C872" s="0">
        <f>LEN(INDIRECT(ADDRESS(ROW() + (0),COLUMN() + (-1))))</f>
        <v/>
      </c>
      <c r="D872" s="0" t="n"/>
      <c r="E872" s="38" t="n"/>
      <c r="G872" s="40" t="n"/>
      <c r="J872" s="31">
        <f>IF(INDIRECT(ADDRESS(ROW() + (0),COLUMN() + (1)))="Agregar cuotas", IF(("16%")="", "-", "16%"), IF(INDIRECT(ADDRESS(ROW() + (0),COLUMN() + (1)))="No agregar cuotas", IF(("16%")="", "-", "16%"), "-"))</f>
        <v/>
      </c>
      <c r="K872" s="0" t="n"/>
      <c r="L872" s="31">
        <f>IF(INDIRECT(ADDRESS(ROW() + (0),COLUMN() + (-1)))="Agregar cuotas", IF(("13.4%")="", "Sin costo", "13.4%"), IF(INDIRECT(ADDRESS(ROW() + (0),COLUMN() + (-1)))="No agregar cuotas", IF(("")="", "Sin costo", ""), "-"))</f>
        <v/>
      </c>
      <c r="M872" s="0" t="n"/>
      <c r="N872" s="0" t="n"/>
      <c r="O872" s="0" t="n"/>
      <c r="P872" s="47" t="n"/>
      <c r="R872" s="0" t="n"/>
      <c r="S872" s="0" t="n"/>
      <c r="U872" s="0" t="n"/>
      <c r="X872" s="0" t="n"/>
      <c r="AA872" s="0" t="n"/>
      <c r="AB8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2" s="53">
        <f>IF(OR(TRIM(INDIRECT("B"&amp;ROW())) &lt;&gt; "",TRIM(INDIRECT("A"&amp;ROW())) &lt;&gt; ""),AND(TRIM(INDIRECT("A"&amp;ROW())) &lt;&gt; "",TRIM(INDIRECT("D"&amp;ROW())) = "nuevo"),"")</f>
        <v/>
      </c>
    </row>
    <row r="873" ht="27.5" customHeight="1" s="62">
      <c r="C873" s="0">
        <f>LEN(INDIRECT(ADDRESS(ROW() + (0),COLUMN() + (-1))))</f>
        <v/>
      </c>
      <c r="D873" s="0" t="n"/>
      <c r="E873" s="38" t="n"/>
      <c r="G873" s="40" t="n"/>
      <c r="J873" s="31">
        <f>IF(INDIRECT(ADDRESS(ROW() + (0),COLUMN() + (1)))="Agregar cuotas", IF(("16%")="", "-", "16%"), IF(INDIRECT(ADDRESS(ROW() + (0),COLUMN() + (1)))="No agregar cuotas", IF(("16%")="", "-", "16%"), "-"))</f>
        <v/>
      </c>
      <c r="K873" s="0" t="n"/>
      <c r="L873" s="31">
        <f>IF(INDIRECT(ADDRESS(ROW() + (0),COLUMN() + (-1)))="Agregar cuotas", IF(("13.4%")="", "Sin costo", "13.4%"), IF(INDIRECT(ADDRESS(ROW() + (0),COLUMN() + (-1)))="No agregar cuotas", IF(("")="", "Sin costo", ""), "-"))</f>
        <v/>
      </c>
      <c r="M873" s="0" t="n"/>
      <c r="N873" s="0" t="n"/>
      <c r="O873" s="0" t="n"/>
      <c r="P873" s="47" t="n"/>
      <c r="R873" s="0" t="n"/>
      <c r="S873" s="0" t="n"/>
      <c r="U873" s="0" t="n"/>
      <c r="X873" s="0" t="n"/>
      <c r="AA873" s="0" t="n"/>
      <c r="AB8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3" s="53">
        <f>IF(OR(TRIM(INDIRECT("B"&amp;ROW())) &lt;&gt; "",TRIM(INDIRECT("A"&amp;ROW())) &lt;&gt; ""),AND(TRIM(INDIRECT("A"&amp;ROW())) &lt;&gt; "",TRIM(INDIRECT("D"&amp;ROW())) = "nuevo"),"")</f>
        <v/>
      </c>
    </row>
    <row r="874" ht="27.5" customHeight="1" s="62">
      <c r="C874" s="0">
        <f>LEN(INDIRECT(ADDRESS(ROW() + (0),COLUMN() + (-1))))</f>
        <v/>
      </c>
      <c r="D874" s="0" t="n"/>
      <c r="E874" s="38" t="n"/>
      <c r="G874" s="40" t="n"/>
      <c r="J874" s="31">
        <f>IF(INDIRECT(ADDRESS(ROW() + (0),COLUMN() + (1)))="Agregar cuotas", IF(("16%")="", "-", "16%"), IF(INDIRECT(ADDRESS(ROW() + (0),COLUMN() + (1)))="No agregar cuotas", IF(("16%")="", "-", "16%"), "-"))</f>
        <v/>
      </c>
      <c r="K874" s="0" t="n"/>
      <c r="L874" s="31">
        <f>IF(INDIRECT(ADDRESS(ROW() + (0),COLUMN() + (-1)))="Agregar cuotas", IF(("13.4%")="", "Sin costo", "13.4%"), IF(INDIRECT(ADDRESS(ROW() + (0),COLUMN() + (-1)))="No agregar cuotas", IF(("")="", "Sin costo", ""), "-"))</f>
        <v/>
      </c>
      <c r="M874" s="0" t="n"/>
      <c r="N874" s="0" t="n"/>
      <c r="O874" s="0" t="n"/>
      <c r="P874" s="47" t="n"/>
      <c r="R874" s="0" t="n"/>
      <c r="S874" s="0" t="n"/>
      <c r="U874" s="0" t="n"/>
      <c r="X874" s="0" t="n"/>
      <c r="AA874" s="0" t="n"/>
      <c r="AB8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4" s="53">
        <f>IF(OR(TRIM(INDIRECT("B"&amp;ROW())) &lt;&gt; "",TRIM(INDIRECT("A"&amp;ROW())) &lt;&gt; ""),AND(TRIM(INDIRECT("A"&amp;ROW())) &lt;&gt; "",TRIM(INDIRECT("D"&amp;ROW())) = "nuevo"),"")</f>
        <v/>
      </c>
    </row>
    <row r="875" ht="27.5" customHeight="1" s="62">
      <c r="C875" s="0">
        <f>LEN(INDIRECT(ADDRESS(ROW() + (0),COLUMN() + (-1))))</f>
        <v/>
      </c>
      <c r="D875" s="0" t="n"/>
      <c r="E875" s="38" t="n"/>
      <c r="G875" s="40" t="n"/>
      <c r="J875" s="31">
        <f>IF(INDIRECT(ADDRESS(ROW() + (0),COLUMN() + (1)))="Agregar cuotas", IF(("16%")="", "-", "16%"), IF(INDIRECT(ADDRESS(ROW() + (0),COLUMN() + (1)))="No agregar cuotas", IF(("16%")="", "-", "16%"), "-"))</f>
        <v/>
      </c>
      <c r="K875" s="0" t="n"/>
      <c r="L875" s="31">
        <f>IF(INDIRECT(ADDRESS(ROW() + (0),COLUMN() + (-1)))="Agregar cuotas", IF(("13.4%")="", "Sin costo", "13.4%"), IF(INDIRECT(ADDRESS(ROW() + (0),COLUMN() + (-1)))="No agregar cuotas", IF(("")="", "Sin costo", ""), "-"))</f>
        <v/>
      </c>
      <c r="M875" s="0" t="n"/>
      <c r="N875" s="0" t="n"/>
      <c r="O875" s="0" t="n"/>
      <c r="P875" s="47" t="n"/>
      <c r="R875" s="0" t="n"/>
      <c r="S875" s="0" t="n"/>
      <c r="U875" s="0" t="n"/>
      <c r="X875" s="0" t="n"/>
      <c r="AA875" s="0" t="n"/>
      <c r="AB8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5" s="53">
        <f>IF(OR(TRIM(INDIRECT("B"&amp;ROW())) &lt;&gt; "",TRIM(INDIRECT("A"&amp;ROW())) &lt;&gt; ""),AND(TRIM(INDIRECT("A"&amp;ROW())) &lt;&gt; "",TRIM(INDIRECT("D"&amp;ROW())) = "nuevo"),"")</f>
        <v/>
      </c>
    </row>
    <row r="876" ht="27.5" customHeight="1" s="62">
      <c r="C876" s="0">
        <f>LEN(INDIRECT(ADDRESS(ROW() + (0),COLUMN() + (-1))))</f>
        <v/>
      </c>
      <c r="D876" s="0" t="n"/>
      <c r="E876" s="38" t="n"/>
      <c r="G876" s="40" t="n"/>
      <c r="J876" s="31">
        <f>IF(INDIRECT(ADDRESS(ROW() + (0),COLUMN() + (1)))="Agregar cuotas", IF(("16%")="", "-", "16%"), IF(INDIRECT(ADDRESS(ROW() + (0),COLUMN() + (1)))="No agregar cuotas", IF(("16%")="", "-", "16%"), "-"))</f>
        <v/>
      </c>
      <c r="K876" s="0" t="n"/>
      <c r="L876" s="31">
        <f>IF(INDIRECT(ADDRESS(ROW() + (0),COLUMN() + (-1)))="Agregar cuotas", IF(("13.4%")="", "Sin costo", "13.4%"), IF(INDIRECT(ADDRESS(ROW() + (0),COLUMN() + (-1)))="No agregar cuotas", IF(("")="", "Sin costo", ""), "-"))</f>
        <v/>
      </c>
      <c r="M876" s="0" t="n"/>
      <c r="N876" s="0" t="n"/>
      <c r="O876" s="0" t="n"/>
      <c r="P876" s="47" t="n"/>
      <c r="R876" s="0" t="n"/>
      <c r="S876" s="0" t="n"/>
      <c r="U876" s="0" t="n"/>
      <c r="X876" s="0" t="n"/>
      <c r="AA876" s="0" t="n"/>
      <c r="AB8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6" s="53">
        <f>IF(OR(TRIM(INDIRECT("B"&amp;ROW())) &lt;&gt; "",TRIM(INDIRECT("A"&amp;ROW())) &lt;&gt; ""),AND(TRIM(INDIRECT("A"&amp;ROW())) &lt;&gt; "",TRIM(INDIRECT("D"&amp;ROW())) = "nuevo"),"")</f>
        <v/>
      </c>
    </row>
    <row r="877" ht="27.5" customHeight="1" s="62">
      <c r="C877" s="0">
        <f>LEN(INDIRECT(ADDRESS(ROW() + (0),COLUMN() + (-1))))</f>
        <v/>
      </c>
      <c r="D877" s="0" t="n"/>
      <c r="E877" s="38" t="n"/>
      <c r="G877" s="40" t="n"/>
      <c r="J877" s="31">
        <f>IF(INDIRECT(ADDRESS(ROW() + (0),COLUMN() + (1)))="Agregar cuotas", IF(("16%")="", "-", "16%"), IF(INDIRECT(ADDRESS(ROW() + (0),COLUMN() + (1)))="No agregar cuotas", IF(("16%")="", "-", "16%"), "-"))</f>
        <v/>
      </c>
      <c r="K877" s="0" t="n"/>
      <c r="L877" s="31">
        <f>IF(INDIRECT(ADDRESS(ROW() + (0),COLUMN() + (-1)))="Agregar cuotas", IF(("13.4%")="", "Sin costo", "13.4%"), IF(INDIRECT(ADDRESS(ROW() + (0),COLUMN() + (-1)))="No agregar cuotas", IF(("")="", "Sin costo", ""), "-"))</f>
        <v/>
      </c>
      <c r="M877" s="0" t="n"/>
      <c r="N877" s="0" t="n"/>
      <c r="O877" s="0" t="n"/>
      <c r="P877" s="47" t="n"/>
      <c r="R877" s="0" t="n"/>
      <c r="S877" s="0" t="n"/>
      <c r="U877" s="0" t="n"/>
      <c r="X877" s="0" t="n"/>
      <c r="AA877" s="0" t="n"/>
      <c r="AB8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7" s="53">
        <f>IF(OR(TRIM(INDIRECT("B"&amp;ROW())) &lt;&gt; "",TRIM(INDIRECT("A"&amp;ROW())) &lt;&gt; ""),AND(TRIM(INDIRECT("A"&amp;ROW())) &lt;&gt; "",TRIM(INDIRECT("D"&amp;ROW())) = "nuevo"),"")</f>
        <v/>
      </c>
    </row>
    <row r="878" ht="27.5" customHeight="1" s="62">
      <c r="C878" s="0">
        <f>LEN(INDIRECT(ADDRESS(ROW() + (0),COLUMN() + (-1))))</f>
        <v/>
      </c>
      <c r="D878" s="0" t="n"/>
      <c r="E878" s="38" t="n"/>
      <c r="G878" s="40" t="n"/>
      <c r="J878" s="31">
        <f>IF(INDIRECT(ADDRESS(ROW() + (0),COLUMN() + (1)))="Agregar cuotas", IF(("16%")="", "-", "16%"), IF(INDIRECT(ADDRESS(ROW() + (0),COLUMN() + (1)))="No agregar cuotas", IF(("16%")="", "-", "16%"), "-"))</f>
        <v/>
      </c>
      <c r="K878" s="0" t="n"/>
      <c r="L878" s="31">
        <f>IF(INDIRECT(ADDRESS(ROW() + (0),COLUMN() + (-1)))="Agregar cuotas", IF(("13.4%")="", "Sin costo", "13.4%"), IF(INDIRECT(ADDRESS(ROW() + (0),COLUMN() + (-1)))="No agregar cuotas", IF(("")="", "Sin costo", ""), "-"))</f>
        <v/>
      </c>
      <c r="M878" s="0" t="n"/>
      <c r="N878" s="0" t="n"/>
      <c r="O878" s="0" t="n"/>
      <c r="P878" s="47" t="n"/>
      <c r="R878" s="0" t="n"/>
      <c r="S878" s="0" t="n"/>
      <c r="U878" s="0" t="n"/>
      <c r="X878" s="0" t="n"/>
      <c r="AA878" s="0" t="n"/>
      <c r="AB8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8" s="53">
        <f>IF(OR(TRIM(INDIRECT("B"&amp;ROW())) &lt;&gt; "",TRIM(INDIRECT("A"&amp;ROW())) &lt;&gt; ""),AND(TRIM(INDIRECT("A"&amp;ROW())) &lt;&gt; "",TRIM(INDIRECT("D"&amp;ROW())) = "nuevo"),"")</f>
        <v/>
      </c>
    </row>
    <row r="879" ht="27.5" customHeight="1" s="62">
      <c r="C879" s="0">
        <f>LEN(INDIRECT(ADDRESS(ROW() + (0),COLUMN() + (-1))))</f>
        <v/>
      </c>
      <c r="D879" s="0" t="n"/>
      <c r="E879" s="38" t="n"/>
      <c r="G879" s="40" t="n"/>
      <c r="J879" s="31">
        <f>IF(INDIRECT(ADDRESS(ROW() + (0),COLUMN() + (1)))="Agregar cuotas", IF(("16%")="", "-", "16%"), IF(INDIRECT(ADDRESS(ROW() + (0),COLUMN() + (1)))="No agregar cuotas", IF(("16%")="", "-", "16%"), "-"))</f>
        <v/>
      </c>
      <c r="K879" s="0" t="n"/>
      <c r="L879" s="31">
        <f>IF(INDIRECT(ADDRESS(ROW() + (0),COLUMN() + (-1)))="Agregar cuotas", IF(("13.4%")="", "Sin costo", "13.4%"), IF(INDIRECT(ADDRESS(ROW() + (0),COLUMN() + (-1)))="No agregar cuotas", IF(("")="", "Sin costo", ""), "-"))</f>
        <v/>
      </c>
      <c r="M879" s="0" t="n"/>
      <c r="N879" s="0" t="n"/>
      <c r="O879" s="0" t="n"/>
      <c r="P879" s="47" t="n"/>
      <c r="R879" s="0" t="n"/>
      <c r="S879" s="0" t="n"/>
      <c r="U879" s="0" t="n"/>
      <c r="X879" s="0" t="n"/>
      <c r="AA879" s="0" t="n"/>
      <c r="AB8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79" s="53">
        <f>IF(OR(TRIM(INDIRECT("B"&amp;ROW())) &lt;&gt; "",TRIM(INDIRECT("A"&amp;ROW())) &lt;&gt; ""),AND(TRIM(INDIRECT("A"&amp;ROW())) &lt;&gt; "",TRIM(INDIRECT("D"&amp;ROW())) = "nuevo"),"")</f>
        <v/>
      </c>
    </row>
    <row r="880" ht="27.5" customHeight="1" s="62">
      <c r="C880" s="0">
        <f>LEN(INDIRECT(ADDRESS(ROW() + (0),COLUMN() + (-1))))</f>
        <v/>
      </c>
      <c r="D880" s="0" t="n"/>
      <c r="E880" s="38" t="n"/>
      <c r="G880" s="40" t="n"/>
      <c r="J880" s="31">
        <f>IF(INDIRECT(ADDRESS(ROW() + (0),COLUMN() + (1)))="Agregar cuotas", IF(("16%")="", "-", "16%"), IF(INDIRECT(ADDRESS(ROW() + (0),COLUMN() + (1)))="No agregar cuotas", IF(("16%")="", "-", "16%"), "-"))</f>
        <v/>
      </c>
      <c r="K880" s="0" t="n"/>
      <c r="L880" s="31">
        <f>IF(INDIRECT(ADDRESS(ROW() + (0),COLUMN() + (-1)))="Agregar cuotas", IF(("13.4%")="", "Sin costo", "13.4%"), IF(INDIRECT(ADDRESS(ROW() + (0),COLUMN() + (-1)))="No agregar cuotas", IF(("")="", "Sin costo", ""), "-"))</f>
        <v/>
      </c>
      <c r="M880" s="0" t="n"/>
      <c r="N880" s="0" t="n"/>
      <c r="O880" s="0" t="n"/>
      <c r="P880" s="47" t="n"/>
      <c r="R880" s="0" t="n"/>
      <c r="S880" s="0" t="n"/>
      <c r="U880" s="0" t="n"/>
      <c r="X880" s="0" t="n"/>
      <c r="AA880" s="0" t="n"/>
      <c r="AB8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0" s="53">
        <f>IF(OR(TRIM(INDIRECT("B"&amp;ROW())) &lt;&gt; "",TRIM(INDIRECT("A"&amp;ROW())) &lt;&gt; ""),AND(TRIM(INDIRECT("A"&amp;ROW())) &lt;&gt; "",TRIM(INDIRECT("D"&amp;ROW())) = "nuevo"),"")</f>
        <v/>
      </c>
    </row>
    <row r="881" ht="27.5" customHeight="1" s="62">
      <c r="C881" s="0">
        <f>LEN(INDIRECT(ADDRESS(ROW() + (0),COLUMN() + (-1))))</f>
        <v/>
      </c>
      <c r="D881" s="0" t="n"/>
      <c r="E881" s="38" t="n"/>
      <c r="G881" s="40" t="n"/>
      <c r="J881" s="31">
        <f>IF(INDIRECT(ADDRESS(ROW() + (0),COLUMN() + (1)))="Agregar cuotas", IF(("16%")="", "-", "16%"), IF(INDIRECT(ADDRESS(ROW() + (0),COLUMN() + (1)))="No agregar cuotas", IF(("16%")="", "-", "16%"), "-"))</f>
        <v/>
      </c>
      <c r="K881" s="0" t="n"/>
      <c r="L881" s="31">
        <f>IF(INDIRECT(ADDRESS(ROW() + (0),COLUMN() + (-1)))="Agregar cuotas", IF(("13.4%")="", "Sin costo", "13.4%"), IF(INDIRECT(ADDRESS(ROW() + (0),COLUMN() + (-1)))="No agregar cuotas", IF(("")="", "Sin costo", ""), "-"))</f>
        <v/>
      </c>
      <c r="M881" s="0" t="n"/>
      <c r="N881" s="0" t="n"/>
      <c r="O881" s="0" t="n"/>
      <c r="P881" s="47" t="n"/>
      <c r="R881" s="0" t="n"/>
      <c r="S881" s="0" t="n"/>
      <c r="U881" s="0" t="n"/>
      <c r="X881" s="0" t="n"/>
      <c r="AA881" s="0" t="n"/>
      <c r="AB8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1" s="53">
        <f>IF(OR(TRIM(INDIRECT("B"&amp;ROW())) &lt;&gt; "",TRIM(INDIRECT("A"&amp;ROW())) &lt;&gt; ""),AND(TRIM(INDIRECT("A"&amp;ROW())) &lt;&gt; "",TRIM(INDIRECT("D"&amp;ROW())) = "nuevo"),"")</f>
        <v/>
      </c>
    </row>
    <row r="882" ht="27.5" customHeight="1" s="62">
      <c r="C882" s="0">
        <f>LEN(INDIRECT(ADDRESS(ROW() + (0),COLUMN() + (-1))))</f>
        <v/>
      </c>
      <c r="D882" s="0" t="n"/>
      <c r="E882" s="38" t="n"/>
      <c r="G882" s="40" t="n"/>
      <c r="J882" s="31">
        <f>IF(INDIRECT(ADDRESS(ROW() + (0),COLUMN() + (1)))="Agregar cuotas", IF(("16%")="", "-", "16%"), IF(INDIRECT(ADDRESS(ROW() + (0),COLUMN() + (1)))="No agregar cuotas", IF(("16%")="", "-", "16%"), "-"))</f>
        <v/>
      </c>
      <c r="K882" s="0" t="n"/>
      <c r="L882" s="31">
        <f>IF(INDIRECT(ADDRESS(ROW() + (0),COLUMN() + (-1)))="Agregar cuotas", IF(("13.4%")="", "Sin costo", "13.4%"), IF(INDIRECT(ADDRESS(ROW() + (0),COLUMN() + (-1)))="No agregar cuotas", IF(("")="", "Sin costo", ""), "-"))</f>
        <v/>
      </c>
      <c r="M882" s="0" t="n"/>
      <c r="N882" s="0" t="n"/>
      <c r="O882" s="0" t="n"/>
      <c r="P882" s="47" t="n"/>
      <c r="R882" s="0" t="n"/>
      <c r="S882" s="0" t="n"/>
      <c r="U882" s="0" t="n"/>
      <c r="X882" s="0" t="n"/>
      <c r="AA882" s="0" t="n"/>
      <c r="AB8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2" s="53">
        <f>IF(OR(TRIM(INDIRECT("B"&amp;ROW())) &lt;&gt; "",TRIM(INDIRECT("A"&amp;ROW())) &lt;&gt; ""),AND(TRIM(INDIRECT("A"&amp;ROW())) &lt;&gt; "",TRIM(INDIRECT("D"&amp;ROW())) = "nuevo"),"")</f>
        <v/>
      </c>
    </row>
    <row r="883" ht="27.5" customHeight="1" s="62">
      <c r="C883" s="0">
        <f>LEN(INDIRECT(ADDRESS(ROW() + (0),COLUMN() + (-1))))</f>
        <v/>
      </c>
      <c r="D883" s="0" t="n"/>
      <c r="E883" s="38" t="n"/>
      <c r="G883" s="40" t="n"/>
      <c r="J883" s="31">
        <f>IF(INDIRECT(ADDRESS(ROW() + (0),COLUMN() + (1)))="Agregar cuotas", IF(("16%")="", "-", "16%"), IF(INDIRECT(ADDRESS(ROW() + (0),COLUMN() + (1)))="No agregar cuotas", IF(("16%")="", "-", "16%"), "-"))</f>
        <v/>
      </c>
      <c r="K883" s="0" t="n"/>
      <c r="L883" s="31">
        <f>IF(INDIRECT(ADDRESS(ROW() + (0),COLUMN() + (-1)))="Agregar cuotas", IF(("13.4%")="", "Sin costo", "13.4%"), IF(INDIRECT(ADDRESS(ROW() + (0),COLUMN() + (-1)))="No agregar cuotas", IF(("")="", "Sin costo", ""), "-"))</f>
        <v/>
      </c>
      <c r="M883" s="0" t="n"/>
      <c r="N883" s="0" t="n"/>
      <c r="O883" s="0" t="n"/>
      <c r="P883" s="47" t="n"/>
      <c r="R883" s="0" t="n"/>
      <c r="S883" s="0" t="n"/>
      <c r="U883" s="0" t="n"/>
      <c r="X883" s="0" t="n"/>
      <c r="AA883" s="0" t="n"/>
      <c r="AB8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3" s="53">
        <f>IF(OR(TRIM(INDIRECT("B"&amp;ROW())) &lt;&gt; "",TRIM(INDIRECT("A"&amp;ROW())) &lt;&gt; ""),AND(TRIM(INDIRECT("A"&amp;ROW())) &lt;&gt; "",TRIM(INDIRECT("D"&amp;ROW())) = "nuevo"),"")</f>
        <v/>
      </c>
    </row>
    <row r="884" ht="27.5" customHeight="1" s="62">
      <c r="C884" s="0">
        <f>LEN(INDIRECT(ADDRESS(ROW() + (0),COLUMN() + (-1))))</f>
        <v/>
      </c>
      <c r="D884" s="0" t="n"/>
      <c r="E884" s="38" t="n"/>
      <c r="G884" s="40" t="n"/>
      <c r="J884" s="31">
        <f>IF(INDIRECT(ADDRESS(ROW() + (0),COLUMN() + (1)))="Agregar cuotas", IF(("16%")="", "-", "16%"), IF(INDIRECT(ADDRESS(ROW() + (0),COLUMN() + (1)))="No agregar cuotas", IF(("16%")="", "-", "16%"), "-"))</f>
        <v/>
      </c>
      <c r="K884" s="0" t="n"/>
      <c r="L884" s="31">
        <f>IF(INDIRECT(ADDRESS(ROW() + (0),COLUMN() + (-1)))="Agregar cuotas", IF(("13.4%")="", "Sin costo", "13.4%"), IF(INDIRECT(ADDRESS(ROW() + (0),COLUMN() + (-1)))="No agregar cuotas", IF(("")="", "Sin costo", ""), "-"))</f>
        <v/>
      </c>
      <c r="M884" s="0" t="n"/>
      <c r="N884" s="0" t="n"/>
      <c r="O884" s="0" t="n"/>
      <c r="P884" s="47" t="n"/>
      <c r="R884" s="0" t="n"/>
      <c r="S884" s="0" t="n"/>
      <c r="U884" s="0" t="n"/>
      <c r="X884" s="0" t="n"/>
      <c r="AA884" s="0" t="n"/>
      <c r="AB8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4" s="53">
        <f>IF(OR(TRIM(INDIRECT("B"&amp;ROW())) &lt;&gt; "",TRIM(INDIRECT("A"&amp;ROW())) &lt;&gt; ""),AND(TRIM(INDIRECT("A"&amp;ROW())) &lt;&gt; "",TRIM(INDIRECT("D"&amp;ROW())) = "nuevo"),"")</f>
        <v/>
      </c>
    </row>
    <row r="885" ht="27.5" customHeight="1" s="62">
      <c r="C885" s="0">
        <f>LEN(INDIRECT(ADDRESS(ROW() + (0),COLUMN() + (-1))))</f>
        <v/>
      </c>
      <c r="D885" s="0" t="n"/>
      <c r="E885" s="38" t="n"/>
      <c r="G885" s="40" t="n"/>
      <c r="J885" s="31">
        <f>IF(INDIRECT(ADDRESS(ROW() + (0),COLUMN() + (1)))="Agregar cuotas", IF(("16%")="", "-", "16%"), IF(INDIRECT(ADDRESS(ROW() + (0),COLUMN() + (1)))="No agregar cuotas", IF(("16%")="", "-", "16%"), "-"))</f>
        <v/>
      </c>
      <c r="K885" s="0" t="n"/>
      <c r="L885" s="31">
        <f>IF(INDIRECT(ADDRESS(ROW() + (0),COLUMN() + (-1)))="Agregar cuotas", IF(("13.4%")="", "Sin costo", "13.4%"), IF(INDIRECT(ADDRESS(ROW() + (0),COLUMN() + (-1)))="No agregar cuotas", IF(("")="", "Sin costo", ""), "-"))</f>
        <v/>
      </c>
      <c r="M885" s="0" t="n"/>
      <c r="N885" s="0" t="n"/>
      <c r="O885" s="0" t="n"/>
      <c r="P885" s="47" t="n"/>
      <c r="R885" s="0" t="n"/>
      <c r="S885" s="0" t="n"/>
      <c r="U885" s="0" t="n"/>
      <c r="X885" s="0" t="n"/>
      <c r="AA885" s="0" t="n"/>
      <c r="AB8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5" s="53">
        <f>IF(OR(TRIM(INDIRECT("B"&amp;ROW())) &lt;&gt; "",TRIM(INDIRECT("A"&amp;ROW())) &lt;&gt; ""),AND(TRIM(INDIRECT("A"&amp;ROW())) &lt;&gt; "",TRIM(INDIRECT("D"&amp;ROW())) = "nuevo"),"")</f>
        <v/>
      </c>
    </row>
    <row r="886" ht="27.5" customHeight="1" s="62">
      <c r="C886" s="0">
        <f>LEN(INDIRECT(ADDRESS(ROW() + (0),COLUMN() + (-1))))</f>
        <v/>
      </c>
      <c r="D886" s="0" t="n"/>
      <c r="E886" s="38" t="n"/>
      <c r="G886" s="40" t="n"/>
      <c r="J886" s="31">
        <f>IF(INDIRECT(ADDRESS(ROW() + (0),COLUMN() + (1)))="Agregar cuotas", IF(("16%")="", "-", "16%"), IF(INDIRECT(ADDRESS(ROW() + (0),COLUMN() + (1)))="No agregar cuotas", IF(("16%")="", "-", "16%"), "-"))</f>
        <v/>
      </c>
      <c r="K886" s="0" t="n"/>
      <c r="L886" s="31">
        <f>IF(INDIRECT(ADDRESS(ROW() + (0),COLUMN() + (-1)))="Agregar cuotas", IF(("13.4%")="", "Sin costo", "13.4%"), IF(INDIRECT(ADDRESS(ROW() + (0),COLUMN() + (-1)))="No agregar cuotas", IF(("")="", "Sin costo", ""), "-"))</f>
        <v/>
      </c>
      <c r="M886" s="0" t="n"/>
      <c r="N886" s="0" t="n"/>
      <c r="O886" s="0" t="n"/>
      <c r="P886" s="47" t="n"/>
      <c r="R886" s="0" t="n"/>
      <c r="S886" s="0" t="n"/>
      <c r="U886" s="0" t="n"/>
      <c r="X886" s="0" t="n"/>
      <c r="AA886" s="0" t="n"/>
      <c r="AB8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6" s="53">
        <f>IF(OR(TRIM(INDIRECT("B"&amp;ROW())) &lt;&gt; "",TRIM(INDIRECT("A"&amp;ROW())) &lt;&gt; ""),AND(TRIM(INDIRECT("A"&amp;ROW())) &lt;&gt; "",TRIM(INDIRECT("D"&amp;ROW())) = "nuevo"),"")</f>
        <v/>
      </c>
    </row>
    <row r="887" ht="27.5" customHeight="1" s="62">
      <c r="C887" s="0">
        <f>LEN(INDIRECT(ADDRESS(ROW() + (0),COLUMN() + (-1))))</f>
        <v/>
      </c>
      <c r="D887" s="0" t="n"/>
      <c r="E887" s="38" t="n"/>
      <c r="G887" s="40" t="n"/>
      <c r="J887" s="31">
        <f>IF(INDIRECT(ADDRESS(ROW() + (0),COLUMN() + (1)))="Agregar cuotas", IF(("16%")="", "-", "16%"), IF(INDIRECT(ADDRESS(ROW() + (0),COLUMN() + (1)))="No agregar cuotas", IF(("16%")="", "-", "16%"), "-"))</f>
        <v/>
      </c>
      <c r="K887" s="0" t="n"/>
      <c r="L887" s="31">
        <f>IF(INDIRECT(ADDRESS(ROW() + (0),COLUMN() + (-1)))="Agregar cuotas", IF(("13.4%")="", "Sin costo", "13.4%"), IF(INDIRECT(ADDRESS(ROW() + (0),COLUMN() + (-1)))="No agregar cuotas", IF(("")="", "Sin costo", ""), "-"))</f>
        <v/>
      </c>
      <c r="M887" s="0" t="n"/>
      <c r="N887" s="0" t="n"/>
      <c r="O887" s="0" t="n"/>
      <c r="P887" s="47" t="n"/>
      <c r="R887" s="0" t="n"/>
      <c r="S887" s="0" t="n"/>
      <c r="U887" s="0" t="n"/>
      <c r="X887" s="0" t="n"/>
      <c r="AA887" s="0" t="n"/>
      <c r="AB8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7" s="53">
        <f>IF(OR(TRIM(INDIRECT("B"&amp;ROW())) &lt;&gt; "",TRIM(INDIRECT("A"&amp;ROW())) &lt;&gt; ""),AND(TRIM(INDIRECT("A"&amp;ROW())) &lt;&gt; "",TRIM(INDIRECT("D"&amp;ROW())) = "nuevo"),"")</f>
        <v/>
      </c>
    </row>
    <row r="888" ht="27.5" customHeight="1" s="62">
      <c r="C888" s="0">
        <f>LEN(INDIRECT(ADDRESS(ROW() + (0),COLUMN() + (-1))))</f>
        <v/>
      </c>
      <c r="D888" s="0" t="n"/>
      <c r="E888" s="38" t="n"/>
      <c r="G888" s="40" t="n"/>
      <c r="J888" s="31">
        <f>IF(INDIRECT(ADDRESS(ROW() + (0),COLUMN() + (1)))="Agregar cuotas", IF(("16%")="", "-", "16%"), IF(INDIRECT(ADDRESS(ROW() + (0),COLUMN() + (1)))="No agregar cuotas", IF(("16%")="", "-", "16%"), "-"))</f>
        <v/>
      </c>
      <c r="K888" s="0" t="n"/>
      <c r="L888" s="31">
        <f>IF(INDIRECT(ADDRESS(ROW() + (0),COLUMN() + (-1)))="Agregar cuotas", IF(("13.4%")="", "Sin costo", "13.4%"), IF(INDIRECT(ADDRESS(ROW() + (0),COLUMN() + (-1)))="No agregar cuotas", IF(("")="", "Sin costo", ""), "-"))</f>
        <v/>
      </c>
      <c r="M888" s="0" t="n"/>
      <c r="N888" s="0" t="n"/>
      <c r="O888" s="0" t="n"/>
      <c r="P888" s="47" t="n"/>
      <c r="R888" s="0" t="n"/>
      <c r="S888" s="0" t="n"/>
      <c r="U888" s="0" t="n"/>
      <c r="X888" s="0" t="n"/>
      <c r="AA888" s="0" t="n"/>
      <c r="AB8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8" s="53">
        <f>IF(OR(TRIM(INDIRECT("B"&amp;ROW())) &lt;&gt; "",TRIM(INDIRECT("A"&amp;ROW())) &lt;&gt; ""),AND(TRIM(INDIRECT("A"&amp;ROW())) &lt;&gt; "",TRIM(INDIRECT("D"&amp;ROW())) = "nuevo"),"")</f>
        <v/>
      </c>
    </row>
    <row r="889" ht="27.5" customHeight="1" s="62">
      <c r="C889" s="0">
        <f>LEN(INDIRECT(ADDRESS(ROW() + (0),COLUMN() + (-1))))</f>
        <v/>
      </c>
      <c r="D889" s="0" t="n"/>
      <c r="E889" s="38" t="n"/>
      <c r="G889" s="40" t="n"/>
      <c r="J889" s="31">
        <f>IF(INDIRECT(ADDRESS(ROW() + (0),COLUMN() + (1)))="Agregar cuotas", IF(("16%")="", "-", "16%"), IF(INDIRECT(ADDRESS(ROW() + (0),COLUMN() + (1)))="No agregar cuotas", IF(("16%")="", "-", "16%"), "-"))</f>
        <v/>
      </c>
      <c r="K889" s="0" t="n"/>
      <c r="L889" s="31">
        <f>IF(INDIRECT(ADDRESS(ROW() + (0),COLUMN() + (-1)))="Agregar cuotas", IF(("13.4%")="", "Sin costo", "13.4%"), IF(INDIRECT(ADDRESS(ROW() + (0),COLUMN() + (-1)))="No agregar cuotas", IF(("")="", "Sin costo", ""), "-"))</f>
        <v/>
      </c>
      <c r="M889" s="0" t="n"/>
      <c r="N889" s="0" t="n"/>
      <c r="O889" s="0" t="n"/>
      <c r="P889" s="47" t="n"/>
      <c r="R889" s="0" t="n"/>
      <c r="S889" s="0" t="n"/>
      <c r="U889" s="0" t="n"/>
      <c r="X889" s="0" t="n"/>
      <c r="AA889" s="0" t="n"/>
      <c r="AB8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89" s="53">
        <f>IF(OR(TRIM(INDIRECT("B"&amp;ROW())) &lt;&gt; "",TRIM(INDIRECT("A"&amp;ROW())) &lt;&gt; ""),AND(TRIM(INDIRECT("A"&amp;ROW())) &lt;&gt; "",TRIM(INDIRECT("D"&amp;ROW())) = "nuevo"),"")</f>
        <v/>
      </c>
    </row>
    <row r="890" ht="27.5" customHeight="1" s="62">
      <c r="C890" s="0">
        <f>LEN(INDIRECT(ADDRESS(ROW() + (0),COLUMN() + (-1))))</f>
        <v/>
      </c>
      <c r="D890" s="0" t="n"/>
      <c r="E890" s="38" t="n"/>
      <c r="G890" s="40" t="n"/>
      <c r="J890" s="31">
        <f>IF(INDIRECT(ADDRESS(ROW() + (0),COLUMN() + (1)))="Agregar cuotas", IF(("16%")="", "-", "16%"), IF(INDIRECT(ADDRESS(ROW() + (0),COLUMN() + (1)))="No agregar cuotas", IF(("16%")="", "-", "16%"), "-"))</f>
        <v/>
      </c>
      <c r="K890" s="0" t="n"/>
      <c r="L890" s="31">
        <f>IF(INDIRECT(ADDRESS(ROW() + (0),COLUMN() + (-1)))="Agregar cuotas", IF(("13.4%")="", "Sin costo", "13.4%"), IF(INDIRECT(ADDRESS(ROW() + (0),COLUMN() + (-1)))="No agregar cuotas", IF(("")="", "Sin costo", ""), "-"))</f>
        <v/>
      </c>
      <c r="M890" s="0" t="n"/>
      <c r="N890" s="0" t="n"/>
      <c r="O890" s="0" t="n"/>
      <c r="P890" s="47" t="n"/>
      <c r="R890" s="0" t="n"/>
      <c r="S890" s="0" t="n"/>
      <c r="U890" s="0" t="n"/>
      <c r="X890" s="0" t="n"/>
      <c r="AA890" s="0" t="n"/>
      <c r="AB8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0" s="53">
        <f>IF(OR(TRIM(INDIRECT("B"&amp;ROW())) &lt;&gt; "",TRIM(INDIRECT("A"&amp;ROW())) &lt;&gt; ""),AND(TRIM(INDIRECT("A"&amp;ROW())) &lt;&gt; "",TRIM(INDIRECT("D"&amp;ROW())) = "nuevo"),"")</f>
        <v/>
      </c>
    </row>
    <row r="891" ht="27.5" customHeight="1" s="62">
      <c r="C891" s="0">
        <f>LEN(INDIRECT(ADDRESS(ROW() + (0),COLUMN() + (-1))))</f>
        <v/>
      </c>
      <c r="D891" s="0" t="n"/>
      <c r="E891" s="38" t="n"/>
      <c r="G891" s="40" t="n"/>
      <c r="J891" s="31">
        <f>IF(INDIRECT(ADDRESS(ROW() + (0),COLUMN() + (1)))="Agregar cuotas", IF(("16%")="", "-", "16%"), IF(INDIRECT(ADDRESS(ROW() + (0),COLUMN() + (1)))="No agregar cuotas", IF(("16%")="", "-", "16%"), "-"))</f>
        <v/>
      </c>
      <c r="K891" s="0" t="n"/>
      <c r="L891" s="31">
        <f>IF(INDIRECT(ADDRESS(ROW() + (0),COLUMN() + (-1)))="Agregar cuotas", IF(("13.4%")="", "Sin costo", "13.4%"), IF(INDIRECT(ADDRESS(ROW() + (0),COLUMN() + (-1)))="No agregar cuotas", IF(("")="", "Sin costo", ""), "-"))</f>
        <v/>
      </c>
      <c r="M891" s="0" t="n"/>
      <c r="N891" s="0" t="n"/>
      <c r="O891" s="0" t="n"/>
      <c r="P891" s="47" t="n"/>
      <c r="R891" s="0" t="n"/>
      <c r="S891" s="0" t="n"/>
      <c r="U891" s="0" t="n"/>
      <c r="X891" s="0" t="n"/>
      <c r="AA891" s="0" t="n"/>
      <c r="AB8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1" s="53">
        <f>IF(OR(TRIM(INDIRECT("B"&amp;ROW())) &lt;&gt; "",TRIM(INDIRECT("A"&amp;ROW())) &lt;&gt; ""),AND(TRIM(INDIRECT("A"&amp;ROW())) &lt;&gt; "",TRIM(INDIRECT("D"&amp;ROW())) = "nuevo"),"")</f>
        <v/>
      </c>
    </row>
    <row r="892" ht="27.5" customHeight="1" s="62">
      <c r="C892" s="0">
        <f>LEN(INDIRECT(ADDRESS(ROW() + (0),COLUMN() + (-1))))</f>
        <v/>
      </c>
      <c r="D892" s="0" t="n"/>
      <c r="E892" s="38" t="n"/>
      <c r="G892" s="40" t="n"/>
      <c r="J892" s="31">
        <f>IF(INDIRECT(ADDRESS(ROW() + (0),COLUMN() + (1)))="Agregar cuotas", IF(("16%")="", "-", "16%"), IF(INDIRECT(ADDRESS(ROW() + (0),COLUMN() + (1)))="No agregar cuotas", IF(("16%")="", "-", "16%"), "-"))</f>
        <v/>
      </c>
      <c r="K892" s="0" t="n"/>
      <c r="L892" s="31">
        <f>IF(INDIRECT(ADDRESS(ROW() + (0),COLUMN() + (-1)))="Agregar cuotas", IF(("13.4%")="", "Sin costo", "13.4%"), IF(INDIRECT(ADDRESS(ROW() + (0),COLUMN() + (-1)))="No agregar cuotas", IF(("")="", "Sin costo", ""), "-"))</f>
        <v/>
      </c>
      <c r="M892" s="0" t="n"/>
      <c r="N892" s="0" t="n"/>
      <c r="O892" s="0" t="n"/>
      <c r="P892" s="47" t="n"/>
      <c r="R892" s="0" t="n"/>
      <c r="S892" s="0" t="n"/>
      <c r="U892" s="0" t="n"/>
      <c r="X892" s="0" t="n"/>
      <c r="AA892" s="0" t="n"/>
      <c r="AB8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2" s="53">
        <f>IF(OR(TRIM(INDIRECT("B"&amp;ROW())) &lt;&gt; "",TRIM(INDIRECT("A"&amp;ROW())) &lt;&gt; ""),AND(TRIM(INDIRECT("A"&amp;ROW())) &lt;&gt; "",TRIM(INDIRECT("D"&amp;ROW())) = "nuevo"),"")</f>
        <v/>
      </c>
    </row>
    <row r="893" ht="27.5" customHeight="1" s="62">
      <c r="C893" s="0">
        <f>LEN(INDIRECT(ADDRESS(ROW() + (0),COLUMN() + (-1))))</f>
        <v/>
      </c>
      <c r="D893" s="0" t="n"/>
      <c r="E893" s="38" t="n"/>
      <c r="G893" s="40" t="n"/>
      <c r="J893" s="31">
        <f>IF(INDIRECT(ADDRESS(ROW() + (0),COLUMN() + (1)))="Agregar cuotas", IF(("16%")="", "-", "16%"), IF(INDIRECT(ADDRESS(ROW() + (0),COLUMN() + (1)))="No agregar cuotas", IF(("16%")="", "-", "16%"), "-"))</f>
        <v/>
      </c>
      <c r="K893" s="0" t="n"/>
      <c r="L893" s="31">
        <f>IF(INDIRECT(ADDRESS(ROW() + (0),COLUMN() + (-1)))="Agregar cuotas", IF(("13.4%")="", "Sin costo", "13.4%"), IF(INDIRECT(ADDRESS(ROW() + (0),COLUMN() + (-1)))="No agregar cuotas", IF(("")="", "Sin costo", ""), "-"))</f>
        <v/>
      </c>
      <c r="M893" s="0" t="n"/>
      <c r="N893" s="0" t="n"/>
      <c r="O893" s="0" t="n"/>
      <c r="P893" s="47" t="n"/>
      <c r="R893" s="0" t="n"/>
      <c r="S893" s="0" t="n"/>
      <c r="U893" s="0" t="n"/>
      <c r="X893" s="0" t="n"/>
      <c r="AA893" s="0" t="n"/>
      <c r="AB8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3" s="53">
        <f>IF(OR(TRIM(INDIRECT("B"&amp;ROW())) &lt;&gt; "",TRIM(INDIRECT("A"&amp;ROW())) &lt;&gt; ""),AND(TRIM(INDIRECT("A"&amp;ROW())) &lt;&gt; "",TRIM(INDIRECT("D"&amp;ROW())) = "nuevo"),"")</f>
        <v/>
      </c>
    </row>
    <row r="894" ht="27.5" customHeight="1" s="62">
      <c r="C894" s="0">
        <f>LEN(INDIRECT(ADDRESS(ROW() + (0),COLUMN() + (-1))))</f>
        <v/>
      </c>
      <c r="D894" s="0" t="n"/>
      <c r="E894" s="38" t="n"/>
      <c r="G894" s="40" t="n"/>
      <c r="J894" s="31">
        <f>IF(INDIRECT(ADDRESS(ROW() + (0),COLUMN() + (1)))="Agregar cuotas", IF(("16%")="", "-", "16%"), IF(INDIRECT(ADDRESS(ROW() + (0),COLUMN() + (1)))="No agregar cuotas", IF(("16%")="", "-", "16%"), "-"))</f>
        <v/>
      </c>
      <c r="K894" s="0" t="n"/>
      <c r="L894" s="31">
        <f>IF(INDIRECT(ADDRESS(ROW() + (0),COLUMN() + (-1)))="Agregar cuotas", IF(("13.4%")="", "Sin costo", "13.4%"), IF(INDIRECT(ADDRESS(ROW() + (0),COLUMN() + (-1)))="No agregar cuotas", IF(("")="", "Sin costo", ""), "-"))</f>
        <v/>
      </c>
      <c r="M894" s="0" t="n"/>
      <c r="N894" s="0" t="n"/>
      <c r="O894" s="0" t="n"/>
      <c r="P894" s="47" t="n"/>
      <c r="R894" s="0" t="n"/>
      <c r="S894" s="0" t="n"/>
      <c r="U894" s="0" t="n"/>
      <c r="X894" s="0" t="n"/>
      <c r="AA894" s="0" t="n"/>
      <c r="AB8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4" s="53">
        <f>IF(OR(TRIM(INDIRECT("B"&amp;ROW())) &lt;&gt; "",TRIM(INDIRECT("A"&amp;ROW())) &lt;&gt; ""),AND(TRIM(INDIRECT("A"&amp;ROW())) &lt;&gt; "",TRIM(INDIRECT("D"&amp;ROW())) = "nuevo"),"")</f>
        <v/>
      </c>
    </row>
    <row r="895" ht="27.5" customHeight="1" s="62">
      <c r="C895" s="0">
        <f>LEN(INDIRECT(ADDRESS(ROW() + (0),COLUMN() + (-1))))</f>
        <v/>
      </c>
      <c r="D895" s="0" t="n"/>
      <c r="E895" s="38" t="n"/>
      <c r="G895" s="40" t="n"/>
      <c r="J895" s="31">
        <f>IF(INDIRECT(ADDRESS(ROW() + (0),COLUMN() + (1)))="Agregar cuotas", IF(("16%")="", "-", "16%"), IF(INDIRECT(ADDRESS(ROW() + (0),COLUMN() + (1)))="No agregar cuotas", IF(("16%")="", "-", "16%"), "-"))</f>
        <v/>
      </c>
      <c r="K895" s="0" t="n"/>
      <c r="L895" s="31">
        <f>IF(INDIRECT(ADDRESS(ROW() + (0),COLUMN() + (-1)))="Agregar cuotas", IF(("13.4%")="", "Sin costo", "13.4%"), IF(INDIRECT(ADDRESS(ROW() + (0),COLUMN() + (-1)))="No agregar cuotas", IF(("")="", "Sin costo", ""), "-"))</f>
        <v/>
      </c>
      <c r="M895" s="0" t="n"/>
      <c r="N895" s="0" t="n"/>
      <c r="O895" s="0" t="n"/>
      <c r="P895" s="47" t="n"/>
      <c r="R895" s="0" t="n"/>
      <c r="S895" s="0" t="n"/>
      <c r="U895" s="0" t="n"/>
      <c r="X895" s="0" t="n"/>
      <c r="AA895" s="0" t="n"/>
      <c r="AB8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5" s="53">
        <f>IF(OR(TRIM(INDIRECT("B"&amp;ROW())) &lt;&gt; "",TRIM(INDIRECT("A"&amp;ROW())) &lt;&gt; ""),AND(TRIM(INDIRECT("A"&amp;ROW())) &lt;&gt; "",TRIM(INDIRECT("D"&amp;ROW())) = "nuevo"),"")</f>
        <v/>
      </c>
    </row>
    <row r="896" ht="27.5" customHeight="1" s="62">
      <c r="C896" s="0">
        <f>LEN(INDIRECT(ADDRESS(ROW() + (0),COLUMN() + (-1))))</f>
        <v/>
      </c>
      <c r="D896" s="0" t="n"/>
      <c r="E896" s="38" t="n"/>
      <c r="G896" s="40" t="n"/>
      <c r="J896" s="31">
        <f>IF(INDIRECT(ADDRESS(ROW() + (0),COLUMN() + (1)))="Agregar cuotas", IF(("16%")="", "-", "16%"), IF(INDIRECT(ADDRESS(ROW() + (0),COLUMN() + (1)))="No agregar cuotas", IF(("16%")="", "-", "16%"), "-"))</f>
        <v/>
      </c>
      <c r="K896" s="0" t="n"/>
      <c r="L896" s="31">
        <f>IF(INDIRECT(ADDRESS(ROW() + (0),COLUMN() + (-1)))="Agregar cuotas", IF(("13.4%")="", "Sin costo", "13.4%"), IF(INDIRECT(ADDRESS(ROW() + (0),COLUMN() + (-1)))="No agregar cuotas", IF(("")="", "Sin costo", ""), "-"))</f>
        <v/>
      </c>
      <c r="M896" s="0" t="n"/>
      <c r="N896" s="0" t="n"/>
      <c r="O896" s="0" t="n"/>
      <c r="P896" s="47" t="n"/>
      <c r="R896" s="0" t="n"/>
      <c r="S896" s="0" t="n"/>
      <c r="U896" s="0" t="n"/>
      <c r="X896" s="0" t="n"/>
      <c r="AA896" s="0" t="n"/>
      <c r="AB8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6" s="53">
        <f>IF(OR(TRIM(INDIRECT("B"&amp;ROW())) &lt;&gt; "",TRIM(INDIRECT("A"&amp;ROW())) &lt;&gt; ""),AND(TRIM(INDIRECT("A"&amp;ROW())) &lt;&gt; "",TRIM(INDIRECT("D"&amp;ROW())) = "nuevo"),"")</f>
        <v/>
      </c>
    </row>
    <row r="897" ht="27.5" customHeight="1" s="62">
      <c r="C897" s="0">
        <f>LEN(INDIRECT(ADDRESS(ROW() + (0),COLUMN() + (-1))))</f>
        <v/>
      </c>
      <c r="D897" s="0" t="n"/>
      <c r="E897" s="38" t="n"/>
      <c r="G897" s="40" t="n"/>
      <c r="J897" s="31">
        <f>IF(INDIRECT(ADDRESS(ROW() + (0),COLUMN() + (1)))="Agregar cuotas", IF(("16%")="", "-", "16%"), IF(INDIRECT(ADDRESS(ROW() + (0),COLUMN() + (1)))="No agregar cuotas", IF(("16%")="", "-", "16%"), "-"))</f>
        <v/>
      </c>
      <c r="K897" s="0" t="n"/>
      <c r="L897" s="31">
        <f>IF(INDIRECT(ADDRESS(ROW() + (0),COLUMN() + (-1)))="Agregar cuotas", IF(("13.4%")="", "Sin costo", "13.4%"), IF(INDIRECT(ADDRESS(ROW() + (0),COLUMN() + (-1)))="No agregar cuotas", IF(("")="", "Sin costo", ""), "-"))</f>
        <v/>
      </c>
      <c r="M897" s="0" t="n"/>
      <c r="N897" s="0" t="n"/>
      <c r="O897" s="0" t="n"/>
      <c r="P897" s="47" t="n"/>
      <c r="R897" s="0" t="n"/>
      <c r="S897" s="0" t="n"/>
      <c r="U897" s="0" t="n"/>
      <c r="X897" s="0" t="n"/>
      <c r="AA897" s="0" t="n"/>
      <c r="AB8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7" s="53">
        <f>IF(OR(TRIM(INDIRECT("B"&amp;ROW())) &lt;&gt; "",TRIM(INDIRECT("A"&amp;ROW())) &lt;&gt; ""),AND(TRIM(INDIRECT("A"&amp;ROW())) &lt;&gt; "",TRIM(INDIRECT("D"&amp;ROW())) = "nuevo"),"")</f>
        <v/>
      </c>
    </row>
    <row r="898" ht="27.5" customHeight="1" s="62">
      <c r="C898" s="0">
        <f>LEN(INDIRECT(ADDRESS(ROW() + (0),COLUMN() + (-1))))</f>
        <v/>
      </c>
      <c r="D898" s="0" t="n"/>
      <c r="E898" s="38" t="n"/>
      <c r="G898" s="40" t="n"/>
      <c r="J898" s="31">
        <f>IF(INDIRECT(ADDRESS(ROW() + (0),COLUMN() + (1)))="Agregar cuotas", IF(("16%")="", "-", "16%"), IF(INDIRECT(ADDRESS(ROW() + (0),COLUMN() + (1)))="No agregar cuotas", IF(("16%")="", "-", "16%"), "-"))</f>
        <v/>
      </c>
      <c r="K898" s="0" t="n"/>
      <c r="L898" s="31">
        <f>IF(INDIRECT(ADDRESS(ROW() + (0),COLUMN() + (-1)))="Agregar cuotas", IF(("13.4%")="", "Sin costo", "13.4%"), IF(INDIRECT(ADDRESS(ROW() + (0),COLUMN() + (-1)))="No agregar cuotas", IF(("")="", "Sin costo", ""), "-"))</f>
        <v/>
      </c>
      <c r="M898" s="0" t="n"/>
      <c r="N898" s="0" t="n"/>
      <c r="O898" s="0" t="n"/>
      <c r="P898" s="47" t="n"/>
      <c r="R898" s="0" t="n"/>
      <c r="S898" s="0" t="n"/>
      <c r="U898" s="0" t="n"/>
      <c r="X898" s="0" t="n"/>
      <c r="AA898" s="0" t="n"/>
      <c r="AB8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8" s="53">
        <f>IF(OR(TRIM(INDIRECT("B"&amp;ROW())) &lt;&gt; "",TRIM(INDIRECT("A"&amp;ROW())) &lt;&gt; ""),AND(TRIM(INDIRECT("A"&amp;ROW())) &lt;&gt; "",TRIM(INDIRECT("D"&amp;ROW())) = "nuevo"),"")</f>
        <v/>
      </c>
    </row>
    <row r="899" ht="27.5" customHeight="1" s="62">
      <c r="C899" s="0">
        <f>LEN(INDIRECT(ADDRESS(ROW() + (0),COLUMN() + (-1))))</f>
        <v/>
      </c>
      <c r="D899" s="0" t="n"/>
      <c r="E899" s="38" t="n"/>
      <c r="G899" s="40" t="n"/>
      <c r="J899" s="31">
        <f>IF(INDIRECT(ADDRESS(ROW() + (0),COLUMN() + (1)))="Agregar cuotas", IF(("16%")="", "-", "16%"), IF(INDIRECT(ADDRESS(ROW() + (0),COLUMN() + (1)))="No agregar cuotas", IF(("16%")="", "-", "16%"), "-"))</f>
        <v/>
      </c>
      <c r="K899" s="0" t="n"/>
      <c r="L899" s="31">
        <f>IF(INDIRECT(ADDRESS(ROW() + (0),COLUMN() + (-1)))="Agregar cuotas", IF(("13.4%")="", "Sin costo", "13.4%"), IF(INDIRECT(ADDRESS(ROW() + (0),COLUMN() + (-1)))="No agregar cuotas", IF(("")="", "Sin costo", ""), "-"))</f>
        <v/>
      </c>
      <c r="M899" s="0" t="n"/>
      <c r="N899" s="0" t="n"/>
      <c r="O899" s="0" t="n"/>
      <c r="P899" s="47" t="n"/>
      <c r="R899" s="0" t="n"/>
      <c r="S899" s="0" t="n"/>
      <c r="U899" s="0" t="n"/>
      <c r="X899" s="0" t="n"/>
      <c r="AA899" s="0" t="n"/>
      <c r="AB8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899" s="53">
        <f>IF(OR(TRIM(INDIRECT("B"&amp;ROW())) &lt;&gt; "",TRIM(INDIRECT("A"&amp;ROW())) &lt;&gt; ""),AND(TRIM(INDIRECT("A"&amp;ROW())) &lt;&gt; "",TRIM(INDIRECT("D"&amp;ROW())) = "nuevo"),"")</f>
        <v/>
      </c>
    </row>
    <row r="900" ht="27.5" customHeight="1" s="62">
      <c r="C900" s="0">
        <f>LEN(INDIRECT(ADDRESS(ROW() + (0),COLUMN() + (-1))))</f>
        <v/>
      </c>
      <c r="D900" s="0" t="n"/>
      <c r="E900" s="38" t="n"/>
      <c r="G900" s="40" t="n"/>
      <c r="J900" s="31">
        <f>IF(INDIRECT(ADDRESS(ROW() + (0),COLUMN() + (1)))="Agregar cuotas", IF(("16%")="", "-", "16%"), IF(INDIRECT(ADDRESS(ROW() + (0),COLUMN() + (1)))="No agregar cuotas", IF(("16%")="", "-", "16%"), "-"))</f>
        <v/>
      </c>
      <c r="K900" s="0" t="n"/>
      <c r="L900" s="31">
        <f>IF(INDIRECT(ADDRESS(ROW() + (0),COLUMN() + (-1)))="Agregar cuotas", IF(("13.4%")="", "Sin costo", "13.4%"), IF(INDIRECT(ADDRESS(ROW() + (0),COLUMN() + (-1)))="No agregar cuotas", IF(("")="", "Sin costo", ""), "-"))</f>
        <v/>
      </c>
      <c r="M900" s="0" t="n"/>
      <c r="N900" s="0" t="n"/>
      <c r="O900" s="0" t="n"/>
      <c r="P900" s="47" t="n"/>
      <c r="R900" s="0" t="n"/>
      <c r="S900" s="0" t="n"/>
      <c r="U900" s="0" t="n"/>
      <c r="X900" s="0" t="n"/>
      <c r="AA900" s="0" t="n"/>
      <c r="AB9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0" s="53">
        <f>IF(OR(TRIM(INDIRECT("B"&amp;ROW())) &lt;&gt; "",TRIM(INDIRECT("A"&amp;ROW())) &lt;&gt; ""),AND(TRIM(INDIRECT("A"&amp;ROW())) &lt;&gt; "",TRIM(INDIRECT("D"&amp;ROW())) = "nuevo"),"")</f>
        <v/>
      </c>
    </row>
    <row r="901" ht="27.5" customHeight="1" s="62">
      <c r="C901" s="0">
        <f>LEN(INDIRECT(ADDRESS(ROW() + (0),COLUMN() + (-1))))</f>
        <v/>
      </c>
      <c r="D901" s="0" t="n"/>
      <c r="E901" s="38" t="n"/>
      <c r="G901" s="40" t="n"/>
      <c r="J901" s="31">
        <f>IF(INDIRECT(ADDRESS(ROW() + (0),COLUMN() + (1)))="Agregar cuotas", IF(("16%")="", "-", "16%"), IF(INDIRECT(ADDRESS(ROW() + (0),COLUMN() + (1)))="No agregar cuotas", IF(("16%")="", "-", "16%"), "-"))</f>
        <v/>
      </c>
      <c r="K901" s="0" t="n"/>
      <c r="L901" s="31">
        <f>IF(INDIRECT(ADDRESS(ROW() + (0),COLUMN() + (-1)))="Agregar cuotas", IF(("13.4%")="", "Sin costo", "13.4%"), IF(INDIRECT(ADDRESS(ROW() + (0),COLUMN() + (-1)))="No agregar cuotas", IF(("")="", "Sin costo", ""), "-"))</f>
        <v/>
      </c>
      <c r="M901" s="0" t="n"/>
      <c r="N901" s="0" t="n"/>
      <c r="O901" s="0" t="n"/>
      <c r="P901" s="47" t="n"/>
      <c r="R901" s="0" t="n"/>
      <c r="S901" s="0" t="n"/>
      <c r="U901" s="0" t="n"/>
      <c r="X901" s="0" t="n"/>
      <c r="AA901" s="0" t="n"/>
      <c r="AB9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1" s="53">
        <f>IF(OR(TRIM(INDIRECT("B"&amp;ROW())) &lt;&gt; "",TRIM(INDIRECT("A"&amp;ROW())) &lt;&gt; ""),AND(TRIM(INDIRECT("A"&amp;ROW())) &lt;&gt; "",TRIM(INDIRECT("D"&amp;ROW())) = "nuevo"),"")</f>
        <v/>
      </c>
    </row>
    <row r="902" ht="27.5" customHeight="1" s="62">
      <c r="C902" s="0">
        <f>LEN(INDIRECT(ADDRESS(ROW() + (0),COLUMN() + (-1))))</f>
        <v/>
      </c>
      <c r="D902" s="0" t="n"/>
      <c r="E902" s="38" t="n"/>
      <c r="G902" s="40" t="n"/>
      <c r="J902" s="31">
        <f>IF(INDIRECT(ADDRESS(ROW() + (0),COLUMN() + (1)))="Agregar cuotas", IF(("16%")="", "-", "16%"), IF(INDIRECT(ADDRESS(ROW() + (0),COLUMN() + (1)))="No agregar cuotas", IF(("16%")="", "-", "16%"), "-"))</f>
        <v/>
      </c>
      <c r="K902" s="0" t="n"/>
      <c r="L902" s="31">
        <f>IF(INDIRECT(ADDRESS(ROW() + (0),COLUMN() + (-1)))="Agregar cuotas", IF(("13.4%")="", "Sin costo", "13.4%"), IF(INDIRECT(ADDRESS(ROW() + (0),COLUMN() + (-1)))="No agregar cuotas", IF(("")="", "Sin costo", ""), "-"))</f>
        <v/>
      </c>
      <c r="M902" s="0" t="n"/>
      <c r="N902" s="0" t="n"/>
      <c r="O902" s="0" t="n"/>
      <c r="P902" s="47" t="n"/>
      <c r="R902" s="0" t="n"/>
      <c r="S902" s="0" t="n"/>
      <c r="U902" s="0" t="n"/>
      <c r="X902" s="0" t="n"/>
      <c r="AA902" s="0" t="n"/>
      <c r="AB90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2" s="53">
        <f>IF(OR(TRIM(INDIRECT("B"&amp;ROW())) &lt;&gt; "",TRIM(INDIRECT("A"&amp;ROW())) &lt;&gt; ""),AND(TRIM(INDIRECT("A"&amp;ROW())) &lt;&gt; "",TRIM(INDIRECT("D"&amp;ROW())) = "nuevo"),"")</f>
        <v/>
      </c>
    </row>
    <row r="903" ht="27.5" customHeight="1" s="62">
      <c r="C903" s="0">
        <f>LEN(INDIRECT(ADDRESS(ROW() + (0),COLUMN() + (-1))))</f>
        <v/>
      </c>
      <c r="D903" s="0" t="n"/>
      <c r="E903" s="38" t="n"/>
      <c r="G903" s="40" t="n"/>
      <c r="J903" s="31">
        <f>IF(INDIRECT(ADDRESS(ROW() + (0),COLUMN() + (1)))="Agregar cuotas", IF(("16%")="", "-", "16%"), IF(INDIRECT(ADDRESS(ROW() + (0),COLUMN() + (1)))="No agregar cuotas", IF(("16%")="", "-", "16%"), "-"))</f>
        <v/>
      </c>
      <c r="K903" s="0" t="n"/>
      <c r="L903" s="31">
        <f>IF(INDIRECT(ADDRESS(ROW() + (0),COLUMN() + (-1)))="Agregar cuotas", IF(("13.4%")="", "Sin costo", "13.4%"), IF(INDIRECT(ADDRESS(ROW() + (0),COLUMN() + (-1)))="No agregar cuotas", IF(("")="", "Sin costo", ""), "-"))</f>
        <v/>
      </c>
      <c r="M903" s="0" t="n"/>
      <c r="N903" s="0" t="n"/>
      <c r="O903" s="0" t="n"/>
      <c r="P903" s="47" t="n"/>
      <c r="R903" s="0" t="n"/>
      <c r="S903" s="0" t="n"/>
      <c r="U903" s="0" t="n"/>
      <c r="X903" s="0" t="n"/>
      <c r="AA903" s="0" t="n"/>
      <c r="AB90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3" s="53">
        <f>IF(OR(TRIM(INDIRECT("B"&amp;ROW())) &lt;&gt; "",TRIM(INDIRECT("A"&amp;ROW())) &lt;&gt; ""),AND(TRIM(INDIRECT("A"&amp;ROW())) &lt;&gt; "",TRIM(INDIRECT("D"&amp;ROW())) = "nuevo"),"")</f>
        <v/>
      </c>
    </row>
    <row r="904" ht="27.5" customHeight="1" s="62">
      <c r="C904" s="0">
        <f>LEN(INDIRECT(ADDRESS(ROW() + (0),COLUMN() + (-1))))</f>
        <v/>
      </c>
      <c r="D904" s="0" t="n"/>
      <c r="E904" s="38" t="n"/>
      <c r="G904" s="40" t="n"/>
      <c r="J904" s="31">
        <f>IF(INDIRECT(ADDRESS(ROW() + (0),COLUMN() + (1)))="Agregar cuotas", IF(("16%")="", "-", "16%"), IF(INDIRECT(ADDRESS(ROW() + (0),COLUMN() + (1)))="No agregar cuotas", IF(("16%")="", "-", "16%"), "-"))</f>
        <v/>
      </c>
      <c r="K904" s="0" t="n"/>
      <c r="L904" s="31">
        <f>IF(INDIRECT(ADDRESS(ROW() + (0),COLUMN() + (-1)))="Agregar cuotas", IF(("13.4%")="", "Sin costo", "13.4%"), IF(INDIRECT(ADDRESS(ROW() + (0),COLUMN() + (-1)))="No agregar cuotas", IF(("")="", "Sin costo", ""), "-"))</f>
        <v/>
      </c>
      <c r="M904" s="0" t="n"/>
      <c r="N904" s="0" t="n"/>
      <c r="O904" s="0" t="n"/>
      <c r="P904" s="47" t="n"/>
      <c r="R904" s="0" t="n"/>
      <c r="S904" s="0" t="n"/>
      <c r="U904" s="0" t="n"/>
      <c r="X904" s="0" t="n"/>
      <c r="AA904" s="0" t="n"/>
      <c r="AB90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4" s="53">
        <f>IF(OR(TRIM(INDIRECT("B"&amp;ROW())) &lt;&gt; "",TRIM(INDIRECT("A"&amp;ROW())) &lt;&gt; ""),AND(TRIM(INDIRECT("A"&amp;ROW())) &lt;&gt; "",TRIM(INDIRECT("D"&amp;ROW())) = "nuevo"),"")</f>
        <v/>
      </c>
    </row>
    <row r="905" ht="27.5" customHeight="1" s="62">
      <c r="C905" s="0">
        <f>LEN(INDIRECT(ADDRESS(ROW() + (0),COLUMN() + (-1))))</f>
        <v/>
      </c>
      <c r="D905" s="0" t="n"/>
      <c r="E905" s="38" t="n"/>
      <c r="G905" s="40" t="n"/>
      <c r="J905" s="31">
        <f>IF(INDIRECT(ADDRESS(ROW() + (0),COLUMN() + (1)))="Agregar cuotas", IF(("16%")="", "-", "16%"), IF(INDIRECT(ADDRESS(ROW() + (0),COLUMN() + (1)))="No agregar cuotas", IF(("16%")="", "-", "16%"), "-"))</f>
        <v/>
      </c>
      <c r="K905" s="0" t="n"/>
      <c r="L905" s="31">
        <f>IF(INDIRECT(ADDRESS(ROW() + (0),COLUMN() + (-1)))="Agregar cuotas", IF(("13.4%")="", "Sin costo", "13.4%"), IF(INDIRECT(ADDRESS(ROW() + (0),COLUMN() + (-1)))="No agregar cuotas", IF(("")="", "Sin costo", ""), "-"))</f>
        <v/>
      </c>
      <c r="M905" s="0" t="n"/>
      <c r="N905" s="0" t="n"/>
      <c r="O905" s="0" t="n"/>
      <c r="P905" s="47" t="n"/>
      <c r="R905" s="0" t="n"/>
      <c r="S905" s="0" t="n"/>
      <c r="U905" s="0" t="n"/>
      <c r="X905" s="0" t="n"/>
      <c r="AA905" s="0" t="n"/>
      <c r="AB90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5" s="53">
        <f>IF(OR(TRIM(INDIRECT("B"&amp;ROW())) &lt;&gt; "",TRIM(INDIRECT("A"&amp;ROW())) &lt;&gt; ""),AND(TRIM(INDIRECT("A"&amp;ROW())) &lt;&gt; "",TRIM(INDIRECT("D"&amp;ROW())) = "nuevo"),"")</f>
        <v/>
      </c>
    </row>
    <row r="906" ht="27.5" customHeight="1" s="62">
      <c r="C906" s="0">
        <f>LEN(INDIRECT(ADDRESS(ROW() + (0),COLUMN() + (-1))))</f>
        <v/>
      </c>
      <c r="D906" s="0" t="n"/>
      <c r="E906" s="38" t="n"/>
      <c r="G906" s="40" t="n"/>
      <c r="J906" s="31">
        <f>IF(INDIRECT(ADDRESS(ROW() + (0),COLUMN() + (1)))="Agregar cuotas", IF(("16%")="", "-", "16%"), IF(INDIRECT(ADDRESS(ROW() + (0),COLUMN() + (1)))="No agregar cuotas", IF(("16%")="", "-", "16%"), "-"))</f>
        <v/>
      </c>
      <c r="K906" s="0" t="n"/>
      <c r="L906" s="31">
        <f>IF(INDIRECT(ADDRESS(ROW() + (0),COLUMN() + (-1)))="Agregar cuotas", IF(("13.4%")="", "Sin costo", "13.4%"), IF(INDIRECT(ADDRESS(ROW() + (0),COLUMN() + (-1)))="No agregar cuotas", IF(("")="", "Sin costo", ""), "-"))</f>
        <v/>
      </c>
      <c r="M906" s="0" t="n"/>
      <c r="N906" s="0" t="n"/>
      <c r="O906" s="0" t="n"/>
      <c r="P906" s="47" t="n"/>
      <c r="R906" s="0" t="n"/>
      <c r="S906" s="0" t="n"/>
      <c r="U906" s="0" t="n"/>
      <c r="X906" s="0" t="n"/>
      <c r="AA906" s="0" t="n"/>
      <c r="AB90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6" s="53">
        <f>IF(OR(TRIM(INDIRECT("B"&amp;ROW())) &lt;&gt; "",TRIM(INDIRECT("A"&amp;ROW())) &lt;&gt; ""),AND(TRIM(INDIRECT("A"&amp;ROW())) &lt;&gt; "",TRIM(INDIRECT("D"&amp;ROW())) = "nuevo"),"")</f>
        <v/>
      </c>
    </row>
    <row r="907" ht="27.5" customHeight="1" s="62">
      <c r="C907" s="0">
        <f>LEN(INDIRECT(ADDRESS(ROW() + (0),COLUMN() + (-1))))</f>
        <v/>
      </c>
      <c r="D907" s="0" t="n"/>
      <c r="E907" s="38" t="n"/>
      <c r="G907" s="40" t="n"/>
      <c r="J907" s="31">
        <f>IF(INDIRECT(ADDRESS(ROW() + (0),COLUMN() + (1)))="Agregar cuotas", IF(("16%")="", "-", "16%"), IF(INDIRECT(ADDRESS(ROW() + (0),COLUMN() + (1)))="No agregar cuotas", IF(("16%")="", "-", "16%"), "-"))</f>
        <v/>
      </c>
      <c r="K907" s="0" t="n"/>
      <c r="L907" s="31">
        <f>IF(INDIRECT(ADDRESS(ROW() + (0),COLUMN() + (-1)))="Agregar cuotas", IF(("13.4%")="", "Sin costo", "13.4%"), IF(INDIRECT(ADDRESS(ROW() + (0),COLUMN() + (-1)))="No agregar cuotas", IF(("")="", "Sin costo", ""), "-"))</f>
        <v/>
      </c>
      <c r="M907" s="0" t="n"/>
      <c r="N907" s="0" t="n"/>
      <c r="O907" s="0" t="n"/>
      <c r="P907" s="47" t="n"/>
      <c r="R907" s="0" t="n"/>
      <c r="S907" s="0" t="n"/>
      <c r="U907" s="0" t="n"/>
      <c r="X907" s="0" t="n"/>
      <c r="AA907" s="0" t="n"/>
      <c r="AB90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7" s="53">
        <f>IF(OR(TRIM(INDIRECT("B"&amp;ROW())) &lt;&gt; "",TRIM(INDIRECT("A"&amp;ROW())) &lt;&gt; ""),AND(TRIM(INDIRECT("A"&amp;ROW())) &lt;&gt; "",TRIM(INDIRECT("D"&amp;ROW())) = "nuevo"),"")</f>
        <v/>
      </c>
    </row>
    <row r="908" ht="27.5" customHeight="1" s="62">
      <c r="C908" s="0">
        <f>LEN(INDIRECT(ADDRESS(ROW() + (0),COLUMN() + (-1))))</f>
        <v/>
      </c>
      <c r="D908" s="0" t="n"/>
      <c r="E908" s="38" t="n"/>
      <c r="G908" s="40" t="n"/>
      <c r="J908" s="31">
        <f>IF(INDIRECT(ADDRESS(ROW() + (0),COLUMN() + (1)))="Agregar cuotas", IF(("16%")="", "-", "16%"), IF(INDIRECT(ADDRESS(ROW() + (0),COLUMN() + (1)))="No agregar cuotas", IF(("16%")="", "-", "16%"), "-"))</f>
        <v/>
      </c>
      <c r="K908" s="0" t="n"/>
      <c r="L908" s="31">
        <f>IF(INDIRECT(ADDRESS(ROW() + (0),COLUMN() + (-1)))="Agregar cuotas", IF(("13.4%")="", "Sin costo", "13.4%"), IF(INDIRECT(ADDRESS(ROW() + (0),COLUMN() + (-1)))="No agregar cuotas", IF(("")="", "Sin costo", ""), "-"))</f>
        <v/>
      </c>
      <c r="M908" s="0" t="n"/>
      <c r="N908" s="0" t="n"/>
      <c r="O908" s="0" t="n"/>
      <c r="P908" s="47" t="n"/>
      <c r="R908" s="0" t="n"/>
      <c r="S908" s="0" t="n"/>
      <c r="U908" s="0" t="n"/>
      <c r="X908" s="0" t="n"/>
      <c r="AA908" s="0" t="n"/>
      <c r="AB90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8" s="53">
        <f>IF(OR(TRIM(INDIRECT("B"&amp;ROW())) &lt;&gt; "",TRIM(INDIRECT("A"&amp;ROW())) &lt;&gt; ""),AND(TRIM(INDIRECT("A"&amp;ROW())) &lt;&gt; "",TRIM(INDIRECT("D"&amp;ROW())) = "nuevo"),"")</f>
        <v/>
      </c>
    </row>
    <row r="909" ht="27.5" customHeight="1" s="62">
      <c r="C909" s="0">
        <f>LEN(INDIRECT(ADDRESS(ROW() + (0),COLUMN() + (-1))))</f>
        <v/>
      </c>
      <c r="D909" s="0" t="n"/>
      <c r="E909" s="38" t="n"/>
      <c r="G909" s="40" t="n"/>
      <c r="J909" s="31">
        <f>IF(INDIRECT(ADDRESS(ROW() + (0),COLUMN() + (1)))="Agregar cuotas", IF(("16%")="", "-", "16%"), IF(INDIRECT(ADDRESS(ROW() + (0),COLUMN() + (1)))="No agregar cuotas", IF(("16%")="", "-", "16%"), "-"))</f>
        <v/>
      </c>
      <c r="K909" s="0" t="n"/>
      <c r="L909" s="31">
        <f>IF(INDIRECT(ADDRESS(ROW() + (0),COLUMN() + (-1)))="Agregar cuotas", IF(("13.4%")="", "Sin costo", "13.4%"), IF(INDIRECT(ADDRESS(ROW() + (0),COLUMN() + (-1)))="No agregar cuotas", IF(("")="", "Sin costo", ""), "-"))</f>
        <v/>
      </c>
      <c r="M909" s="0" t="n"/>
      <c r="N909" s="0" t="n"/>
      <c r="O909" s="0" t="n"/>
      <c r="P909" s="47" t="n"/>
      <c r="R909" s="0" t="n"/>
      <c r="S909" s="0" t="n"/>
      <c r="U909" s="0" t="n"/>
      <c r="X909" s="0" t="n"/>
      <c r="AA909" s="0" t="n"/>
      <c r="AB90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09" s="53">
        <f>IF(OR(TRIM(INDIRECT("B"&amp;ROW())) &lt;&gt; "",TRIM(INDIRECT("A"&amp;ROW())) &lt;&gt; ""),AND(TRIM(INDIRECT("A"&amp;ROW())) &lt;&gt; "",TRIM(INDIRECT("D"&amp;ROW())) = "nuevo"),"")</f>
        <v/>
      </c>
    </row>
    <row r="910" ht="27.5" customHeight="1" s="62">
      <c r="C910" s="0">
        <f>LEN(INDIRECT(ADDRESS(ROW() + (0),COLUMN() + (-1))))</f>
        <v/>
      </c>
      <c r="D910" s="0" t="n"/>
      <c r="E910" s="38" t="n"/>
      <c r="G910" s="40" t="n"/>
      <c r="J910" s="31">
        <f>IF(INDIRECT(ADDRESS(ROW() + (0),COLUMN() + (1)))="Agregar cuotas", IF(("16%")="", "-", "16%"), IF(INDIRECT(ADDRESS(ROW() + (0),COLUMN() + (1)))="No agregar cuotas", IF(("16%")="", "-", "16%"), "-"))</f>
        <v/>
      </c>
      <c r="K910" s="0" t="n"/>
      <c r="L910" s="31">
        <f>IF(INDIRECT(ADDRESS(ROW() + (0),COLUMN() + (-1)))="Agregar cuotas", IF(("13.4%")="", "Sin costo", "13.4%"), IF(INDIRECT(ADDRESS(ROW() + (0),COLUMN() + (-1)))="No agregar cuotas", IF(("")="", "Sin costo", ""), "-"))</f>
        <v/>
      </c>
      <c r="M910" s="0" t="n"/>
      <c r="N910" s="0" t="n"/>
      <c r="O910" s="0" t="n"/>
      <c r="P910" s="47" t="n"/>
      <c r="R910" s="0" t="n"/>
      <c r="S910" s="0" t="n"/>
      <c r="U910" s="0" t="n"/>
      <c r="X910" s="0" t="n"/>
      <c r="AA910" s="0" t="n"/>
      <c r="AB91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0" s="53">
        <f>IF(OR(TRIM(INDIRECT("B"&amp;ROW())) &lt;&gt; "",TRIM(INDIRECT("A"&amp;ROW())) &lt;&gt; ""),AND(TRIM(INDIRECT("A"&amp;ROW())) &lt;&gt; "",TRIM(INDIRECT("D"&amp;ROW())) = "nuevo"),"")</f>
        <v/>
      </c>
    </row>
    <row r="911" ht="27.5" customHeight="1" s="62">
      <c r="C911" s="0">
        <f>LEN(INDIRECT(ADDRESS(ROW() + (0),COLUMN() + (-1))))</f>
        <v/>
      </c>
      <c r="D911" s="0" t="n"/>
      <c r="E911" s="38" t="n"/>
      <c r="G911" s="40" t="n"/>
      <c r="J911" s="31">
        <f>IF(INDIRECT(ADDRESS(ROW() + (0),COLUMN() + (1)))="Agregar cuotas", IF(("16%")="", "-", "16%"), IF(INDIRECT(ADDRESS(ROW() + (0),COLUMN() + (1)))="No agregar cuotas", IF(("16%")="", "-", "16%"), "-"))</f>
        <v/>
      </c>
      <c r="K911" s="0" t="n"/>
      <c r="L911" s="31">
        <f>IF(INDIRECT(ADDRESS(ROW() + (0),COLUMN() + (-1)))="Agregar cuotas", IF(("13.4%")="", "Sin costo", "13.4%"), IF(INDIRECT(ADDRESS(ROW() + (0),COLUMN() + (-1)))="No agregar cuotas", IF(("")="", "Sin costo", ""), "-"))</f>
        <v/>
      </c>
      <c r="M911" s="0" t="n"/>
      <c r="N911" s="0" t="n"/>
      <c r="O911" s="0" t="n"/>
      <c r="P911" s="47" t="n"/>
      <c r="R911" s="0" t="n"/>
      <c r="S911" s="0" t="n"/>
      <c r="U911" s="0" t="n"/>
      <c r="X911" s="0" t="n"/>
      <c r="AA911" s="0" t="n"/>
      <c r="AB91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1" s="53">
        <f>IF(OR(TRIM(INDIRECT("B"&amp;ROW())) &lt;&gt; "",TRIM(INDIRECT("A"&amp;ROW())) &lt;&gt; ""),AND(TRIM(INDIRECT("A"&amp;ROW())) &lt;&gt; "",TRIM(INDIRECT("D"&amp;ROW())) = "nuevo"),"")</f>
        <v/>
      </c>
    </row>
    <row r="912" ht="27.5" customHeight="1" s="62">
      <c r="C912" s="0">
        <f>LEN(INDIRECT(ADDRESS(ROW() + (0),COLUMN() + (-1))))</f>
        <v/>
      </c>
      <c r="D912" s="0" t="n"/>
      <c r="E912" s="38" t="n"/>
      <c r="G912" s="40" t="n"/>
      <c r="J912" s="31">
        <f>IF(INDIRECT(ADDRESS(ROW() + (0),COLUMN() + (1)))="Agregar cuotas", IF(("16%")="", "-", "16%"), IF(INDIRECT(ADDRESS(ROW() + (0),COLUMN() + (1)))="No agregar cuotas", IF(("16%")="", "-", "16%"), "-"))</f>
        <v/>
      </c>
      <c r="K912" s="0" t="n"/>
      <c r="L912" s="31">
        <f>IF(INDIRECT(ADDRESS(ROW() + (0),COLUMN() + (-1)))="Agregar cuotas", IF(("13.4%")="", "Sin costo", "13.4%"), IF(INDIRECT(ADDRESS(ROW() + (0),COLUMN() + (-1)))="No agregar cuotas", IF(("")="", "Sin costo", ""), "-"))</f>
        <v/>
      </c>
      <c r="M912" s="0" t="n"/>
      <c r="N912" s="0" t="n"/>
      <c r="O912" s="0" t="n"/>
      <c r="P912" s="47" t="n"/>
      <c r="R912" s="0" t="n"/>
      <c r="S912" s="0" t="n"/>
      <c r="U912" s="0" t="n"/>
      <c r="X912" s="0" t="n"/>
      <c r="AA912" s="0" t="n"/>
      <c r="AB91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2" s="53">
        <f>IF(OR(TRIM(INDIRECT("B"&amp;ROW())) &lt;&gt; "",TRIM(INDIRECT("A"&amp;ROW())) &lt;&gt; ""),AND(TRIM(INDIRECT("A"&amp;ROW())) &lt;&gt; "",TRIM(INDIRECT("D"&amp;ROW())) = "nuevo"),"")</f>
        <v/>
      </c>
    </row>
    <row r="913" ht="27.5" customHeight="1" s="62">
      <c r="C913" s="0">
        <f>LEN(INDIRECT(ADDRESS(ROW() + (0),COLUMN() + (-1))))</f>
        <v/>
      </c>
      <c r="D913" s="0" t="n"/>
      <c r="E913" s="38" t="n"/>
      <c r="G913" s="40" t="n"/>
      <c r="J913" s="31">
        <f>IF(INDIRECT(ADDRESS(ROW() + (0),COLUMN() + (1)))="Agregar cuotas", IF(("16%")="", "-", "16%"), IF(INDIRECT(ADDRESS(ROW() + (0),COLUMN() + (1)))="No agregar cuotas", IF(("16%")="", "-", "16%"), "-"))</f>
        <v/>
      </c>
      <c r="K913" s="0" t="n"/>
      <c r="L913" s="31">
        <f>IF(INDIRECT(ADDRESS(ROW() + (0),COLUMN() + (-1)))="Agregar cuotas", IF(("13.4%")="", "Sin costo", "13.4%"), IF(INDIRECT(ADDRESS(ROW() + (0),COLUMN() + (-1)))="No agregar cuotas", IF(("")="", "Sin costo", ""), "-"))</f>
        <v/>
      </c>
      <c r="M913" s="0" t="n"/>
      <c r="N913" s="0" t="n"/>
      <c r="O913" s="0" t="n"/>
      <c r="P913" s="47" t="n"/>
      <c r="R913" s="0" t="n"/>
      <c r="S913" s="0" t="n"/>
      <c r="U913" s="0" t="n"/>
      <c r="X913" s="0" t="n"/>
      <c r="AA913" s="0" t="n"/>
      <c r="AB91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3" s="53">
        <f>IF(OR(TRIM(INDIRECT("B"&amp;ROW())) &lt;&gt; "",TRIM(INDIRECT("A"&amp;ROW())) &lt;&gt; ""),AND(TRIM(INDIRECT("A"&amp;ROW())) &lt;&gt; "",TRIM(INDIRECT("D"&amp;ROW())) = "nuevo"),"")</f>
        <v/>
      </c>
    </row>
    <row r="914" ht="27.5" customHeight="1" s="62">
      <c r="C914" s="0">
        <f>LEN(INDIRECT(ADDRESS(ROW() + (0),COLUMN() + (-1))))</f>
        <v/>
      </c>
      <c r="D914" s="0" t="n"/>
      <c r="E914" s="38" t="n"/>
      <c r="G914" s="40" t="n"/>
      <c r="J914" s="31">
        <f>IF(INDIRECT(ADDRESS(ROW() + (0),COLUMN() + (1)))="Agregar cuotas", IF(("16%")="", "-", "16%"), IF(INDIRECT(ADDRESS(ROW() + (0),COLUMN() + (1)))="No agregar cuotas", IF(("16%")="", "-", "16%"), "-"))</f>
        <v/>
      </c>
      <c r="K914" s="0" t="n"/>
      <c r="L914" s="31">
        <f>IF(INDIRECT(ADDRESS(ROW() + (0),COLUMN() + (-1)))="Agregar cuotas", IF(("13.4%")="", "Sin costo", "13.4%"), IF(INDIRECT(ADDRESS(ROW() + (0),COLUMN() + (-1)))="No agregar cuotas", IF(("")="", "Sin costo", ""), "-"))</f>
        <v/>
      </c>
      <c r="M914" s="0" t="n"/>
      <c r="N914" s="0" t="n"/>
      <c r="O914" s="0" t="n"/>
      <c r="P914" s="47" t="n"/>
      <c r="R914" s="0" t="n"/>
      <c r="S914" s="0" t="n"/>
      <c r="U914" s="0" t="n"/>
      <c r="X914" s="0" t="n"/>
      <c r="AA914" s="0" t="n"/>
      <c r="AB91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4" s="53">
        <f>IF(OR(TRIM(INDIRECT("B"&amp;ROW())) &lt;&gt; "",TRIM(INDIRECT("A"&amp;ROW())) &lt;&gt; ""),AND(TRIM(INDIRECT("A"&amp;ROW())) &lt;&gt; "",TRIM(INDIRECT("D"&amp;ROW())) = "nuevo"),"")</f>
        <v/>
      </c>
    </row>
    <row r="915" ht="27.5" customHeight="1" s="62">
      <c r="C915" s="0">
        <f>LEN(INDIRECT(ADDRESS(ROW() + (0),COLUMN() + (-1))))</f>
        <v/>
      </c>
      <c r="D915" s="0" t="n"/>
      <c r="E915" s="38" t="n"/>
      <c r="G915" s="40" t="n"/>
      <c r="J915" s="31">
        <f>IF(INDIRECT(ADDRESS(ROW() + (0),COLUMN() + (1)))="Agregar cuotas", IF(("16%")="", "-", "16%"), IF(INDIRECT(ADDRESS(ROW() + (0),COLUMN() + (1)))="No agregar cuotas", IF(("16%")="", "-", "16%"), "-"))</f>
        <v/>
      </c>
      <c r="K915" s="0" t="n"/>
      <c r="L915" s="31">
        <f>IF(INDIRECT(ADDRESS(ROW() + (0),COLUMN() + (-1)))="Agregar cuotas", IF(("13.4%")="", "Sin costo", "13.4%"), IF(INDIRECT(ADDRESS(ROW() + (0),COLUMN() + (-1)))="No agregar cuotas", IF(("")="", "Sin costo", ""), "-"))</f>
        <v/>
      </c>
      <c r="M915" s="0" t="n"/>
      <c r="N915" s="0" t="n"/>
      <c r="O915" s="0" t="n"/>
      <c r="P915" s="47" t="n"/>
      <c r="R915" s="0" t="n"/>
      <c r="S915" s="0" t="n"/>
      <c r="U915" s="0" t="n"/>
      <c r="X915" s="0" t="n"/>
      <c r="AA915" s="0" t="n"/>
      <c r="AB91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5" s="53">
        <f>IF(OR(TRIM(INDIRECT("B"&amp;ROW())) &lt;&gt; "",TRIM(INDIRECT("A"&amp;ROW())) &lt;&gt; ""),AND(TRIM(INDIRECT("A"&amp;ROW())) &lt;&gt; "",TRIM(INDIRECT("D"&amp;ROW())) = "nuevo"),"")</f>
        <v/>
      </c>
    </row>
    <row r="916" ht="27.5" customHeight="1" s="62">
      <c r="C916" s="0">
        <f>LEN(INDIRECT(ADDRESS(ROW() + (0),COLUMN() + (-1))))</f>
        <v/>
      </c>
      <c r="D916" s="0" t="n"/>
      <c r="E916" s="38" t="n"/>
      <c r="G916" s="40" t="n"/>
      <c r="J916" s="31">
        <f>IF(INDIRECT(ADDRESS(ROW() + (0),COLUMN() + (1)))="Agregar cuotas", IF(("16%")="", "-", "16%"), IF(INDIRECT(ADDRESS(ROW() + (0),COLUMN() + (1)))="No agregar cuotas", IF(("16%")="", "-", "16%"), "-"))</f>
        <v/>
      </c>
      <c r="K916" s="0" t="n"/>
      <c r="L916" s="31">
        <f>IF(INDIRECT(ADDRESS(ROW() + (0),COLUMN() + (-1)))="Agregar cuotas", IF(("13.4%")="", "Sin costo", "13.4%"), IF(INDIRECT(ADDRESS(ROW() + (0),COLUMN() + (-1)))="No agregar cuotas", IF(("")="", "Sin costo", ""), "-"))</f>
        <v/>
      </c>
      <c r="M916" s="0" t="n"/>
      <c r="N916" s="0" t="n"/>
      <c r="O916" s="0" t="n"/>
      <c r="P916" s="47" t="n"/>
      <c r="R916" s="0" t="n"/>
      <c r="S916" s="0" t="n"/>
      <c r="U916" s="0" t="n"/>
      <c r="X916" s="0" t="n"/>
      <c r="AA916" s="0" t="n"/>
      <c r="AB91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6" s="53">
        <f>IF(OR(TRIM(INDIRECT("B"&amp;ROW())) &lt;&gt; "",TRIM(INDIRECT("A"&amp;ROW())) &lt;&gt; ""),AND(TRIM(INDIRECT("A"&amp;ROW())) &lt;&gt; "",TRIM(INDIRECT("D"&amp;ROW())) = "nuevo"),"")</f>
        <v/>
      </c>
    </row>
    <row r="917" ht="27.5" customHeight="1" s="62">
      <c r="C917" s="0">
        <f>LEN(INDIRECT(ADDRESS(ROW() + (0),COLUMN() + (-1))))</f>
        <v/>
      </c>
      <c r="D917" s="0" t="n"/>
      <c r="E917" s="38" t="n"/>
      <c r="G917" s="40" t="n"/>
      <c r="J917" s="31">
        <f>IF(INDIRECT(ADDRESS(ROW() + (0),COLUMN() + (1)))="Agregar cuotas", IF(("16%")="", "-", "16%"), IF(INDIRECT(ADDRESS(ROW() + (0),COLUMN() + (1)))="No agregar cuotas", IF(("16%")="", "-", "16%"), "-"))</f>
        <v/>
      </c>
      <c r="K917" s="0" t="n"/>
      <c r="L917" s="31">
        <f>IF(INDIRECT(ADDRESS(ROW() + (0),COLUMN() + (-1)))="Agregar cuotas", IF(("13.4%")="", "Sin costo", "13.4%"), IF(INDIRECT(ADDRESS(ROW() + (0),COLUMN() + (-1)))="No agregar cuotas", IF(("")="", "Sin costo", ""), "-"))</f>
        <v/>
      </c>
      <c r="M917" s="0" t="n"/>
      <c r="N917" s="0" t="n"/>
      <c r="O917" s="0" t="n"/>
      <c r="P917" s="47" t="n"/>
      <c r="R917" s="0" t="n"/>
      <c r="S917" s="0" t="n"/>
      <c r="U917" s="0" t="n"/>
      <c r="X917" s="0" t="n"/>
      <c r="AA917" s="0" t="n"/>
      <c r="AB91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7" s="53">
        <f>IF(OR(TRIM(INDIRECT("B"&amp;ROW())) &lt;&gt; "",TRIM(INDIRECT("A"&amp;ROW())) &lt;&gt; ""),AND(TRIM(INDIRECT("A"&amp;ROW())) &lt;&gt; "",TRIM(INDIRECT("D"&amp;ROW())) = "nuevo"),"")</f>
        <v/>
      </c>
    </row>
    <row r="918" ht="27.5" customHeight="1" s="62">
      <c r="C918" s="0">
        <f>LEN(INDIRECT(ADDRESS(ROW() + (0),COLUMN() + (-1))))</f>
        <v/>
      </c>
      <c r="D918" s="0" t="n"/>
      <c r="E918" s="38" t="n"/>
      <c r="G918" s="40" t="n"/>
      <c r="J918" s="31">
        <f>IF(INDIRECT(ADDRESS(ROW() + (0),COLUMN() + (1)))="Agregar cuotas", IF(("16%")="", "-", "16%"), IF(INDIRECT(ADDRESS(ROW() + (0),COLUMN() + (1)))="No agregar cuotas", IF(("16%")="", "-", "16%"), "-"))</f>
        <v/>
      </c>
      <c r="K918" s="0" t="n"/>
      <c r="L918" s="31">
        <f>IF(INDIRECT(ADDRESS(ROW() + (0),COLUMN() + (-1)))="Agregar cuotas", IF(("13.4%")="", "Sin costo", "13.4%"), IF(INDIRECT(ADDRESS(ROW() + (0),COLUMN() + (-1)))="No agregar cuotas", IF(("")="", "Sin costo", ""), "-"))</f>
        <v/>
      </c>
      <c r="M918" s="0" t="n"/>
      <c r="N918" s="0" t="n"/>
      <c r="O918" s="0" t="n"/>
      <c r="P918" s="47" t="n"/>
      <c r="R918" s="0" t="n"/>
      <c r="S918" s="0" t="n"/>
      <c r="U918" s="0" t="n"/>
      <c r="X918" s="0" t="n"/>
      <c r="AA918" s="0" t="n"/>
      <c r="AB91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8" s="53">
        <f>IF(OR(TRIM(INDIRECT("B"&amp;ROW())) &lt;&gt; "",TRIM(INDIRECT("A"&amp;ROW())) &lt;&gt; ""),AND(TRIM(INDIRECT("A"&amp;ROW())) &lt;&gt; "",TRIM(INDIRECT("D"&amp;ROW())) = "nuevo"),"")</f>
        <v/>
      </c>
    </row>
    <row r="919" ht="27.5" customHeight="1" s="62">
      <c r="C919" s="0">
        <f>LEN(INDIRECT(ADDRESS(ROW() + (0),COLUMN() + (-1))))</f>
        <v/>
      </c>
      <c r="D919" s="0" t="n"/>
      <c r="E919" s="38" t="n"/>
      <c r="G919" s="40" t="n"/>
      <c r="J919" s="31">
        <f>IF(INDIRECT(ADDRESS(ROW() + (0),COLUMN() + (1)))="Agregar cuotas", IF(("16%")="", "-", "16%"), IF(INDIRECT(ADDRESS(ROW() + (0),COLUMN() + (1)))="No agregar cuotas", IF(("16%")="", "-", "16%"), "-"))</f>
        <v/>
      </c>
      <c r="K919" s="0" t="n"/>
      <c r="L919" s="31">
        <f>IF(INDIRECT(ADDRESS(ROW() + (0),COLUMN() + (-1)))="Agregar cuotas", IF(("13.4%")="", "Sin costo", "13.4%"), IF(INDIRECT(ADDRESS(ROW() + (0),COLUMN() + (-1)))="No agregar cuotas", IF(("")="", "Sin costo", ""), "-"))</f>
        <v/>
      </c>
      <c r="M919" s="0" t="n"/>
      <c r="N919" s="0" t="n"/>
      <c r="O919" s="0" t="n"/>
      <c r="P919" s="47" t="n"/>
      <c r="R919" s="0" t="n"/>
      <c r="S919" s="0" t="n"/>
      <c r="U919" s="0" t="n"/>
      <c r="X919" s="0" t="n"/>
      <c r="AA919" s="0" t="n"/>
      <c r="AB91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19" s="53">
        <f>IF(OR(TRIM(INDIRECT("B"&amp;ROW())) &lt;&gt; "",TRIM(INDIRECT("A"&amp;ROW())) &lt;&gt; ""),AND(TRIM(INDIRECT("A"&amp;ROW())) &lt;&gt; "",TRIM(INDIRECT("D"&amp;ROW())) = "nuevo"),"")</f>
        <v/>
      </c>
    </row>
    <row r="920" ht="27.5" customHeight="1" s="62">
      <c r="C920" s="0">
        <f>LEN(INDIRECT(ADDRESS(ROW() + (0),COLUMN() + (-1))))</f>
        <v/>
      </c>
      <c r="D920" s="0" t="n"/>
      <c r="E920" s="38" t="n"/>
      <c r="G920" s="40" t="n"/>
      <c r="J920" s="31">
        <f>IF(INDIRECT(ADDRESS(ROW() + (0),COLUMN() + (1)))="Agregar cuotas", IF(("16%")="", "-", "16%"), IF(INDIRECT(ADDRESS(ROW() + (0),COLUMN() + (1)))="No agregar cuotas", IF(("16%")="", "-", "16%"), "-"))</f>
        <v/>
      </c>
      <c r="K920" s="0" t="n"/>
      <c r="L920" s="31">
        <f>IF(INDIRECT(ADDRESS(ROW() + (0),COLUMN() + (-1)))="Agregar cuotas", IF(("13.4%")="", "Sin costo", "13.4%"), IF(INDIRECT(ADDRESS(ROW() + (0),COLUMN() + (-1)))="No agregar cuotas", IF(("")="", "Sin costo", ""), "-"))</f>
        <v/>
      </c>
      <c r="M920" s="0" t="n"/>
      <c r="N920" s="0" t="n"/>
      <c r="O920" s="0" t="n"/>
      <c r="P920" s="47" t="n"/>
      <c r="R920" s="0" t="n"/>
      <c r="S920" s="0" t="n"/>
      <c r="U920" s="0" t="n"/>
      <c r="X920" s="0" t="n"/>
      <c r="AA920" s="0" t="n"/>
      <c r="AB92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0" s="53">
        <f>IF(OR(TRIM(INDIRECT("B"&amp;ROW())) &lt;&gt; "",TRIM(INDIRECT("A"&amp;ROW())) &lt;&gt; ""),AND(TRIM(INDIRECT("A"&amp;ROW())) &lt;&gt; "",TRIM(INDIRECT("D"&amp;ROW())) = "nuevo"),"")</f>
        <v/>
      </c>
    </row>
    <row r="921" ht="27.5" customHeight="1" s="62">
      <c r="C921" s="0">
        <f>LEN(INDIRECT(ADDRESS(ROW() + (0),COLUMN() + (-1))))</f>
        <v/>
      </c>
      <c r="D921" s="0" t="n"/>
      <c r="E921" s="38" t="n"/>
      <c r="G921" s="40" t="n"/>
      <c r="J921" s="31">
        <f>IF(INDIRECT(ADDRESS(ROW() + (0),COLUMN() + (1)))="Agregar cuotas", IF(("16%")="", "-", "16%"), IF(INDIRECT(ADDRESS(ROW() + (0),COLUMN() + (1)))="No agregar cuotas", IF(("16%")="", "-", "16%"), "-"))</f>
        <v/>
      </c>
      <c r="K921" s="0" t="n"/>
      <c r="L921" s="31">
        <f>IF(INDIRECT(ADDRESS(ROW() + (0),COLUMN() + (-1)))="Agregar cuotas", IF(("13.4%")="", "Sin costo", "13.4%"), IF(INDIRECT(ADDRESS(ROW() + (0),COLUMN() + (-1)))="No agregar cuotas", IF(("")="", "Sin costo", ""), "-"))</f>
        <v/>
      </c>
      <c r="M921" s="0" t="n"/>
      <c r="N921" s="0" t="n"/>
      <c r="O921" s="0" t="n"/>
      <c r="P921" s="47" t="n"/>
      <c r="R921" s="0" t="n"/>
      <c r="S921" s="0" t="n"/>
      <c r="U921" s="0" t="n"/>
      <c r="X921" s="0" t="n"/>
      <c r="AA921" s="0" t="n"/>
      <c r="AB92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1" s="53">
        <f>IF(OR(TRIM(INDIRECT("B"&amp;ROW())) &lt;&gt; "",TRIM(INDIRECT("A"&amp;ROW())) &lt;&gt; ""),AND(TRIM(INDIRECT("A"&amp;ROW())) &lt;&gt; "",TRIM(INDIRECT("D"&amp;ROW())) = "nuevo"),"")</f>
        <v/>
      </c>
    </row>
    <row r="922" ht="27.5" customHeight="1" s="62">
      <c r="C922" s="0">
        <f>LEN(INDIRECT(ADDRESS(ROW() + (0),COLUMN() + (-1))))</f>
        <v/>
      </c>
      <c r="D922" s="0" t="n"/>
      <c r="E922" s="38" t="n"/>
      <c r="G922" s="40" t="n"/>
      <c r="J922" s="31">
        <f>IF(INDIRECT(ADDRESS(ROW() + (0),COLUMN() + (1)))="Agregar cuotas", IF(("16%")="", "-", "16%"), IF(INDIRECT(ADDRESS(ROW() + (0),COLUMN() + (1)))="No agregar cuotas", IF(("16%")="", "-", "16%"), "-"))</f>
        <v/>
      </c>
      <c r="K922" s="0" t="n"/>
      <c r="L922" s="31">
        <f>IF(INDIRECT(ADDRESS(ROW() + (0),COLUMN() + (-1)))="Agregar cuotas", IF(("13.4%")="", "Sin costo", "13.4%"), IF(INDIRECT(ADDRESS(ROW() + (0),COLUMN() + (-1)))="No agregar cuotas", IF(("")="", "Sin costo", ""), "-"))</f>
        <v/>
      </c>
      <c r="M922" s="0" t="n"/>
      <c r="N922" s="0" t="n"/>
      <c r="O922" s="0" t="n"/>
      <c r="P922" s="47" t="n"/>
      <c r="R922" s="0" t="n"/>
      <c r="S922" s="0" t="n"/>
      <c r="U922" s="0" t="n"/>
      <c r="X922" s="0" t="n"/>
      <c r="AA922" s="0" t="n"/>
      <c r="AB92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2" s="53">
        <f>IF(OR(TRIM(INDIRECT("B"&amp;ROW())) &lt;&gt; "",TRIM(INDIRECT("A"&amp;ROW())) &lt;&gt; ""),AND(TRIM(INDIRECT("A"&amp;ROW())) &lt;&gt; "",TRIM(INDIRECT("D"&amp;ROW())) = "nuevo"),"")</f>
        <v/>
      </c>
    </row>
    <row r="923" ht="27.5" customHeight="1" s="62">
      <c r="C923" s="0">
        <f>LEN(INDIRECT(ADDRESS(ROW() + (0),COLUMN() + (-1))))</f>
        <v/>
      </c>
      <c r="D923" s="0" t="n"/>
      <c r="E923" s="38" t="n"/>
      <c r="G923" s="40" t="n"/>
      <c r="J923" s="31">
        <f>IF(INDIRECT(ADDRESS(ROW() + (0),COLUMN() + (1)))="Agregar cuotas", IF(("16%")="", "-", "16%"), IF(INDIRECT(ADDRESS(ROW() + (0),COLUMN() + (1)))="No agregar cuotas", IF(("16%")="", "-", "16%"), "-"))</f>
        <v/>
      </c>
      <c r="K923" s="0" t="n"/>
      <c r="L923" s="31">
        <f>IF(INDIRECT(ADDRESS(ROW() + (0),COLUMN() + (-1)))="Agregar cuotas", IF(("13.4%")="", "Sin costo", "13.4%"), IF(INDIRECT(ADDRESS(ROW() + (0),COLUMN() + (-1)))="No agregar cuotas", IF(("")="", "Sin costo", ""), "-"))</f>
        <v/>
      </c>
      <c r="M923" s="0" t="n"/>
      <c r="N923" s="0" t="n"/>
      <c r="O923" s="0" t="n"/>
      <c r="P923" s="47" t="n"/>
      <c r="R923" s="0" t="n"/>
      <c r="S923" s="0" t="n"/>
      <c r="U923" s="0" t="n"/>
      <c r="X923" s="0" t="n"/>
      <c r="AA923" s="0" t="n"/>
      <c r="AB92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3" s="53">
        <f>IF(OR(TRIM(INDIRECT("B"&amp;ROW())) &lt;&gt; "",TRIM(INDIRECT("A"&amp;ROW())) &lt;&gt; ""),AND(TRIM(INDIRECT("A"&amp;ROW())) &lt;&gt; "",TRIM(INDIRECT("D"&amp;ROW())) = "nuevo"),"")</f>
        <v/>
      </c>
    </row>
    <row r="924" ht="27.5" customHeight="1" s="62">
      <c r="C924" s="0">
        <f>LEN(INDIRECT(ADDRESS(ROW() + (0),COLUMN() + (-1))))</f>
        <v/>
      </c>
      <c r="D924" s="0" t="n"/>
      <c r="E924" s="38" t="n"/>
      <c r="G924" s="40" t="n"/>
      <c r="J924" s="31">
        <f>IF(INDIRECT(ADDRESS(ROW() + (0),COLUMN() + (1)))="Agregar cuotas", IF(("16%")="", "-", "16%"), IF(INDIRECT(ADDRESS(ROW() + (0),COLUMN() + (1)))="No agregar cuotas", IF(("16%")="", "-", "16%"), "-"))</f>
        <v/>
      </c>
      <c r="K924" s="0" t="n"/>
      <c r="L924" s="31">
        <f>IF(INDIRECT(ADDRESS(ROW() + (0),COLUMN() + (-1)))="Agregar cuotas", IF(("13.4%")="", "Sin costo", "13.4%"), IF(INDIRECT(ADDRESS(ROW() + (0),COLUMN() + (-1)))="No agregar cuotas", IF(("")="", "Sin costo", ""), "-"))</f>
        <v/>
      </c>
      <c r="M924" s="0" t="n"/>
      <c r="N924" s="0" t="n"/>
      <c r="O924" s="0" t="n"/>
      <c r="P924" s="47" t="n"/>
      <c r="R924" s="0" t="n"/>
      <c r="S924" s="0" t="n"/>
      <c r="U924" s="0" t="n"/>
      <c r="X924" s="0" t="n"/>
      <c r="AA924" s="0" t="n"/>
      <c r="AB92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4" s="53">
        <f>IF(OR(TRIM(INDIRECT("B"&amp;ROW())) &lt;&gt; "",TRIM(INDIRECT("A"&amp;ROW())) &lt;&gt; ""),AND(TRIM(INDIRECT("A"&amp;ROW())) &lt;&gt; "",TRIM(INDIRECT("D"&amp;ROW())) = "nuevo"),"")</f>
        <v/>
      </c>
    </row>
    <row r="925" ht="27.5" customHeight="1" s="62">
      <c r="C925" s="0">
        <f>LEN(INDIRECT(ADDRESS(ROW() + (0),COLUMN() + (-1))))</f>
        <v/>
      </c>
      <c r="D925" s="0" t="n"/>
      <c r="E925" s="38" t="n"/>
      <c r="G925" s="40" t="n"/>
      <c r="J925" s="31">
        <f>IF(INDIRECT(ADDRESS(ROW() + (0),COLUMN() + (1)))="Agregar cuotas", IF(("16%")="", "-", "16%"), IF(INDIRECT(ADDRESS(ROW() + (0),COLUMN() + (1)))="No agregar cuotas", IF(("16%")="", "-", "16%"), "-"))</f>
        <v/>
      </c>
      <c r="K925" s="0" t="n"/>
      <c r="L925" s="31">
        <f>IF(INDIRECT(ADDRESS(ROW() + (0),COLUMN() + (-1)))="Agregar cuotas", IF(("13.4%")="", "Sin costo", "13.4%"), IF(INDIRECT(ADDRESS(ROW() + (0),COLUMN() + (-1)))="No agregar cuotas", IF(("")="", "Sin costo", ""), "-"))</f>
        <v/>
      </c>
      <c r="M925" s="0" t="n"/>
      <c r="N925" s="0" t="n"/>
      <c r="O925" s="0" t="n"/>
      <c r="P925" s="47" t="n"/>
      <c r="R925" s="0" t="n"/>
      <c r="S925" s="0" t="n"/>
      <c r="U925" s="0" t="n"/>
      <c r="X925" s="0" t="n"/>
      <c r="AA925" s="0" t="n"/>
      <c r="AB92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5" s="53">
        <f>IF(OR(TRIM(INDIRECT("B"&amp;ROW())) &lt;&gt; "",TRIM(INDIRECT("A"&amp;ROW())) &lt;&gt; ""),AND(TRIM(INDIRECT("A"&amp;ROW())) &lt;&gt; "",TRIM(INDIRECT("D"&amp;ROW())) = "nuevo"),"")</f>
        <v/>
      </c>
    </row>
    <row r="926" ht="27.5" customHeight="1" s="62">
      <c r="C926" s="0">
        <f>LEN(INDIRECT(ADDRESS(ROW() + (0),COLUMN() + (-1))))</f>
        <v/>
      </c>
      <c r="D926" s="0" t="n"/>
      <c r="E926" s="38" t="n"/>
      <c r="G926" s="40" t="n"/>
      <c r="J926" s="31">
        <f>IF(INDIRECT(ADDRESS(ROW() + (0),COLUMN() + (1)))="Agregar cuotas", IF(("16%")="", "-", "16%"), IF(INDIRECT(ADDRESS(ROW() + (0),COLUMN() + (1)))="No agregar cuotas", IF(("16%")="", "-", "16%"), "-"))</f>
        <v/>
      </c>
      <c r="K926" s="0" t="n"/>
      <c r="L926" s="31">
        <f>IF(INDIRECT(ADDRESS(ROW() + (0),COLUMN() + (-1)))="Agregar cuotas", IF(("13.4%")="", "Sin costo", "13.4%"), IF(INDIRECT(ADDRESS(ROW() + (0),COLUMN() + (-1)))="No agregar cuotas", IF(("")="", "Sin costo", ""), "-"))</f>
        <v/>
      </c>
      <c r="M926" s="0" t="n"/>
      <c r="N926" s="0" t="n"/>
      <c r="O926" s="0" t="n"/>
      <c r="P926" s="47" t="n"/>
      <c r="R926" s="0" t="n"/>
      <c r="S926" s="0" t="n"/>
      <c r="U926" s="0" t="n"/>
      <c r="X926" s="0" t="n"/>
      <c r="AA926" s="0" t="n"/>
      <c r="AB92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6" s="53">
        <f>IF(OR(TRIM(INDIRECT("B"&amp;ROW())) &lt;&gt; "",TRIM(INDIRECT("A"&amp;ROW())) &lt;&gt; ""),AND(TRIM(INDIRECT("A"&amp;ROW())) &lt;&gt; "",TRIM(INDIRECT("D"&amp;ROW())) = "nuevo"),"")</f>
        <v/>
      </c>
    </row>
    <row r="927" ht="27.5" customHeight="1" s="62">
      <c r="C927" s="0">
        <f>LEN(INDIRECT(ADDRESS(ROW() + (0),COLUMN() + (-1))))</f>
        <v/>
      </c>
      <c r="D927" s="0" t="n"/>
      <c r="E927" s="38" t="n"/>
      <c r="G927" s="40" t="n"/>
      <c r="J927" s="31">
        <f>IF(INDIRECT(ADDRESS(ROW() + (0),COLUMN() + (1)))="Agregar cuotas", IF(("16%")="", "-", "16%"), IF(INDIRECT(ADDRESS(ROW() + (0),COLUMN() + (1)))="No agregar cuotas", IF(("16%")="", "-", "16%"), "-"))</f>
        <v/>
      </c>
      <c r="K927" s="0" t="n"/>
      <c r="L927" s="31">
        <f>IF(INDIRECT(ADDRESS(ROW() + (0),COLUMN() + (-1)))="Agregar cuotas", IF(("13.4%")="", "Sin costo", "13.4%"), IF(INDIRECT(ADDRESS(ROW() + (0),COLUMN() + (-1)))="No agregar cuotas", IF(("")="", "Sin costo", ""), "-"))</f>
        <v/>
      </c>
      <c r="M927" s="0" t="n"/>
      <c r="N927" s="0" t="n"/>
      <c r="O927" s="0" t="n"/>
      <c r="P927" s="47" t="n"/>
      <c r="R927" s="0" t="n"/>
      <c r="S927" s="0" t="n"/>
      <c r="U927" s="0" t="n"/>
      <c r="X927" s="0" t="n"/>
      <c r="AA927" s="0" t="n"/>
      <c r="AB92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7" s="53">
        <f>IF(OR(TRIM(INDIRECT("B"&amp;ROW())) &lt;&gt; "",TRIM(INDIRECT("A"&amp;ROW())) &lt;&gt; ""),AND(TRIM(INDIRECT("A"&amp;ROW())) &lt;&gt; "",TRIM(INDIRECT("D"&amp;ROW())) = "nuevo"),"")</f>
        <v/>
      </c>
    </row>
    <row r="928" ht="27.5" customHeight="1" s="62">
      <c r="C928" s="0">
        <f>LEN(INDIRECT(ADDRESS(ROW() + (0),COLUMN() + (-1))))</f>
        <v/>
      </c>
      <c r="D928" s="0" t="n"/>
      <c r="E928" s="38" t="n"/>
      <c r="G928" s="40" t="n"/>
      <c r="J928" s="31">
        <f>IF(INDIRECT(ADDRESS(ROW() + (0),COLUMN() + (1)))="Agregar cuotas", IF(("16%")="", "-", "16%"), IF(INDIRECT(ADDRESS(ROW() + (0),COLUMN() + (1)))="No agregar cuotas", IF(("16%")="", "-", "16%"), "-"))</f>
        <v/>
      </c>
      <c r="K928" s="0" t="n"/>
      <c r="L928" s="31">
        <f>IF(INDIRECT(ADDRESS(ROW() + (0),COLUMN() + (-1)))="Agregar cuotas", IF(("13.4%")="", "Sin costo", "13.4%"), IF(INDIRECT(ADDRESS(ROW() + (0),COLUMN() + (-1)))="No agregar cuotas", IF(("")="", "Sin costo", ""), "-"))</f>
        <v/>
      </c>
      <c r="M928" s="0" t="n"/>
      <c r="N928" s="0" t="n"/>
      <c r="O928" s="0" t="n"/>
      <c r="P928" s="47" t="n"/>
      <c r="R928" s="0" t="n"/>
      <c r="S928" s="0" t="n"/>
      <c r="U928" s="0" t="n"/>
      <c r="X928" s="0" t="n"/>
      <c r="AA928" s="0" t="n"/>
      <c r="AB92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8" s="53">
        <f>IF(OR(TRIM(INDIRECT("B"&amp;ROW())) &lt;&gt; "",TRIM(INDIRECT("A"&amp;ROW())) &lt;&gt; ""),AND(TRIM(INDIRECT("A"&amp;ROW())) &lt;&gt; "",TRIM(INDIRECT("D"&amp;ROW())) = "nuevo"),"")</f>
        <v/>
      </c>
    </row>
    <row r="929" ht="27.5" customHeight="1" s="62">
      <c r="C929" s="0">
        <f>LEN(INDIRECT(ADDRESS(ROW() + (0),COLUMN() + (-1))))</f>
        <v/>
      </c>
      <c r="D929" s="0" t="n"/>
      <c r="E929" s="38" t="n"/>
      <c r="G929" s="40" t="n"/>
      <c r="J929" s="31">
        <f>IF(INDIRECT(ADDRESS(ROW() + (0),COLUMN() + (1)))="Agregar cuotas", IF(("16%")="", "-", "16%"), IF(INDIRECT(ADDRESS(ROW() + (0),COLUMN() + (1)))="No agregar cuotas", IF(("16%")="", "-", "16%"), "-"))</f>
        <v/>
      </c>
      <c r="K929" s="0" t="n"/>
      <c r="L929" s="31">
        <f>IF(INDIRECT(ADDRESS(ROW() + (0),COLUMN() + (-1)))="Agregar cuotas", IF(("13.4%")="", "Sin costo", "13.4%"), IF(INDIRECT(ADDRESS(ROW() + (0),COLUMN() + (-1)))="No agregar cuotas", IF(("")="", "Sin costo", ""), "-"))</f>
        <v/>
      </c>
      <c r="M929" s="0" t="n"/>
      <c r="N929" s="0" t="n"/>
      <c r="O929" s="0" t="n"/>
      <c r="P929" s="47" t="n"/>
      <c r="R929" s="0" t="n"/>
      <c r="S929" s="0" t="n"/>
      <c r="U929" s="0" t="n"/>
      <c r="X929" s="0" t="n"/>
      <c r="AA929" s="0" t="n"/>
      <c r="AB92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29" s="53">
        <f>IF(OR(TRIM(INDIRECT("B"&amp;ROW())) &lt;&gt; "",TRIM(INDIRECT("A"&amp;ROW())) &lt;&gt; ""),AND(TRIM(INDIRECT("A"&amp;ROW())) &lt;&gt; "",TRIM(INDIRECT("D"&amp;ROW())) = "nuevo"),"")</f>
        <v/>
      </c>
    </row>
    <row r="930" ht="27.5" customHeight="1" s="62">
      <c r="C930" s="0">
        <f>LEN(INDIRECT(ADDRESS(ROW() + (0),COLUMN() + (-1))))</f>
        <v/>
      </c>
      <c r="D930" s="0" t="n"/>
      <c r="E930" s="38" t="n"/>
      <c r="G930" s="40" t="n"/>
      <c r="J930" s="31">
        <f>IF(INDIRECT(ADDRESS(ROW() + (0),COLUMN() + (1)))="Agregar cuotas", IF(("16%")="", "-", "16%"), IF(INDIRECT(ADDRESS(ROW() + (0),COLUMN() + (1)))="No agregar cuotas", IF(("16%")="", "-", "16%"), "-"))</f>
        <v/>
      </c>
      <c r="K930" s="0" t="n"/>
      <c r="L930" s="31">
        <f>IF(INDIRECT(ADDRESS(ROW() + (0),COLUMN() + (-1)))="Agregar cuotas", IF(("13.4%")="", "Sin costo", "13.4%"), IF(INDIRECT(ADDRESS(ROW() + (0),COLUMN() + (-1)))="No agregar cuotas", IF(("")="", "Sin costo", ""), "-"))</f>
        <v/>
      </c>
      <c r="M930" s="0" t="n"/>
      <c r="N930" s="0" t="n"/>
      <c r="O930" s="0" t="n"/>
      <c r="P930" s="47" t="n"/>
      <c r="R930" s="0" t="n"/>
      <c r="S930" s="0" t="n"/>
      <c r="U930" s="0" t="n"/>
      <c r="X930" s="0" t="n"/>
      <c r="AA930" s="0" t="n"/>
      <c r="AB93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0" s="53">
        <f>IF(OR(TRIM(INDIRECT("B"&amp;ROW())) &lt;&gt; "",TRIM(INDIRECT("A"&amp;ROW())) &lt;&gt; ""),AND(TRIM(INDIRECT("A"&amp;ROW())) &lt;&gt; "",TRIM(INDIRECT("D"&amp;ROW())) = "nuevo"),"")</f>
        <v/>
      </c>
    </row>
    <row r="931" ht="27.5" customHeight="1" s="62">
      <c r="C931" s="0">
        <f>LEN(INDIRECT(ADDRESS(ROW() + (0),COLUMN() + (-1))))</f>
        <v/>
      </c>
      <c r="D931" s="0" t="n"/>
      <c r="E931" s="38" t="n"/>
      <c r="G931" s="40" t="n"/>
      <c r="J931" s="31">
        <f>IF(INDIRECT(ADDRESS(ROW() + (0),COLUMN() + (1)))="Agregar cuotas", IF(("16%")="", "-", "16%"), IF(INDIRECT(ADDRESS(ROW() + (0),COLUMN() + (1)))="No agregar cuotas", IF(("16%")="", "-", "16%"), "-"))</f>
        <v/>
      </c>
      <c r="K931" s="0" t="n"/>
      <c r="L931" s="31">
        <f>IF(INDIRECT(ADDRESS(ROW() + (0),COLUMN() + (-1)))="Agregar cuotas", IF(("13.4%")="", "Sin costo", "13.4%"), IF(INDIRECT(ADDRESS(ROW() + (0),COLUMN() + (-1)))="No agregar cuotas", IF(("")="", "Sin costo", ""), "-"))</f>
        <v/>
      </c>
      <c r="M931" s="0" t="n"/>
      <c r="N931" s="0" t="n"/>
      <c r="O931" s="0" t="n"/>
      <c r="P931" s="47" t="n"/>
      <c r="R931" s="0" t="n"/>
      <c r="S931" s="0" t="n"/>
      <c r="U931" s="0" t="n"/>
      <c r="X931" s="0" t="n"/>
      <c r="AA931" s="0" t="n"/>
      <c r="AB93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1" s="53">
        <f>IF(OR(TRIM(INDIRECT("B"&amp;ROW())) &lt;&gt; "",TRIM(INDIRECT("A"&amp;ROW())) &lt;&gt; ""),AND(TRIM(INDIRECT("A"&amp;ROW())) &lt;&gt; "",TRIM(INDIRECT("D"&amp;ROW())) = "nuevo"),"")</f>
        <v/>
      </c>
    </row>
    <row r="932" ht="27.5" customHeight="1" s="62">
      <c r="C932" s="0">
        <f>LEN(INDIRECT(ADDRESS(ROW() + (0),COLUMN() + (-1))))</f>
        <v/>
      </c>
      <c r="D932" s="0" t="n"/>
      <c r="E932" s="38" t="n"/>
      <c r="G932" s="40" t="n"/>
      <c r="J932" s="31">
        <f>IF(INDIRECT(ADDRESS(ROW() + (0),COLUMN() + (1)))="Agregar cuotas", IF(("16%")="", "-", "16%"), IF(INDIRECT(ADDRESS(ROW() + (0),COLUMN() + (1)))="No agregar cuotas", IF(("16%")="", "-", "16%"), "-"))</f>
        <v/>
      </c>
      <c r="K932" s="0" t="n"/>
      <c r="L932" s="31">
        <f>IF(INDIRECT(ADDRESS(ROW() + (0),COLUMN() + (-1)))="Agregar cuotas", IF(("13.4%")="", "Sin costo", "13.4%"), IF(INDIRECT(ADDRESS(ROW() + (0),COLUMN() + (-1)))="No agregar cuotas", IF(("")="", "Sin costo", ""), "-"))</f>
        <v/>
      </c>
      <c r="M932" s="0" t="n"/>
      <c r="N932" s="0" t="n"/>
      <c r="O932" s="0" t="n"/>
      <c r="P932" s="47" t="n"/>
      <c r="R932" s="0" t="n"/>
      <c r="S932" s="0" t="n"/>
      <c r="U932" s="0" t="n"/>
      <c r="X932" s="0" t="n"/>
      <c r="AA932" s="0" t="n"/>
      <c r="AB93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2" s="53">
        <f>IF(OR(TRIM(INDIRECT("B"&amp;ROW())) &lt;&gt; "",TRIM(INDIRECT("A"&amp;ROW())) &lt;&gt; ""),AND(TRIM(INDIRECT("A"&amp;ROW())) &lt;&gt; "",TRIM(INDIRECT("D"&amp;ROW())) = "nuevo"),"")</f>
        <v/>
      </c>
    </row>
    <row r="933" ht="27.5" customHeight="1" s="62">
      <c r="C933" s="0">
        <f>LEN(INDIRECT(ADDRESS(ROW() + (0),COLUMN() + (-1))))</f>
        <v/>
      </c>
      <c r="D933" s="0" t="n"/>
      <c r="E933" s="38" t="n"/>
      <c r="G933" s="40" t="n"/>
      <c r="J933" s="31">
        <f>IF(INDIRECT(ADDRESS(ROW() + (0),COLUMN() + (1)))="Agregar cuotas", IF(("16%")="", "-", "16%"), IF(INDIRECT(ADDRESS(ROW() + (0),COLUMN() + (1)))="No agregar cuotas", IF(("16%")="", "-", "16%"), "-"))</f>
        <v/>
      </c>
      <c r="K933" s="0" t="n"/>
      <c r="L933" s="31">
        <f>IF(INDIRECT(ADDRESS(ROW() + (0),COLUMN() + (-1)))="Agregar cuotas", IF(("13.4%")="", "Sin costo", "13.4%"), IF(INDIRECT(ADDRESS(ROW() + (0),COLUMN() + (-1)))="No agregar cuotas", IF(("")="", "Sin costo", ""), "-"))</f>
        <v/>
      </c>
      <c r="M933" s="0" t="n"/>
      <c r="N933" s="0" t="n"/>
      <c r="O933" s="0" t="n"/>
      <c r="P933" s="47" t="n"/>
      <c r="R933" s="0" t="n"/>
      <c r="S933" s="0" t="n"/>
      <c r="U933" s="0" t="n"/>
      <c r="X933" s="0" t="n"/>
      <c r="AA933" s="0" t="n"/>
      <c r="AB93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3" s="53">
        <f>IF(OR(TRIM(INDIRECT("B"&amp;ROW())) &lt;&gt; "",TRIM(INDIRECT("A"&amp;ROW())) &lt;&gt; ""),AND(TRIM(INDIRECT("A"&amp;ROW())) &lt;&gt; "",TRIM(INDIRECT("D"&amp;ROW())) = "nuevo"),"")</f>
        <v/>
      </c>
    </row>
    <row r="934" ht="27.5" customHeight="1" s="62">
      <c r="C934" s="0">
        <f>LEN(INDIRECT(ADDRESS(ROW() + (0),COLUMN() + (-1))))</f>
        <v/>
      </c>
      <c r="D934" s="0" t="n"/>
      <c r="E934" s="38" t="n"/>
      <c r="G934" s="40" t="n"/>
      <c r="J934" s="31">
        <f>IF(INDIRECT(ADDRESS(ROW() + (0),COLUMN() + (1)))="Agregar cuotas", IF(("16%")="", "-", "16%"), IF(INDIRECT(ADDRESS(ROW() + (0),COLUMN() + (1)))="No agregar cuotas", IF(("16%")="", "-", "16%"), "-"))</f>
        <v/>
      </c>
      <c r="K934" s="0" t="n"/>
      <c r="L934" s="31">
        <f>IF(INDIRECT(ADDRESS(ROW() + (0),COLUMN() + (-1)))="Agregar cuotas", IF(("13.4%")="", "Sin costo", "13.4%"), IF(INDIRECT(ADDRESS(ROW() + (0),COLUMN() + (-1)))="No agregar cuotas", IF(("")="", "Sin costo", ""), "-"))</f>
        <v/>
      </c>
      <c r="M934" s="0" t="n"/>
      <c r="N934" s="0" t="n"/>
      <c r="O934" s="0" t="n"/>
      <c r="P934" s="47" t="n"/>
      <c r="R934" s="0" t="n"/>
      <c r="S934" s="0" t="n"/>
      <c r="U934" s="0" t="n"/>
      <c r="X934" s="0" t="n"/>
      <c r="AA934" s="0" t="n"/>
      <c r="AB93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4" s="53">
        <f>IF(OR(TRIM(INDIRECT("B"&amp;ROW())) &lt;&gt; "",TRIM(INDIRECT("A"&amp;ROW())) &lt;&gt; ""),AND(TRIM(INDIRECT("A"&amp;ROW())) &lt;&gt; "",TRIM(INDIRECT("D"&amp;ROW())) = "nuevo"),"")</f>
        <v/>
      </c>
    </row>
    <row r="935" ht="27.5" customHeight="1" s="62">
      <c r="C935" s="0">
        <f>LEN(INDIRECT(ADDRESS(ROW() + (0),COLUMN() + (-1))))</f>
        <v/>
      </c>
      <c r="D935" s="0" t="n"/>
      <c r="E935" s="38" t="n"/>
      <c r="G935" s="40" t="n"/>
      <c r="J935" s="31">
        <f>IF(INDIRECT(ADDRESS(ROW() + (0),COLUMN() + (1)))="Agregar cuotas", IF(("16%")="", "-", "16%"), IF(INDIRECT(ADDRESS(ROW() + (0),COLUMN() + (1)))="No agregar cuotas", IF(("16%")="", "-", "16%"), "-"))</f>
        <v/>
      </c>
      <c r="K935" s="0" t="n"/>
      <c r="L935" s="31">
        <f>IF(INDIRECT(ADDRESS(ROW() + (0),COLUMN() + (-1)))="Agregar cuotas", IF(("13.4%")="", "Sin costo", "13.4%"), IF(INDIRECT(ADDRESS(ROW() + (0),COLUMN() + (-1)))="No agregar cuotas", IF(("")="", "Sin costo", ""), "-"))</f>
        <v/>
      </c>
      <c r="M935" s="0" t="n"/>
      <c r="N935" s="0" t="n"/>
      <c r="O935" s="0" t="n"/>
      <c r="P935" s="47" t="n"/>
      <c r="R935" s="0" t="n"/>
      <c r="S935" s="0" t="n"/>
      <c r="U935" s="0" t="n"/>
      <c r="X935" s="0" t="n"/>
      <c r="AA935" s="0" t="n"/>
      <c r="AB93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5" s="53">
        <f>IF(OR(TRIM(INDIRECT("B"&amp;ROW())) &lt;&gt; "",TRIM(INDIRECT("A"&amp;ROW())) &lt;&gt; ""),AND(TRIM(INDIRECT("A"&amp;ROW())) &lt;&gt; "",TRIM(INDIRECT("D"&amp;ROW())) = "nuevo"),"")</f>
        <v/>
      </c>
    </row>
    <row r="936" ht="27.5" customHeight="1" s="62">
      <c r="C936" s="0">
        <f>LEN(INDIRECT(ADDRESS(ROW() + (0),COLUMN() + (-1))))</f>
        <v/>
      </c>
      <c r="D936" s="0" t="n"/>
      <c r="E936" s="38" t="n"/>
      <c r="G936" s="40" t="n"/>
      <c r="J936" s="31">
        <f>IF(INDIRECT(ADDRESS(ROW() + (0),COLUMN() + (1)))="Agregar cuotas", IF(("16%")="", "-", "16%"), IF(INDIRECT(ADDRESS(ROW() + (0),COLUMN() + (1)))="No agregar cuotas", IF(("16%")="", "-", "16%"), "-"))</f>
        <v/>
      </c>
      <c r="K936" s="0" t="n"/>
      <c r="L936" s="31">
        <f>IF(INDIRECT(ADDRESS(ROW() + (0),COLUMN() + (-1)))="Agregar cuotas", IF(("13.4%")="", "Sin costo", "13.4%"), IF(INDIRECT(ADDRESS(ROW() + (0),COLUMN() + (-1)))="No agregar cuotas", IF(("")="", "Sin costo", ""), "-"))</f>
        <v/>
      </c>
      <c r="M936" s="0" t="n"/>
      <c r="N936" s="0" t="n"/>
      <c r="O936" s="0" t="n"/>
      <c r="P936" s="47" t="n"/>
      <c r="R936" s="0" t="n"/>
      <c r="S936" s="0" t="n"/>
      <c r="U936" s="0" t="n"/>
      <c r="X936" s="0" t="n"/>
      <c r="AA936" s="0" t="n"/>
      <c r="AB93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6" s="53">
        <f>IF(OR(TRIM(INDIRECT("B"&amp;ROW())) &lt;&gt; "",TRIM(INDIRECT("A"&amp;ROW())) &lt;&gt; ""),AND(TRIM(INDIRECT("A"&amp;ROW())) &lt;&gt; "",TRIM(INDIRECT("D"&amp;ROW())) = "nuevo"),"")</f>
        <v/>
      </c>
    </row>
    <row r="937" ht="27.5" customHeight="1" s="62">
      <c r="C937" s="0">
        <f>LEN(INDIRECT(ADDRESS(ROW() + (0),COLUMN() + (-1))))</f>
        <v/>
      </c>
      <c r="D937" s="0" t="n"/>
      <c r="E937" s="38" t="n"/>
      <c r="G937" s="40" t="n"/>
      <c r="J937" s="31">
        <f>IF(INDIRECT(ADDRESS(ROW() + (0),COLUMN() + (1)))="Agregar cuotas", IF(("16%")="", "-", "16%"), IF(INDIRECT(ADDRESS(ROW() + (0),COLUMN() + (1)))="No agregar cuotas", IF(("16%")="", "-", "16%"), "-"))</f>
        <v/>
      </c>
      <c r="K937" s="0" t="n"/>
      <c r="L937" s="31">
        <f>IF(INDIRECT(ADDRESS(ROW() + (0),COLUMN() + (-1)))="Agregar cuotas", IF(("13.4%")="", "Sin costo", "13.4%"), IF(INDIRECT(ADDRESS(ROW() + (0),COLUMN() + (-1)))="No agregar cuotas", IF(("")="", "Sin costo", ""), "-"))</f>
        <v/>
      </c>
      <c r="M937" s="0" t="n"/>
      <c r="N937" s="0" t="n"/>
      <c r="O937" s="0" t="n"/>
      <c r="P937" s="47" t="n"/>
      <c r="R937" s="0" t="n"/>
      <c r="S937" s="0" t="n"/>
      <c r="U937" s="0" t="n"/>
      <c r="X937" s="0" t="n"/>
      <c r="AA937" s="0" t="n"/>
      <c r="AB93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7" s="53">
        <f>IF(OR(TRIM(INDIRECT("B"&amp;ROW())) &lt;&gt; "",TRIM(INDIRECT("A"&amp;ROW())) &lt;&gt; ""),AND(TRIM(INDIRECT("A"&amp;ROW())) &lt;&gt; "",TRIM(INDIRECT("D"&amp;ROW())) = "nuevo"),"")</f>
        <v/>
      </c>
    </row>
    <row r="938" ht="27.5" customHeight="1" s="62">
      <c r="C938" s="0">
        <f>LEN(INDIRECT(ADDRESS(ROW() + (0),COLUMN() + (-1))))</f>
        <v/>
      </c>
      <c r="D938" s="0" t="n"/>
      <c r="E938" s="38" t="n"/>
      <c r="G938" s="40" t="n"/>
      <c r="J938" s="31">
        <f>IF(INDIRECT(ADDRESS(ROW() + (0),COLUMN() + (1)))="Agregar cuotas", IF(("16%")="", "-", "16%"), IF(INDIRECT(ADDRESS(ROW() + (0),COLUMN() + (1)))="No agregar cuotas", IF(("16%")="", "-", "16%"), "-"))</f>
        <v/>
      </c>
      <c r="K938" s="0" t="n"/>
      <c r="L938" s="31">
        <f>IF(INDIRECT(ADDRESS(ROW() + (0),COLUMN() + (-1)))="Agregar cuotas", IF(("13.4%")="", "Sin costo", "13.4%"), IF(INDIRECT(ADDRESS(ROW() + (0),COLUMN() + (-1)))="No agregar cuotas", IF(("")="", "Sin costo", ""), "-"))</f>
        <v/>
      </c>
      <c r="M938" s="0" t="n"/>
      <c r="N938" s="0" t="n"/>
      <c r="O938" s="0" t="n"/>
      <c r="P938" s="47" t="n"/>
      <c r="R938" s="0" t="n"/>
      <c r="S938" s="0" t="n"/>
      <c r="U938" s="0" t="n"/>
      <c r="X938" s="0" t="n"/>
      <c r="AA938" s="0" t="n"/>
      <c r="AB93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8" s="53">
        <f>IF(OR(TRIM(INDIRECT("B"&amp;ROW())) &lt;&gt; "",TRIM(INDIRECT("A"&amp;ROW())) &lt;&gt; ""),AND(TRIM(INDIRECT("A"&amp;ROW())) &lt;&gt; "",TRIM(INDIRECT("D"&amp;ROW())) = "nuevo"),"")</f>
        <v/>
      </c>
    </row>
    <row r="939" ht="27.5" customHeight="1" s="62">
      <c r="C939" s="0">
        <f>LEN(INDIRECT(ADDRESS(ROW() + (0),COLUMN() + (-1))))</f>
        <v/>
      </c>
      <c r="D939" s="0" t="n"/>
      <c r="E939" s="38" t="n"/>
      <c r="G939" s="40" t="n"/>
      <c r="J939" s="31">
        <f>IF(INDIRECT(ADDRESS(ROW() + (0),COLUMN() + (1)))="Agregar cuotas", IF(("16%")="", "-", "16%"), IF(INDIRECT(ADDRESS(ROW() + (0),COLUMN() + (1)))="No agregar cuotas", IF(("16%")="", "-", "16%"), "-"))</f>
        <v/>
      </c>
      <c r="K939" s="0" t="n"/>
      <c r="L939" s="31">
        <f>IF(INDIRECT(ADDRESS(ROW() + (0),COLUMN() + (-1)))="Agregar cuotas", IF(("13.4%")="", "Sin costo", "13.4%"), IF(INDIRECT(ADDRESS(ROW() + (0),COLUMN() + (-1)))="No agregar cuotas", IF(("")="", "Sin costo", ""), "-"))</f>
        <v/>
      </c>
      <c r="M939" s="0" t="n"/>
      <c r="N939" s="0" t="n"/>
      <c r="O939" s="0" t="n"/>
      <c r="P939" s="47" t="n"/>
      <c r="R939" s="0" t="n"/>
      <c r="S939" s="0" t="n"/>
      <c r="U939" s="0" t="n"/>
      <c r="X939" s="0" t="n"/>
      <c r="AA939" s="0" t="n"/>
      <c r="AB93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39" s="53">
        <f>IF(OR(TRIM(INDIRECT("B"&amp;ROW())) &lt;&gt; "",TRIM(INDIRECT("A"&amp;ROW())) &lt;&gt; ""),AND(TRIM(INDIRECT("A"&amp;ROW())) &lt;&gt; "",TRIM(INDIRECT("D"&amp;ROW())) = "nuevo"),"")</f>
        <v/>
      </c>
    </row>
    <row r="940" ht="27.5" customHeight="1" s="62">
      <c r="C940" s="0">
        <f>LEN(INDIRECT(ADDRESS(ROW() + (0),COLUMN() + (-1))))</f>
        <v/>
      </c>
      <c r="D940" s="0" t="n"/>
      <c r="E940" s="38" t="n"/>
      <c r="G940" s="40" t="n"/>
      <c r="J940" s="31">
        <f>IF(INDIRECT(ADDRESS(ROW() + (0),COLUMN() + (1)))="Agregar cuotas", IF(("16%")="", "-", "16%"), IF(INDIRECT(ADDRESS(ROW() + (0),COLUMN() + (1)))="No agregar cuotas", IF(("16%")="", "-", "16%"), "-"))</f>
        <v/>
      </c>
      <c r="K940" s="0" t="n"/>
      <c r="L940" s="31">
        <f>IF(INDIRECT(ADDRESS(ROW() + (0),COLUMN() + (-1)))="Agregar cuotas", IF(("13.4%")="", "Sin costo", "13.4%"), IF(INDIRECT(ADDRESS(ROW() + (0),COLUMN() + (-1)))="No agregar cuotas", IF(("")="", "Sin costo", ""), "-"))</f>
        <v/>
      </c>
      <c r="M940" s="0" t="n"/>
      <c r="N940" s="0" t="n"/>
      <c r="O940" s="0" t="n"/>
      <c r="P940" s="47" t="n"/>
      <c r="R940" s="0" t="n"/>
      <c r="S940" s="0" t="n"/>
      <c r="U940" s="0" t="n"/>
      <c r="X940" s="0" t="n"/>
      <c r="AA940" s="0" t="n"/>
      <c r="AB94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0" s="53">
        <f>IF(OR(TRIM(INDIRECT("B"&amp;ROW())) &lt;&gt; "",TRIM(INDIRECT("A"&amp;ROW())) &lt;&gt; ""),AND(TRIM(INDIRECT("A"&amp;ROW())) &lt;&gt; "",TRIM(INDIRECT("D"&amp;ROW())) = "nuevo"),"")</f>
        <v/>
      </c>
    </row>
    <row r="941" ht="27.5" customHeight="1" s="62">
      <c r="C941" s="0">
        <f>LEN(INDIRECT(ADDRESS(ROW() + (0),COLUMN() + (-1))))</f>
        <v/>
      </c>
      <c r="D941" s="0" t="n"/>
      <c r="E941" s="38" t="n"/>
      <c r="G941" s="40" t="n"/>
      <c r="J941" s="31">
        <f>IF(INDIRECT(ADDRESS(ROW() + (0),COLUMN() + (1)))="Agregar cuotas", IF(("16%")="", "-", "16%"), IF(INDIRECT(ADDRESS(ROW() + (0),COLUMN() + (1)))="No agregar cuotas", IF(("16%")="", "-", "16%"), "-"))</f>
        <v/>
      </c>
      <c r="K941" s="0" t="n"/>
      <c r="L941" s="31">
        <f>IF(INDIRECT(ADDRESS(ROW() + (0),COLUMN() + (-1)))="Agregar cuotas", IF(("13.4%")="", "Sin costo", "13.4%"), IF(INDIRECT(ADDRESS(ROW() + (0),COLUMN() + (-1)))="No agregar cuotas", IF(("")="", "Sin costo", ""), "-"))</f>
        <v/>
      </c>
      <c r="M941" s="0" t="n"/>
      <c r="N941" s="0" t="n"/>
      <c r="O941" s="0" t="n"/>
      <c r="P941" s="47" t="n"/>
      <c r="R941" s="0" t="n"/>
      <c r="S941" s="0" t="n"/>
      <c r="U941" s="0" t="n"/>
      <c r="X941" s="0" t="n"/>
      <c r="AA941" s="0" t="n"/>
      <c r="AB94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1" s="53">
        <f>IF(OR(TRIM(INDIRECT("B"&amp;ROW())) &lt;&gt; "",TRIM(INDIRECT("A"&amp;ROW())) &lt;&gt; ""),AND(TRIM(INDIRECT("A"&amp;ROW())) &lt;&gt; "",TRIM(INDIRECT("D"&amp;ROW())) = "nuevo"),"")</f>
        <v/>
      </c>
    </row>
    <row r="942" ht="27.5" customHeight="1" s="62">
      <c r="C942" s="0">
        <f>LEN(INDIRECT(ADDRESS(ROW() + (0),COLUMN() + (-1))))</f>
        <v/>
      </c>
      <c r="D942" s="0" t="n"/>
      <c r="E942" s="38" t="n"/>
      <c r="G942" s="40" t="n"/>
      <c r="J942" s="31">
        <f>IF(INDIRECT(ADDRESS(ROW() + (0),COLUMN() + (1)))="Agregar cuotas", IF(("16%")="", "-", "16%"), IF(INDIRECT(ADDRESS(ROW() + (0),COLUMN() + (1)))="No agregar cuotas", IF(("16%")="", "-", "16%"), "-"))</f>
        <v/>
      </c>
      <c r="K942" s="0" t="n"/>
      <c r="L942" s="31">
        <f>IF(INDIRECT(ADDRESS(ROW() + (0),COLUMN() + (-1)))="Agregar cuotas", IF(("13.4%")="", "Sin costo", "13.4%"), IF(INDIRECT(ADDRESS(ROW() + (0),COLUMN() + (-1)))="No agregar cuotas", IF(("")="", "Sin costo", ""), "-"))</f>
        <v/>
      </c>
      <c r="M942" s="0" t="n"/>
      <c r="N942" s="0" t="n"/>
      <c r="O942" s="0" t="n"/>
      <c r="P942" s="47" t="n"/>
      <c r="R942" s="0" t="n"/>
      <c r="S942" s="0" t="n"/>
      <c r="U942" s="0" t="n"/>
      <c r="X942" s="0" t="n"/>
      <c r="AA942" s="0" t="n"/>
      <c r="AB94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2" s="53">
        <f>IF(OR(TRIM(INDIRECT("B"&amp;ROW())) &lt;&gt; "",TRIM(INDIRECT("A"&amp;ROW())) &lt;&gt; ""),AND(TRIM(INDIRECT("A"&amp;ROW())) &lt;&gt; "",TRIM(INDIRECT("D"&amp;ROW())) = "nuevo"),"")</f>
        <v/>
      </c>
    </row>
    <row r="943" ht="27.5" customHeight="1" s="62">
      <c r="C943" s="0">
        <f>LEN(INDIRECT(ADDRESS(ROW() + (0),COLUMN() + (-1))))</f>
        <v/>
      </c>
      <c r="D943" s="0" t="n"/>
      <c r="E943" s="38" t="n"/>
      <c r="G943" s="40" t="n"/>
      <c r="J943" s="31">
        <f>IF(INDIRECT(ADDRESS(ROW() + (0),COLUMN() + (1)))="Agregar cuotas", IF(("16%")="", "-", "16%"), IF(INDIRECT(ADDRESS(ROW() + (0),COLUMN() + (1)))="No agregar cuotas", IF(("16%")="", "-", "16%"), "-"))</f>
        <v/>
      </c>
      <c r="K943" s="0" t="n"/>
      <c r="L943" s="31">
        <f>IF(INDIRECT(ADDRESS(ROW() + (0),COLUMN() + (-1)))="Agregar cuotas", IF(("13.4%")="", "Sin costo", "13.4%"), IF(INDIRECT(ADDRESS(ROW() + (0),COLUMN() + (-1)))="No agregar cuotas", IF(("")="", "Sin costo", ""), "-"))</f>
        <v/>
      </c>
      <c r="M943" s="0" t="n"/>
      <c r="N943" s="0" t="n"/>
      <c r="O943" s="0" t="n"/>
      <c r="P943" s="47" t="n"/>
      <c r="R943" s="0" t="n"/>
      <c r="S943" s="0" t="n"/>
      <c r="U943" s="0" t="n"/>
      <c r="X943" s="0" t="n"/>
      <c r="AA943" s="0" t="n"/>
      <c r="AB94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3" s="53">
        <f>IF(OR(TRIM(INDIRECT("B"&amp;ROW())) &lt;&gt; "",TRIM(INDIRECT("A"&amp;ROW())) &lt;&gt; ""),AND(TRIM(INDIRECT("A"&amp;ROW())) &lt;&gt; "",TRIM(INDIRECT("D"&amp;ROW())) = "nuevo"),"")</f>
        <v/>
      </c>
    </row>
    <row r="944" ht="27.5" customHeight="1" s="62">
      <c r="C944" s="0">
        <f>LEN(INDIRECT(ADDRESS(ROW() + (0),COLUMN() + (-1))))</f>
        <v/>
      </c>
      <c r="D944" s="0" t="n"/>
      <c r="E944" s="38" t="n"/>
      <c r="G944" s="40" t="n"/>
      <c r="J944" s="31">
        <f>IF(INDIRECT(ADDRESS(ROW() + (0),COLUMN() + (1)))="Agregar cuotas", IF(("16%")="", "-", "16%"), IF(INDIRECT(ADDRESS(ROW() + (0),COLUMN() + (1)))="No agregar cuotas", IF(("16%")="", "-", "16%"), "-"))</f>
        <v/>
      </c>
      <c r="K944" s="0" t="n"/>
      <c r="L944" s="31">
        <f>IF(INDIRECT(ADDRESS(ROW() + (0),COLUMN() + (-1)))="Agregar cuotas", IF(("13.4%")="", "Sin costo", "13.4%"), IF(INDIRECT(ADDRESS(ROW() + (0),COLUMN() + (-1)))="No agregar cuotas", IF(("")="", "Sin costo", ""), "-"))</f>
        <v/>
      </c>
      <c r="M944" s="0" t="n"/>
      <c r="N944" s="0" t="n"/>
      <c r="O944" s="0" t="n"/>
      <c r="P944" s="47" t="n"/>
      <c r="R944" s="0" t="n"/>
      <c r="S944" s="0" t="n"/>
      <c r="U944" s="0" t="n"/>
      <c r="X944" s="0" t="n"/>
      <c r="AA944" s="0" t="n"/>
      <c r="AB94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4" s="53">
        <f>IF(OR(TRIM(INDIRECT("B"&amp;ROW())) &lt;&gt; "",TRIM(INDIRECT("A"&amp;ROW())) &lt;&gt; ""),AND(TRIM(INDIRECT("A"&amp;ROW())) &lt;&gt; "",TRIM(INDIRECT("D"&amp;ROW())) = "nuevo"),"")</f>
        <v/>
      </c>
    </row>
    <row r="945" ht="27.5" customHeight="1" s="62">
      <c r="C945" s="0">
        <f>LEN(INDIRECT(ADDRESS(ROW() + (0),COLUMN() + (-1))))</f>
        <v/>
      </c>
      <c r="D945" s="0" t="n"/>
      <c r="E945" s="38" t="n"/>
      <c r="G945" s="40" t="n"/>
      <c r="J945" s="31">
        <f>IF(INDIRECT(ADDRESS(ROW() + (0),COLUMN() + (1)))="Agregar cuotas", IF(("16%")="", "-", "16%"), IF(INDIRECT(ADDRESS(ROW() + (0),COLUMN() + (1)))="No agregar cuotas", IF(("16%")="", "-", "16%"), "-"))</f>
        <v/>
      </c>
      <c r="K945" s="0" t="n"/>
      <c r="L945" s="31">
        <f>IF(INDIRECT(ADDRESS(ROW() + (0),COLUMN() + (-1)))="Agregar cuotas", IF(("13.4%")="", "Sin costo", "13.4%"), IF(INDIRECT(ADDRESS(ROW() + (0),COLUMN() + (-1)))="No agregar cuotas", IF(("")="", "Sin costo", ""), "-"))</f>
        <v/>
      </c>
      <c r="M945" s="0" t="n"/>
      <c r="N945" s="0" t="n"/>
      <c r="O945" s="0" t="n"/>
      <c r="P945" s="47" t="n"/>
      <c r="R945" s="0" t="n"/>
      <c r="S945" s="0" t="n"/>
      <c r="U945" s="0" t="n"/>
      <c r="X945" s="0" t="n"/>
      <c r="AA945" s="0" t="n"/>
      <c r="AB94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5" s="53">
        <f>IF(OR(TRIM(INDIRECT("B"&amp;ROW())) &lt;&gt; "",TRIM(INDIRECT("A"&amp;ROW())) &lt;&gt; ""),AND(TRIM(INDIRECT("A"&amp;ROW())) &lt;&gt; "",TRIM(INDIRECT("D"&amp;ROW())) = "nuevo"),"")</f>
        <v/>
      </c>
    </row>
    <row r="946" ht="27.5" customHeight="1" s="62">
      <c r="C946" s="0">
        <f>LEN(INDIRECT(ADDRESS(ROW() + (0),COLUMN() + (-1))))</f>
        <v/>
      </c>
      <c r="D946" s="0" t="n"/>
      <c r="E946" s="38" t="n"/>
      <c r="G946" s="40" t="n"/>
      <c r="J946" s="31">
        <f>IF(INDIRECT(ADDRESS(ROW() + (0),COLUMN() + (1)))="Agregar cuotas", IF(("16%")="", "-", "16%"), IF(INDIRECT(ADDRESS(ROW() + (0),COLUMN() + (1)))="No agregar cuotas", IF(("16%")="", "-", "16%"), "-"))</f>
        <v/>
      </c>
      <c r="K946" s="0" t="n"/>
      <c r="L946" s="31">
        <f>IF(INDIRECT(ADDRESS(ROW() + (0),COLUMN() + (-1)))="Agregar cuotas", IF(("13.4%")="", "Sin costo", "13.4%"), IF(INDIRECT(ADDRESS(ROW() + (0),COLUMN() + (-1)))="No agregar cuotas", IF(("")="", "Sin costo", ""), "-"))</f>
        <v/>
      </c>
      <c r="M946" s="0" t="n"/>
      <c r="N946" s="0" t="n"/>
      <c r="O946" s="0" t="n"/>
      <c r="P946" s="47" t="n"/>
      <c r="R946" s="0" t="n"/>
      <c r="S946" s="0" t="n"/>
      <c r="U946" s="0" t="n"/>
      <c r="X946" s="0" t="n"/>
      <c r="AA946" s="0" t="n"/>
      <c r="AB94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6" s="53">
        <f>IF(OR(TRIM(INDIRECT("B"&amp;ROW())) &lt;&gt; "",TRIM(INDIRECT("A"&amp;ROW())) &lt;&gt; ""),AND(TRIM(INDIRECT("A"&amp;ROW())) &lt;&gt; "",TRIM(INDIRECT("D"&amp;ROW())) = "nuevo"),"")</f>
        <v/>
      </c>
    </row>
    <row r="947" ht="27.5" customHeight="1" s="62">
      <c r="C947" s="0">
        <f>LEN(INDIRECT(ADDRESS(ROW() + (0),COLUMN() + (-1))))</f>
        <v/>
      </c>
      <c r="D947" s="0" t="n"/>
      <c r="E947" s="38" t="n"/>
      <c r="G947" s="40" t="n"/>
      <c r="J947" s="31">
        <f>IF(INDIRECT(ADDRESS(ROW() + (0),COLUMN() + (1)))="Agregar cuotas", IF(("16%")="", "-", "16%"), IF(INDIRECT(ADDRESS(ROW() + (0),COLUMN() + (1)))="No agregar cuotas", IF(("16%")="", "-", "16%"), "-"))</f>
        <v/>
      </c>
      <c r="K947" s="0" t="n"/>
      <c r="L947" s="31">
        <f>IF(INDIRECT(ADDRESS(ROW() + (0),COLUMN() + (-1)))="Agregar cuotas", IF(("13.4%")="", "Sin costo", "13.4%"), IF(INDIRECT(ADDRESS(ROW() + (0),COLUMN() + (-1)))="No agregar cuotas", IF(("")="", "Sin costo", ""), "-"))</f>
        <v/>
      </c>
      <c r="M947" s="0" t="n"/>
      <c r="N947" s="0" t="n"/>
      <c r="O947" s="0" t="n"/>
      <c r="P947" s="47" t="n"/>
      <c r="R947" s="0" t="n"/>
      <c r="S947" s="0" t="n"/>
      <c r="U947" s="0" t="n"/>
      <c r="X947" s="0" t="n"/>
      <c r="AA947" s="0" t="n"/>
      <c r="AB94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7" s="53">
        <f>IF(OR(TRIM(INDIRECT("B"&amp;ROW())) &lt;&gt; "",TRIM(INDIRECT("A"&amp;ROW())) &lt;&gt; ""),AND(TRIM(INDIRECT("A"&amp;ROW())) &lt;&gt; "",TRIM(INDIRECT("D"&amp;ROW())) = "nuevo"),"")</f>
        <v/>
      </c>
    </row>
    <row r="948" ht="27.5" customHeight="1" s="62">
      <c r="C948" s="0">
        <f>LEN(INDIRECT(ADDRESS(ROW() + (0),COLUMN() + (-1))))</f>
        <v/>
      </c>
      <c r="D948" s="0" t="n"/>
      <c r="E948" s="38" t="n"/>
      <c r="G948" s="40" t="n"/>
      <c r="J948" s="31">
        <f>IF(INDIRECT(ADDRESS(ROW() + (0),COLUMN() + (1)))="Agregar cuotas", IF(("16%")="", "-", "16%"), IF(INDIRECT(ADDRESS(ROW() + (0),COLUMN() + (1)))="No agregar cuotas", IF(("16%")="", "-", "16%"), "-"))</f>
        <v/>
      </c>
      <c r="K948" s="0" t="n"/>
      <c r="L948" s="31">
        <f>IF(INDIRECT(ADDRESS(ROW() + (0),COLUMN() + (-1)))="Agregar cuotas", IF(("13.4%")="", "Sin costo", "13.4%"), IF(INDIRECT(ADDRESS(ROW() + (0),COLUMN() + (-1)))="No agregar cuotas", IF(("")="", "Sin costo", ""), "-"))</f>
        <v/>
      </c>
      <c r="M948" s="0" t="n"/>
      <c r="N948" s="0" t="n"/>
      <c r="O948" s="0" t="n"/>
      <c r="P948" s="47" t="n"/>
      <c r="R948" s="0" t="n"/>
      <c r="S948" s="0" t="n"/>
      <c r="U948" s="0" t="n"/>
      <c r="X948" s="0" t="n"/>
      <c r="AA948" s="0" t="n"/>
      <c r="AB94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8" s="53">
        <f>IF(OR(TRIM(INDIRECT("B"&amp;ROW())) &lt;&gt; "",TRIM(INDIRECT("A"&amp;ROW())) &lt;&gt; ""),AND(TRIM(INDIRECT("A"&amp;ROW())) &lt;&gt; "",TRIM(INDIRECT("D"&amp;ROW())) = "nuevo"),"")</f>
        <v/>
      </c>
    </row>
    <row r="949" ht="27.5" customHeight="1" s="62">
      <c r="C949" s="0">
        <f>LEN(INDIRECT(ADDRESS(ROW() + (0),COLUMN() + (-1))))</f>
        <v/>
      </c>
      <c r="D949" s="0" t="n"/>
      <c r="E949" s="38" t="n"/>
      <c r="G949" s="40" t="n"/>
      <c r="J949" s="31">
        <f>IF(INDIRECT(ADDRESS(ROW() + (0),COLUMN() + (1)))="Agregar cuotas", IF(("16%")="", "-", "16%"), IF(INDIRECT(ADDRESS(ROW() + (0),COLUMN() + (1)))="No agregar cuotas", IF(("16%")="", "-", "16%"), "-"))</f>
        <v/>
      </c>
      <c r="K949" s="0" t="n"/>
      <c r="L949" s="31">
        <f>IF(INDIRECT(ADDRESS(ROW() + (0),COLUMN() + (-1)))="Agregar cuotas", IF(("13.4%")="", "Sin costo", "13.4%"), IF(INDIRECT(ADDRESS(ROW() + (0),COLUMN() + (-1)))="No agregar cuotas", IF(("")="", "Sin costo", ""), "-"))</f>
        <v/>
      </c>
      <c r="M949" s="0" t="n"/>
      <c r="N949" s="0" t="n"/>
      <c r="O949" s="0" t="n"/>
      <c r="P949" s="47" t="n"/>
      <c r="R949" s="0" t="n"/>
      <c r="S949" s="0" t="n"/>
      <c r="U949" s="0" t="n"/>
      <c r="X949" s="0" t="n"/>
      <c r="AA949" s="0" t="n"/>
      <c r="AB94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49" s="53">
        <f>IF(OR(TRIM(INDIRECT("B"&amp;ROW())) &lt;&gt; "",TRIM(INDIRECT("A"&amp;ROW())) &lt;&gt; ""),AND(TRIM(INDIRECT("A"&amp;ROW())) &lt;&gt; "",TRIM(INDIRECT("D"&amp;ROW())) = "nuevo"),"")</f>
        <v/>
      </c>
    </row>
    <row r="950" ht="27.5" customHeight="1" s="62">
      <c r="C950" s="0">
        <f>LEN(INDIRECT(ADDRESS(ROW() + (0),COLUMN() + (-1))))</f>
        <v/>
      </c>
      <c r="D950" s="0" t="n"/>
      <c r="E950" s="38" t="n"/>
      <c r="G950" s="40" t="n"/>
      <c r="J950" s="31">
        <f>IF(INDIRECT(ADDRESS(ROW() + (0),COLUMN() + (1)))="Agregar cuotas", IF(("16%")="", "-", "16%"), IF(INDIRECT(ADDRESS(ROW() + (0),COLUMN() + (1)))="No agregar cuotas", IF(("16%")="", "-", "16%"), "-"))</f>
        <v/>
      </c>
      <c r="K950" s="0" t="n"/>
      <c r="L950" s="31">
        <f>IF(INDIRECT(ADDRESS(ROW() + (0),COLUMN() + (-1)))="Agregar cuotas", IF(("13.4%")="", "Sin costo", "13.4%"), IF(INDIRECT(ADDRESS(ROW() + (0),COLUMN() + (-1)))="No agregar cuotas", IF(("")="", "Sin costo", ""), "-"))</f>
        <v/>
      </c>
      <c r="M950" s="0" t="n"/>
      <c r="N950" s="0" t="n"/>
      <c r="O950" s="0" t="n"/>
      <c r="P950" s="47" t="n"/>
      <c r="R950" s="0" t="n"/>
      <c r="S950" s="0" t="n"/>
      <c r="U950" s="0" t="n"/>
      <c r="X950" s="0" t="n"/>
      <c r="AA950" s="0" t="n"/>
      <c r="AB95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0" s="53">
        <f>IF(OR(TRIM(INDIRECT("B"&amp;ROW())) &lt;&gt; "",TRIM(INDIRECT("A"&amp;ROW())) &lt;&gt; ""),AND(TRIM(INDIRECT("A"&amp;ROW())) &lt;&gt; "",TRIM(INDIRECT("D"&amp;ROW())) = "nuevo"),"")</f>
        <v/>
      </c>
    </row>
    <row r="951" ht="27.5" customHeight="1" s="62">
      <c r="C951" s="0">
        <f>LEN(INDIRECT(ADDRESS(ROW() + (0),COLUMN() + (-1))))</f>
        <v/>
      </c>
      <c r="D951" s="0" t="n"/>
      <c r="E951" s="38" t="n"/>
      <c r="G951" s="40" t="n"/>
      <c r="J951" s="31">
        <f>IF(INDIRECT(ADDRESS(ROW() + (0),COLUMN() + (1)))="Agregar cuotas", IF(("16%")="", "-", "16%"), IF(INDIRECT(ADDRESS(ROW() + (0),COLUMN() + (1)))="No agregar cuotas", IF(("16%")="", "-", "16%"), "-"))</f>
        <v/>
      </c>
      <c r="K951" s="0" t="n"/>
      <c r="L951" s="31">
        <f>IF(INDIRECT(ADDRESS(ROW() + (0),COLUMN() + (-1)))="Agregar cuotas", IF(("13.4%")="", "Sin costo", "13.4%"), IF(INDIRECT(ADDRESS(ROW() + (0),COLUMN() + (-1)))="No agregar cuotas", IF(("")="", "Sin costo", ""), "-"))</f>
        <v/>
      </c>
      <c r="M951" s="0" t="n"/>
      <c r="N951" s="0" t="n"/>
      <c r="O951" s="0" t="n"/>
      <c r="P951" s="47" t="n"/>
      <c r="R951" s="0" t="n"/>
      <c r="S951" s="0" t="n"/>
      <c r="U951" s="0" t="n"/>
      <c r="X951" s="0" t="n"/>
      <c r="AA951" s="0" t="n"/>
      <c r="AB95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1" s="53">
        <f>IF(OR(TRIM(INDIRECT("B"&amp;ROW())) &lt;&gt; "",TRIM(INDIRECT("A"&amp;ROW())) &lt;&gt; ""),AND(TRIM(INDIRECT("A"&amp;ROW())) &lt;&gt; "",TRIM(INDIRECT("D"&amp;ROW())) = "nuevo"),"")</f>
        <v/>
      </c>
    </row>
    <row r="952" ht="27.5" customHeight="1" s="62">
      <c r="C952" s="0">
        <f>LEN(INDIRECT(ADDRESS(ROW() + (0),COLUMN() + (-1))))</f>
        <v/>
      </c>
      <c r="D952" s="0" t="n"/>
      <c r="E952" s="38" t="n"/>
      <c r="G952" s="40" t="n"/>
      <c r="J952" s="31">
        <f>IF(INDIRECT(ADDRESS(ROW() + (0),COLUMN() + (1)))="Agregar cuotas", IF(("16%")="", "-", "16%"), IF(INDIRECT(ADDRESS(ROW() + (0),COLUMN() + (1)))="No agregar cuotas", IF(("16%")="", "-", "16%"), "-"))</f>
        <v/>
      </c>
      <c r="K952" s="0" t="n"/>
      <c r="L952" s="31">
        <f>IF(INDIRECT(ADDRESS(ROW() + (0),COLUMN() + (-1)))="Agregar cuotas", IF(("13.4%")="", "Sin costo", "13.4%"), IF(INDIRECT(ADDRESS(ROW() + (0),COLUMN() + (-1)))="No agregar cuotas", IF(("")="", "Sin costo", ""), "-"))</f>
        <v/>
      </c>
      <c r="M952" s="0" t="n"/>
      <c r="N952" s="0" t="n"/>
      <c r="O952" s="0" t="n"/>
      <c r="P952" s="47" t="n"/>
      <c r="R952" s="0" t="n"/>
      <c r="S952" s="0" t="n"/>
      <c r="U952" s="0" t="n"/>
      <c r="X952" s="0" t="n"/>
      <c r="AA952" s="0" t="n"/>
      <c r="AB95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2" s="53">
        <f>IF(OR(TRIM(INDIRECT("B"&amp;ROW())) &lt;&gt; "",TRIM(INDIRECT("A"&amp;ROW())) &lt;&gt; ""),AND(TRIM(INDIRECT("A"&amp;ROW())) &lt;&gt; "",TRIM(INDIRECT("D"&amp;ROW())) = "nuevo"),"")</f>
        <v/>
      </c>
    </row>
    <row r="953" ht="27.5" customHeight="1" s="62">
      <c r="C953" s="0">
        <f>LEN(INDIRECT(ADDRESS(ROW() + (0),COLUMN() + (-1))))</f>
        <v/>
      </c>
      <c r="D953" s="0" t="n"/>
      <c r="E953" s="38" t="n"/>
      <c r="G953" s="40" t="n"/>
      <c r="J953" s="31">
        <f>IF(INDIRECT(ADDRESS(ROW() + (0),COLUMN() + (1)))="Agregar cuotas", IF(("16%")="", "-", "16%"), IF(INDIRECT(ADDRESS(ROW() + (0),COLUMN() + (1)))="No agregar cuotas", IF(("16%")="", "-", "16%"), "-"))</f>
        <v/>
      </c>
      <c r="K953" s="0" t="n"/>
      <c r="L953" s="31">
        <f>IF(INDIRECT(ADDRESS(ROW() + (0),COLUMN() + (-1)))="Agregar cuotas", IF(("13.4%")="", "Sin costo", "13.4%"), IF(INDIRECT(ADDRESS(ROW() + (0),COLUMN() + (-1)))="No agregar cuotas", IF(("")="", "Sin costo", ""), "-"))</f>
        <v/>
      </c>
      <c r="M953" s="0" t="n"/>
      <c r="N953" s="0" t="n"/>
      <c r="O953" s="0" t="n"/>
      <c r="P953" s="47" t="n"/>
      <c r="R953" s="0" t="n"/>
      <c r="S953" s="0" t="n"/>
      <c r="U953" s="0" t="n"/>
      <c r="X953" s="0" t="n"/>
      <c r="AA953" s="0" t="n"/>
      <c r="AB95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3" s="53">
        <f>IF(OR(TRIM(INDIRECT("B"&amp;ROW())) &lt;&gt; "",TRIM(INDIRECT("A"&amp;ROW())) &lt;&gt; ""),AND(TRIM(INDIRECT("A"&amp;ROW())) &lt;&gt; "",TRIM(INDIRECT("D"&amp;ROW())) = "nuevo"),"")</f>
        <v/>
      </c>
    </row>
    <row r="954" ht="27.5" customHeight="1" s="62">
      <c r="C954" s="0">
        <f>LEN(INDIRECT(ADDRESS(ROW() + (0),COLUMN() + (-1))))</f>
        <v/>
      </c>
      <c r="D954" s="0" t="n"/>
      <c r="E954" s="38" t="n"/>
      <c r="G954" s="40" t="n"/>
      <c r="J954" s="31">
        <f>IF(INDIRECT(ADDRESS(ROW() + (0),COLUMN() + (1)))="Agregar cuotas", IF(("16%")="", "-", "16%"), IF(INDIRECT(ADDRESS(ROW() + (0),COLUMN() + (1)))="No agregar cuotas", IF(("16%")="", "-", "16%"), "-"))</f>
        <v/>
      </c>
      <c r="K954" s="0" t="n"/>
      <c r="L954" s="31">
        <f>IF(INDIRECT(ADDRESS(ROW() + (0),COLUMN() + (-1)))="Agregar cuotas", IF(("13.4%")="", "Sin costo", "13.4%"), IF(INDIRECT(ADDRESS(ROW() + (0),COLUMN() + (-1)))="No agregar cuotas", IF(("")="", "Sin costo", ""), "-"))</f>
        <v/>
      </c>
      <c r="M954" s="0" t="n"/>
      <c r="N954" s="0" t="n"/>
      <c r="O954" s="0" t="n"/>
      <c r="P954" s="47" t="n"/>
      <c r="R954" s="0" t="n"/>
      <c r="S954" s="0" t="n"/>
      <c r="U954" s="0" t="n"/>
      <c r="X954" s="0" t="n"/>
      <c r="AA954" s="0" t="n"/>
      <c r="AB95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4" s="53">
        <f>IF(OR(TRIM(INDIRECT("B"&amp;ROW())) &lt;&gt; "",TRIM(INDIRECT("A"&amp;ROW())) &lt;&gt; ""),AND(TRIM(INDIRECT("A"&amp;ROW())) &lt;&gt; "",TRIM(INDIRECT("D"&amp;ROW())) = "nuevo"),"")</f>
        <v/>
      </c>
    </row>
    <row r="955" ht="27.5" customHeight="1" s="62">
      <c r="C955" s="0">
        <f>LEN(INDIRECT(ADDRESS(ROW() + (0),COLUMN() + (-1))))</f>
        <v/>
      </c>
      <c r="D955" s="0" t="n"/>
      <c r="E955" s="38" t="n"/>
      <c r="G955" s="40" t="n"/>
      <c r="J955" s="31">
        <f>IF(INDIRECT(ADDRESS(ROW() + (0),COLUMN() + (1)))="Agregar cuotas", IF(("16%")="", "-", "16%"), IF(INDIRECT(ADDRESS(ROW() + (0),COLUMN() + (1)))="No agregar cuotas", IF(("16%")="", "-", "16%"), "-"))</f>
        <v/>
      </c>
      <c r="K955" s="0" t="n"/>
      <c r="L955" s="31">
        <f>IF(INDIRECT(ADDRESS(ROW() + (0),COLUMN() + (-1)))="Agregar cuotas", IF(("13.4%")="", "Sin costo", "13.4%"), IF(INDIRECT(ADDRESS(ROW() + (0),COLUMN() + (-1)))="No agregar cuotas", IF(("")="", "Sin costo", ""), "-"))</f>
        <v/>
      </c>
      <c r="M955" s="0" t="n"/>
      <c r="N955" s="0" t="n"/>
      <c r="O955" s="0" t="n"/>
      <c r="P955" s="47" t="n"/>
      <c r="R955" s="0" t="n"/>
      <c r="S955" s="0" t="n"/>
      <c r="U955" s="0" t="n"/>
      <c r="X955" s="0" t="n"/>
      <c r="AA955" s="0" t="n"/>
      <c r="AB95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5" s="53">
        <f>IF(OR(TRIM(INDIRECT("B"&amp;ROW())) &lt;&gt; "",TRIM(INDIRECT("A"&amp;ROW())) &lt;&gt; ""),AND(TRIM(INDIRECT("A"&amp;ROW())) &lt;&gt; "",TRIM(INDIRECT("D"&amp;ROW())) = "nuevo"),"")</f>
        <v/>
      </c>
    </row>
    <row r="956" ht="27.5" customHeight="1" s="62">
      <c r="C956" s="0">
        <f>LEN(INDIRECT(ADDRESS(ROW() + (0),COLUMN() + (-1))))</f>
        <v/>
      </c>
      <c r="D956" s="0" t="n"/>
      <c r="E956" s="38" t="n"/>
      <c r="G956" s="40" t="n"/>
      <c r="J956" s="31">
        <f>IF(INDIRECT(ADDRESS(ROW() + (0),COLUMN() + (1)))="Agregar cuotas", IF(("16%")="", "-", "16%"), IF(INDIRECT(ADDRESS(ROW() + (0),COLUMN() + (1)))="No agregar cuotas", IF(("16%")="", "-", "16%"), "-"))</f>
        <v/>
      </c>
      <c r="K956" s="0" t="n"/>
      <c r="L956" s="31">
        <f>IF(INDIRECT(ADDRESS(ROW() + (0),COLUMN() + (-1)))="Agregar cuotas", IF(("13.4%")="", "Sin costo", "13.4%"), IF(INDIRECT(ADDRESS(ROW() + (0),COLUMN() + (-1)))="No agregar cuotas", IF(("")="", "Sin costo", ""), "-"))</f>
        <v/>
      </c>
      <c r="M956" s="0" t="n"/>
      <c r="N956" s="0" t="n"/>
      <c r="O956" s="0" t="n"/>
      <c r="P956" s="47" t="n"/>
      <c r="R956" s="0" t="n"/>
      <c r="S956" s="0" t="n"/>
      <c r="U956" s="0" t="n"/>
      <c r="X956" s="0" t="n"/>
      <c r="AA956" s="0" t="n"/>
      <c r="AB95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6" s="53">
        <f>IF(OR(TRIM(INDIRECT("B"&amp;ROW())) &lt;&gt; "",TRIM(INDIRECT("A"&amp;ROW())) &lt;&gt; ""),AND(TRIM(INDIRECT("A"&amp;ROW())) &lt;&gt; "",TRIM(INDIRECT("D"&amp;ROW())) = "nuevo"),"")</f>
        <v/>
      </c>
    </row>
    <row r="957" ht="27.5" customHeight="1" s="62">
      <c r="C957" s="0">
        <f>LEN(INDIRECT(ADDRESS(ROW() + (0),COLUMN() + (-1))))</f>
        <v/>
      </c>
      <c r="D957" s="0" t="n"/>
      <c r="E957" s="38" t="n"/>
      <c r="G957" s="40" t="n"/>
      <c r="J957" s="31">
        <f>IF(INDIRECT(ADDRESS(ROW() + (0),COLUMN() + (1)))="Agregar cuotas", IF(("16%")="", "-", "16%"), IF(INDIRECT(ADDRESS(ROW() + (0),COLUMN() + (1)))="No agregar cuotas", IF(("16%")="", "-", "16%"), "-"))</f>
        <v/>
      </c>
      <c r="K957" s="0" t="n"/>
      <c r="L957" s="31">
        <f>IF(INDIRECT(ADDRESS(ROW() + (0),COLUMN() + (-1)))="Agregar cuotas", IF(("13.4%")="", "Sin costo", "13.4%"), IF(INDIRECT(ADDRESS(ROW() + (0),COLUMN() + (-1)))="No agregar cuotas", IF(("")="", "Sin costo", ""), "-"))</f>
        <v/>
      </c>
      <c r="M957" s="0" t="n"/>
      <c r="N957" s="0" t="n"/>
      <c r="O957" s="0" t="n"/>
      <c r="P957" s="47" t="n"/>
      <c r="R957" s="0" t="n"/>
      <c r="S957" s="0" t="n"/>
      <c r="U957" s="0" t="n"/>
      <c r="X957" s="0" t="n"/>
      <c r="AA957" s="0" t="n"/>
      <c r="AB95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7" s="53">
        <f>IF(OR(TRIM(INDIRECT("B"&amp;ROW())) &lt;&gt; "",TRIM(INDIRECT("A"&amp;ROW())) &lt;&gt; ""),AND(TRIM(INDIRECT("A"&amp;ROW())) &lt;&gt; "",TRIM(INDIRECT("D"&amp;ROW())) = "nuevo"),"")</f>
        <v/>
      </c>
    </row>
    <row r="958" ht="27.5" customHeight="1" s="62">
      <c r="C958" s="0">
        <f>LEN(INDIRECT(ADDRESS(ROW() + (0),COLUMN() + (-1))))</f>
        <v/>
      </c>
      <c r="D958" s="0" t="n"/>
      <c r="E958" s="38" t="n"/>
      <c r="G958" s="40" t="n"/>
      <c r="J958" s="31">
        <f>IF(INDIRECT(ADDRESS(ROW() + (0),COLUMN() + (1)))="Agregar cuotas", IF(("16%")="", "-", "16%"), IF(INDIRECT(ADDRESS(ROW() + (0),COLUMN() + (1)))="No agregar cuotas", IF(("16%")="", "-", "16%"), "-"))</f>
        <v/>
      </c>
      <c r="K958" s="0" t="n"/>
      <c r="L958" s="31">
        <f>IF(INDIRECT(ADDRESS(ROW() + (0),COLUMN() + (-1)))="Agregar cuotas", IF(("13.4%")="", "Sin costo", "13.4%"), IF(INDIRECT(ADDRESS(ROW() + (0),COLUMN() + (-1)))="No agregar cuotas", IF(("")="", "Sin costo", ""), "-"))</f>
        <v/>
      </c>
      <c r="M958" s="0" t="n"/>
      <c r="N958" s="0" t="n"/>
      <c r="O958" s="0" t="n"/>
      <c r="P958" s="47" t="n"/>
      <c r="R958" s="0" t="n"/>
      <c r="S958" s="0" t="n"/>
      <c r="U958" s="0" t="n"/>
      <c r="X958" s="0" t="n"/>
      <c r="AA958" s="0" t="n"/>
      <c r="AB95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8" s="53">
        <f>IF(OR(TRIM(INDIRECT("B"&amp;ROW())) &lt;&gt; "",TRIM(INDIRECT("A"&amp;ROW())) &lt;&gt; ""),AND(TRIM(INDIRECT("A"&amp;ROW())) &lt;&gt; "",TRIM(INDIRECT("D"&amp;ROW())) = "nuevo"),"")</f>
        <v/>
      </c>
    </row>
    <row r="959" ht="27.5" customHeight="1" s="62">
      <c r="C959" s="0">
        <f>LEN(INDIRECT(ADDRESS(ROW() + (0),COLUMN() + (-1))))</f>
        <v/>
      </c>
      <c r="D959" s="0" t="n"/>
      <c r="E959" s="38" t="n"/>
      <c r="G959" s="40" t="n"/>
      <c r="J959" s="31">
        <f>IF(INDIRECT(ADDRESS(ROW() + (0),COLUMN() + (1)))="Agregar cuotas", IF(("16%")="", "-", "16%"), IF(INDIRECT(ADDRESS(ROW() + (0),COLUMN() + (1)))="No agregar cuotas", IF(("16%")="", "-", "16%"), "-"))</f>
        <v/>
      </c>
      <c r="K959" s="0" t="n"/>
      <c r="L959" s="31">
        <f>IF(INDIRECT(ADDRESS(ROW() + (0),COLUMN() + (-1)))="Agregar cuotas", IF(("13.4%")="", "Sin costo", "13.4%"), IF(INDIRECT(ADDRESS(ROW() + (0),COLUMN() + (-1)))="No agregar cuotas", IF(("")="", "Sin costo", ""), "-"))</f>
        <v/>
      </c>
      <c r="M959" s="0" t="n"/>
      <c r="N959" s="0" t="n"/>
      <c r="O959" s="0" t="n"/>
      <c r="P959" s="47" t="n"/>
      <c r="R959" s="0" t="n"/>
      <c r="S959" s="0" t="n"/>
      <c r="U959" s="0" t="n"/>
      <c r="X959" s="0" t="n"/>
      <c r="AA959" s="0" t="n"/>
      <c r="AB95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59" s="53">
        <f>IF(OR(TRIM(INDIRECT("B"&amp;ROW())) &lt;&gt; "",TRIM(INDIRECT("A"&amp;ROW())) &lt;&gt; ""),AND(TRIM(INDIRECT("A"&amp;ROW())) &lt;&gt; "",TRIM(INDIRECT("D"&amp;ROW())) = "nuevo"),"")</f>
        <v/>
      </c>
    </row>
    <row r="960" ht="27.5" customHeight="1" s="62">
      <c r="C960" s="0">
        <f>LEN(INDIRECT(ADDRESS(ROW() + (0),COLUMN() + (-1))))</f>
        <v/>
      </c>
      <c r="D960" s="0" t="n"/>
      <c r="E960" s="38" t="n"/>
      <c r="G960" s="40" t="n"/>
      <c r="J960" s="31">
        <f>IF(INDIRECT(ADDRESS(ROW() + (0),COLUMN() + (1)))="Agregar cuotas", IF(("16%")="", "-", "16%"), IF(INDIRECT(ADDRESS(ROW() + (0),COLUMN() + (1)))="No agregar cuotas", IF(("16%")="", "-", "16%"), "-"))</f>
        <v/>
      </c>
      <c r="K960" s="0" t="n"/>
      <c r="L960" s="31">
        <f>IF(INDIRECT(ADDRESS(ROW() + (0),COLUMN() + (-1)))="Agregar cuotas", IF(("13.4%")="", "Sin costo", "13.4%"), IF(INDIRECT(ADDRESS(ROW() + (0),COLUMN() + (-1)))="No agregar cuotas", IF(("")="", "Sin costo", ""), "-"))</f>
        <v/>
      </c>
      <c r="M960" s="0" t="n"/>
      <c r="N960" s="0" t="n"/>
      <c r="O960" s="0" t="n"/>
      <c r="P960" s="47" t="n"/>
      <c r="R960" s="0" t="n"/>
      <c r="S960" s="0" t="n"/>
      <c r="U960" s="0" t="n"/>
      <c r="X960" s="0" t="n"/>
      <c r="AA960" s="0" t="n"/>
      <c r="AB96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0" s="53">
        <f>IF(OR(TRIM(INDIRECT("B"&amp;ROW())) &lt;&gt; "",TRIM(INDIRECT("A"&amp;ROW())) &lt;&gt; ""),AND(TRIM(INDIRECT("A"&amp;ROW())) &lt;&gt; "",TRIM(INDIRECT("D"&amp;ROW())) = "nuevo"),"")</f>
        <v/>
      </c>
    </row>
    <row r="961" ht="27.5" customHeight="1" s="62">
      <c r="C961" s="0">
        <f>LEN(INDIRECT(ADDRESS(ROW() + (0),COLUMN() + (-1))))</f>
        <v/>
      </c>
      <c r="D961" s="0" t="n"/>
      <c r="E961" s="38" t="n"/>
      <c r="G961" s="40" t="n"/>
      <c r="J961" s="31">
        <f>IF(INDIRECT(ADDRESS(ROW() + (0),COLUMN() + (1)))="Agregar cuotas", IF(("16%")="", "-", "16%"), IF(INDIRECT(ADDRESS(ROW() + (0),COLUMN() + (1)))="No agregar cuotas", IF(("16%")="", "-", "16%"), "-"))</f>
        <v/>
      </c>
      <c r="K961" s="0" t="n"/>
      <c r="L961" s="31">
        <f>IF(INDIRECT(ADDRESS(ROW() + (0),COLUMN() + (-1)))="Agregar cuotas", IF(("13.4%")="", "Sin costo", "13.4%"), IF(INDIRECT(ADDRESS(ROW() + (0),COLUMN() + (-1)))="No agregar cuotas", IF(("")="", "Sin costo", ""), "-"))</f>
        <v/>
      </c>
      <c r="M961" s="0" t="n"/>
      <c r="N961" s="0" t="n"/>
      <c r="O961" s="0" t="n"/>
      <c r="P961" s="47" t="n"/>
      <c r="R961" s="0" t="n"/>
      <c r="S961" s="0" t="n"/>
      <c r="U961" s="0" t="n"/>
      <c r="X961" s="0" t="n"/>
      <c r="AA961" s="0" t="n"/>
      <c r="AB96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1" s="53">
        <f>IF(OR(TRIM(INDIRECT("B"&amp;ROW())) &lt;&gt; "",TRIM(INDIRECT("A"&amp;ROW())) &lt;&gt; ""),AND(TRIM(INDIRECT("A"&amp;ROW())) &lt;&gt; "",TRIM(INDIRECT("D"&amp;ROW())) = "nuevo"),"")</f>
        <v/>
      </c>
    </row>
    <row r="962" ht="27.5" customHeight="1" s="62">
      <c r="C962" s="0">
        <f>LEN(INDIRECT(ADDRESS(ROW() + (0),COLUMN() + (-1))))</f>
        <v/>
      </c>
      <c r="D962" s="0" t="n"/>
      <c r="E962" s="38" t="n"/>
      <c r="G962" s="40" t="n"/>
      <c r="J962" s="31">
        <f>IF(INDIRECT(ADDRESS(ROW() + (0),COLUMN() + (1)))="Agregar cuotas", IF(("16%")="", "-", "16%"), IF(INDIRECT(ADDRESS(ROW() + (0),COLUMN() + (1)))="No agregar cuotas", IF(("16%")="", "-", "16%"), "-"))</f>
        <v/>
      </c>
      <c r="K962" s="0" t="n"/>
      <c r="L962" s="31">
        <f>IF(INDIRECT(ADDRESS(ROW() + (0),COLUMN() + (-1)))="Agregar cuotas", IF(("13.4%")="", "Sin costo", "13.4%"), IF(INDIRECT(ADDRESS(ROW() + (0),COLUMN() + (-1)))="No agregar cuotas", IF(("")="", "Sin costo", ""), "-"))</f>
        <v/>
      </c>
      <c r="M962" s="0" t="n"/>
      <c r="N962" s="0" t="n"/>
      <c r="O962" s="0" t="n"/>
      <c r="P962" s="47" t="n"/>
      <c r="R962" s="0" t="n"/>
      <c r="S962" s="0" t="n"/>
      <c r="U962" s="0" t="n"/>
      <c r="X962" s="0" t="n"/>
      <c r="AA962" s="0" t="n"/>
      <c r="AB96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2" s="53">
        <f>IF(OR(TRIM(INDIRECT("B"&amp;ROW())) &lt;&gt; "",TRIM(INDIRECT("A"&amp;ROW())) &lt;&gt; ""),AND(TRIM(INDIRECT("A"&amp;ROW())) &lt;&gt; "",TRIM(INDIRECT("D"&amp;ROW())) = "nuevo"),"")</f>
        <v/>
      </c>
    </row>
    <row r="963" ht="27.5" customHeight="1" s="62">
      <c r="C963" s="0">
        <f>LEN(INDIRECT(ADDRESS(ROW() + (0),COLUMN() + (-1))))</f>
        <v/>
      </c>
      <c r="D963" s="0" t="n"/>
      <c r="E963" s="38" t="n"/>
      <c r="G963" s="40" t="n"/>
      <c r="J963" s="31">
        <f>IF(INDIRECT(ADDRESS(ROW() + (0),COLUMN() + (1)))="Agregar cuotas", IF(("16%")="", "-", "16%"), IF(INDIRECT(ADDRESS(ROW() + (0),COLUMN() + (1)))="No agregar cuotas", IF(("16%")="", "-", "16%"), "-"))</f>
        <v/>
      </c>
      <c r="K963" s="0" t="n"/>
      <c r="L963" s="31">
        <f>IF(INDIRECT(ADDRESS(ROW() + (0),COLUMN() + (-1)))="Agregar cuotas", IF(("13.4%")="", "Sin costo", "13.4%"), IF(INDIRECT(ADDRESS(ROW() + (0),COLUMN() + (-1)))="No agregar cuotas", IF(("")="", "Sin costo", ""), "-"))</f>
        <v/>
      </c>
      <c r="M963" s="0" t="n"/>
      <c r="N963" s="0" t="n"/>
      <c r="O963" s="0" t="n"/>
      <c r="P963" s="47" t="n"/>
      <c r="R963" s="0" t="n"/>
      <c r="S963" s="0" t="n"/>
      <c r="U963" s="0" t="n"/>
      <c r="X963" s="0" t="n"/>
      <c r="AA963" s="0" t="n"/>
      <c r="AB96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3" s="53">
        <f>IF(OR(TRIM(INDIRECT("B"&amp;ROW())) &lt;&gt; "",TRIM(INDIRECT("A"&amp;ROW())) &lt;&gt; ""),AND(TRIM(INDIRECT("A"&amp;ROW())) &lt;&gt; "",TRIM(INDIRECT("D"&amp;ROW())) = "nuevo"),"")</f>
        <v/>
      </c>
    </row>
    <row r="964" ht="27.5" customHeight="1" s="62">
      <c r="C964" s="0">
        <f>LEN(INDIRECT(ADDRESS(ROW() + (0),COLUMN() + (-1))))</f>
        <v/>
      </c>
      <c r="D964" s="0" t="n"/>
      <c r="E964" s="38" t="n"/>
      <c r="G964" s="40" t="n"/>
      <c r="J964" s="31">
        <f>IF(INDIRECT(ADDRESS(ROW() + (0),COLUMN() + (1)))="Agregar cuotas", IF(("16%")="", "-", "16%"), IF(INDIRECT(ADDRESS(ROW() + (0),COLUMN() + (1)))="No agregar cuotas", IF(("16%")="", "-", "16%"), "-"))</f>
        <v/>
      </c>
      <c r="K964" s="0" t="n"/>
      <c r="L964" s="31">
        <f>IF(INDIRECT(ADDRESS(ROW() + (0),COLUMN() + (-1)))="Agregar cuotas", IF(("13.4%")="", "Sin costo", "13.4%"), IF(INDIRECT(ADDRESS(ROW() + (0),COLUMN() + (-1)))="No agregar cuotas", IF(("")="", "Sin costo", ""), "-"))</f>
        <v/>
      </c>
      <c r="M964" s="0" t="n"/>
      <c r="N964" s="0" t="n"/>
      <c r="O964" s="0" t="n"/>
      <c r="P964" s="47" t="n"/>
      <c r="R964" s="0" t="n"/>
      <c r="S964" s="0" t="n"/>
      <c r="U964" s="0" t="n"/>
      <c r="X964" s="0" t="n"/>
      <c r="AA964" s="0" t="n"/>
      <c r="AB96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4" s="53">
        <f>IF(OR(TRIM(INDIRECT("B"&amp;ROW())) &lt;&gt; "",TRIM(INDIRECT("A"&amp;ROW())) &lt;&gt; ""),AND(TRIM(INDIRECT("A"&amp;ROW())) &lt;&gt; "",TRIM(INDIRECT("D"&amp;ROW())) = "nuevo"),"")</f>
        <v/>
      </c>
    </row>
    <row r="965" ht="27.5" customHeight="1" s="62">
      <c r="C965" s="0">
        <f>LEN(INDIRECT(ADDRESS(ROW() + (0),COLUMN() + (-1))))</f>
        <v/>
      </c>
      <c r="D965" s="0" t="n"/>
      <c r="E965" s="38" t="n"/>
      <c r="G965" s="40" t="n"/>
      <c r="J965" s="31">
        <f>IF(INDIRECT(ADDRESS(ROW() + (0),COLUMN() + (1)))="Agregar cuotas", IF(("16%")="", "-", "16%"), IF(INDIRECT(ADDRESS(ROW() + (0),COLUMN() + (1)))="No agregar cuotas", IF(("16%")="", "-", "16%"), "-"))</f>
        <v/>
      </c>
      <c r="K965" s="0" t="n"/>
      <c r="L965" s="31">
        <f>IF(INDIRECT(ADDRESS(ROW() + (0),COLUMN() + (-1)))="Agregar cuotas", IF(("13.4%")="", "Sin costo", "13.4%"), IF(INDIRECT(ADDRESS(ROW() + (0),COLUMN() + (-1)))="No agregar cuotas", IF(("")="", "Sin costo", ""), "-"))</f>
        <v/>
      </c>
      <c r="M965" s="0" t="n"/>
      <c r="N965" s="0" t="n"/>
      <c r="O965" s="0" t="n"/>
      <c r="P965" s="47" t="n"/>
      <c r="R965" s="0" t="n"/>
      <c r="S965" s="0" t="n"/>
      <c r="U965" s="0" t="n"/>
      <c r="X965" s="0" t="n"/>
      <c r="AA965" s="0" t="n"/>
      <c r="AB96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5" s="53">
        <f>IF(OR(TRIM(INDIRECT("B"&amp;ROW())) &lt;&gt; "",TRIM(INDIRECT("A"&amp;ROW())) &lt;&gt; ""),AND(TRIM(INDIRECT("A"&amp;ROW())) &lt;&gt; "",TRIM(INDIRECT("D"&amp;ROW())) = "nuevo"),"")</f>
        <v/>
      </c>
    </row>
    <row r="966" ht="27.5" customHeight="1" s="62">
      <c r="C966" s="0">
        <f>LEN(INDIRECT(ADDRESS(ROW() + (0),COLUMN() + (-1))))</f>
        <v/>
      </c>
      <c r="D966" s="0" t="n"/>
      <c r="E966" s="38" t="n"/>
      <c r="G966" s="40" t="n"/>
      <c r="J966" s="31">
        <f>IF(INDIRECT(ADDRESS(ROW() + (0),COLUMN() + (1)))="Agregar cuotas", IF(("16%")="", "-", "16%"), IF(INDIRECT(ADDRESS(ROW() + (0),COLUMN() + (1)))="No agregar cuotas", IF(("16%")="", "-", "16%"), "-"))</f>
        <v/>
      </c>
      <c r="K966" s="0" t="n"/>
      <c r="L966" s="31">
        <f>IF(INDIRECT(ADDRESS(ROW() + (0),COLUMN() + (-1)))="Agregar cuotas", IF(("13.4%")="", "Sin costo", "13.4%"), IF(INDIRECT(ADDRESS(ROW() + (0),COLUMN() + (-1)))="No agregar cuotas", IF(("")="", "Sin costo", ""), "-"))</f>
        <v/>
      </c>
      <c r="M966" s="0" t="n"/>
      <c r="N966" s="0" t="n"/>
      <c r="O966" s="0" t="n"/>
      <c r="P966" s="47" t="n"/>
      <c r="R966" s="0" t="n"/>
      <c r="S966" s="0" t="n"/>
      <c r="U966" s="0" t="n"/>
      <c r="X966" s="0" t="n"/>
      <c r="AA966" s="0" t="n"/>
      <c r="AB96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6" s="53">
        <f>IF(OR(TRIM(INDIRECT("B"&amp;ROW())) &lt;&gt; "",TRIM(INDIRECT("A"&amp;ROW())) &lt;&gt; ""),AND(TRIM(INDIRECT("A"&amp;ROW())) &lt;&gt; "",TRIM(INDIRECT("D"&amp;ROW())) = "nuevo"),"")</f>
        <v/>
      </c>
    </row>
    <row r="967" ht="27.5" customHeight="1" s="62">
      <c r="C967" s="0">
        <f>LEN(INDIRECT(ADDRESS(ROW() + (0),COLUMN() + (-1))))</f>
        <v/>
      </c>
      <c r="D967" s="0" t="n"/>
      <c r="E967" s="38" t="n"/>
      <c r="G967" s="40" t="n"/>
      <c r="J967" s="31">
        <f>IF(INDIRECT(ADDRESS(ROW() + (0),COLUMN() + (1)))="Agregar cuotas", IF(("16%")="", "-", "16%"), IF(INDIRECT(ADDRESS(ROW() + (0),COLUMN() + (1)))="No agregar cuotas", IF(("16%")="", "-", "16%"), "-"))</f>
        <v/>
      </c>
      <c r="K967" s="0" t="n"/>
      <c r="L967" s="31">
        <f>IF(INDIRECT(ADDRESS(ROW() + (0),COLUMN() + (-1)))="Agregar cuotas", IF(("13.4%")="", "Sin costo", "13.4%"), IF(INDIRECT(ADDRESS(ROW() + (0),COLUMN() + (-1)))="No agregar cuotas", IF(("")="", "Sin costo", ""), "-"))</f>
        <v/>
      </c>
      <c r="M967" s="0" t="n"/>
      <c r="N967" s="0" t="n"/>
      <c r="O967" s="0" t="n"/>
      <c r="P967" s="47" t="n"/>
      <c r="R967" s="0" t="n"/>
      <c r="S967" s="0" t="n"/>
      <c r="U967" s="0" t="n"/>
      <c r="X967" s="0" t="n"/>
      <c r="AA967" s="0" t="n"/>
      <c r="AB96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7" s="53">
        <f>IF(OR(TRIM(INDIRECT("B"&amp;ROW())) &lt;&gt; "",TRIM(INDIRECT("A"&amp;ROW())) &lt;&gt; ""),AND(TRIM(INDIRECT("A"&amp;ROW())) &lt;&gt; "",TRIM(INDIRECT("D"&amp;ROW())) = "nuevo"),"")</f>
        <v/>
      </c>
    </row>
    <row r="968" ht="27.5" customHeight="1" s="62">
      <c r="C968" s="0">
        <f>LEN(INDIRECT(ADDRESS(ROW() + (0),COLUMN() + (-1))))</f>
        <v/>
      </c>
      <c r="D968" s="0" t="n"/>
      <c r="E968" s="38" t="n"/>
      <c r="G968" s="40" t="n"/>
      <c r="J968" s="31">
        <f>IF(INDIRECT(ADDRESS(ROW() + (0),COLUMN() + (1)))="Agregar cuotas", IF(("16%")="", "-", "16%"), IF(INDIRECT(ADDRESS(ROW() + (0),COLUMN() + (1)))="No agregar cuotas", IF(("16%")="", "-", "16%"), "-"))</f>
        <v/>
      </c>
      <c r="K968" s="0" t="n"/>
      <c r="L968" s="31">
        <f>IF(INDIRECT(ADDRESS(ROW() + (0),COLUMN() + (-1)))="Agregar cuotas", IF(("13.4%")="", "Sin costo", "13.4%"), IF(INDIRECT(ADDRESS(ROW() + (0),COLUMN() + (-1)))="No agregar cuotas", IF(("")="", "Sin costo", ""), "-"))</f>
        <v/>
      </c>
      <c r="M968" s="0" t="n"/>
      <c r="N968" s="0" t="n"/>
      <c r="O968" s="0" t="n"/>
      <c r="P968" s="47" t="n"/>
      <c r="R968" s="0" t="n"/>
      <c r="S968" s="0" t="n"/>
      <c r="U968" s="0" t="n"/>
      <c r="X968" s="0" t="n"/>
      <c r="AA968" s="0" t="n"/>
      <c r="AB96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8" s="53">
        <f>IF(OR(TRIM(INDIRECT("B"&amp;ROW())) &lt;&gt; "",TRIM(INDIRECT("A"&amp;ROW())) &lt;&gt; ""),AND(TRIM(INDIRECT("A"&amp;ROW())) &lt;&gt; "",TRIM(INDIRECT("D"&amp;ROW())) = "nuevo"),"")</f>
        <v/>
      </c>
    </row>
    <row r="969" ht="27.5" customHeight="1" s="62">
      <c r="C969" s="0">
        <f>LEN(INDIRECT(ADDRESS(ROW() + (0),COLUMN() + (-1))))</f>
        <v/>
      </c>
      <c r="D969" s="0" t="n"/>
      <c r="E969" s="38" t="n"/>
      <c r="G969" s="40" t="n"/>
      <c r="J969" s="31">
        <f>IF(INDIRECT(ADDRESS(ROW() + (0),COLUMN() + (1)))="Agregar cuotas", IF(("16%")="", "-", "16%"), IF(INDIRECT(ADDRESS(ROW() + (0),COLUMN() + (1)))="No agregar cuotas", IF(("16%")="", "-", "16%"), "-"))</f>
        <v/>
      </c>
      <c r="K969" s="0" t="n"/>
      <c r="L969" s="31">
        <f>IF(INDIRECT(ADDRESS(ROW() + (0),COLUMN() + (-1)))="Agregar cuotas", IF(("13.4%")="", "Sin costo", "13.4%"), IF(INDIRECT(ADDRESS(ROW() + (0),COLUMN() + (-1)))="No agregar cuotas", IF(("")="", "Sin costo", ""), "-"))</f>
        <v/>
      </c>
      <c r="M969" s="0" t="n"/>
      <c r="N969" s="0" t="n"/>
      <c r="O969" s="0" t="n"/>
      <c r="P969" s="47" t="n"/>
      <c r="R969" s="0" t="n"/>
      <c r="S969" s="0" t="n"/>
      <c r="U969" s="0" t="n"/>
      <c r="X969" s="0" t="n"/>
      <c r="AA969" s="0" t="n"/>
      <c r="AB96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69" s="53">
        <f>IF(OR(TRIM(INDIRECT("B"&amp;ROW())) &lt;&gt; "",TRIM(INDIRECT("A"&amp;ROW())) &lt;&gt; ""),AND(TRIM(INDIRECT("A"&amp;ROW())) &lt;&gt; "",TRIM(INDIRECT("D"&amp;ROW())) = "nuevo"),"")</f>
        <v/>
      </c>
    </row>
    <row r="970" ht="27.5" customHeight="1" s="62">
      <c r="C970" s="0">
        <f>LEN(INDIRECT(ADDRESS(ROW() + (0),COLUMN() + (-1))))</f>
        <v/>
      </c>
      <c r="D970" s="0" t="n"/>
      <c r="E970" s="38" t="n"/>
      <c r="G970" s="40" t="n"/>
      <c r="J970" s="31">
        <f>IF(INDIRECT(ADDRESS(ROW() + (0),COLUMN() + (1)))="Agregar cuotas", IF(("16%")="", "-", "16%"), IF(INDIRECT(ADDRESS(ROW() + (0),COLUMN() + (1)))="No agregar cuotas", IF(("16%")="", "-", "16%"), "-"))</f>
        <v/>
      </c>
      <c r="K970" s="0" t="n"/>
      <c r="L970" s="31">
        <f>IF(INDIRECT(ADDRESS(ROW() + (0),COLUMN() + (-1)))="Agregar cuotas", IF(("13.4%")="", "Sin costo", "13.4%"), IF(INDIRECT(ADDRESS(ROW() + (0),COLUMN() + (-1)))="No agregar cuotas", IF(("")="", "Sin costo", ""), "-"))</f>
        <v/>
      </c>
      <c r="M970" s="0" t="n"/>
      <c r="N970" s="0" t="n"/>
      <c r="O970" s="0" t="n"/>
      <c r="P970" s="47" t="n"/>
      <c r="R970" s="0" t="n"/>
      <c r="S970" s="0" t="n"/>
      <c r="U970" s="0" t="n"/>
      <c r="X970" s="0" t="n"/>
      <c r="AA970" s="0" t="n"/>
      <c r="AB97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0" s="53">
        <f>IF(OR(TRIM(INDIRECT("B"&amp;ROW())) &lt;&gt; "",TRIM(INDIRECT("A"&amp;ROW())) &lt;&gt; ""),AND(TRIM(INDIRECT("A"&amp;ROW())) &lt;&gt; "",TRIM(INDIRECT("D"&amp;ROW())) = "nuevo"),"")</f>
        <v/>
      </c>
    </row>
    <row r="971" ht="27.5" customHeight="1" s="62">
      <c r="C971" s="0">
        <f>LEN(INDIRECT(ADDRESS(ROW() + (0),COLUMN() + (-1))))</f>
        <v/>
      </c>
      <c r="D971" s="0" t="n"/>
      <c r="E971" s="38" t="n"/>
      <c r="G971" s="40" t="n"/>
      <c r="J971" s="31">
        <f>IF(INDIRECT(ADDRESS(ROW() + (0),COLUMN() + (1)))="Agregar cuotas", IF(("16%")="", "-", "16%"), IF(INDIRECT(ADDRESS(ROW() + (0),COLUMN() + (1)))="No agregar cuotas", IF(("16%")="", "-", "16%"), "-"))</f>
        <v/>
      </c>
      <c r="K971" s="0" t="n"/>
      <c r="L971" s="31">
        <f>IF(INDIRECT(ADDRESS(ROW() + (0),COLUMN() + (-1)))="Agregar cuotas", IF(("13.4%")="", "Sin costo", "13.4%"), IF(INDIRECT(ADDRESS(ROW() + (0),COLUMN() + (-1)))="No agregar cuotas", IF(("")="", "Sin costo", ""), "-"))</f>
        <v/>
      </c>
      <c r="M971" s="0" t="n"/>
      <c r="N971" s="0" t="n"/>
      <c r="O971" s="0" t="n"/>
      <c r="P971" s="47" t="n"/>
      <c r="R971" s="0" t="n"/>
      <c r="S971" s="0" t="n"/>
      <c r="U971" s="0" t="n"/>
      <c r="X971" s="0" t="n"/>
      <c r="AA971" s="0" t="n"/>
      <c r="AB97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1" s="53">
        <f>IF(OR(TRIM(INDIRECT("B"&amp;ROW())) &lt;&gt; "",TRIM(INDIRECT("A"&amp;ROW())) &lt;&gt; ""),AND(TRIM(INDIRECT("A"&amp;ROW())) &lt;&gt; "",TRIM(INDIRECT("D"&amp;ROW())) = "nuevo"),"")</f>
        <v/>
      </c>
    </row>
    <row r="972" ht="27.5" customHeight="1" s="62">
      <c r="C972" s="0">
        <f>LEN(INDIRECT(ADDRESS(ROW() + (0),COLUMN() + (-1))))</f>
        <v/>
      </c>
      <c r="D972" s="0" t="n"/>
      <c r="E972" s="38" t="n"/>
      <c r="G972" s="40" t="n"/>
      <c r="J972" s="31">
        <f>IF(INDIRECT(ADDRESS(ROW() + (0),COLUMN() + (1)))="Agregar cuotas", IF(("16%")="", "-", "16%"), IF(INDIRECT(ADDRESS(ROW() + (0),COLUMN() + (1)))="No agregar cuotas", IF(("16%")="", "-", "16%"), "-"))</f>
        <v/>
      </c>
      <c r="K972" s="0" t="n"/>
      <c r="L972" s="31">
        <f>IF(INDIRECT(ADDRESS(ROW() + (0),COLUMN() + (-1)))="Agregar cuotas", IF(("13.4%")="", "Sin costo", "13.4%"), IF(INDIRECT(ADDRESS(ROW() + (0),COLUMN() + (-1)))="No agregar cuotas", IF(("")="", "Sin costo", ""), "-"))</f>
        <v/>
      </c>
      <c r="M972" s="0" t="n"/>
      <c r="N972" s="0" t="n"/>
      <c r="O972" s="0" t="n"/>
      <c r="P972" s="47" t="n"/>
      <c r="R972" s="0" t="n"/>
      <c r="S972" s="0" t="n"/>
      <c r="U972" s="0" t="n"/>
      <c r="X972" s="0" t="n"/>
      <c r="AA972" s="0" t="n"/>
      <c r="AB97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2" s="53">
        <f>IF(OR(TRIM(INDIRECT("B"&amp;ROW())) &lt;&gt; "",TRIM(INDIRECT("A"&amp;ROW())) &lt;&gt; ""),AND(TRIM(INDIRECT("A"&amp;ROW())) &lt;&gt; "",TRIM(INDIRECT("D"&amp;ROW())) = "nuevo"),"")</f>
        <v/>
      </c>
    </row>
    <row r="973" ht="27.5" customHeight="1" s="62">
      <c r="C973" s="0">
        <f>LEN(INDIRECT(ADDRESS(ROW() + (0),COLUMN() + (-1))))</f>
        <v/>
      </c>
      <c r="D973" s="0" t="n"/>
      <c r="E973" s="38" t="n"/>
      <c r="G973" s="40" t="n"/>
      <c r="J973" s="31">
        <f>IF(INDIRECT(ADDRESS(ROW() + (0),COLUMN() + (1)))="Agregar cuotas", IF(("16%")="", "-", "16%"), IF(INDIRECT(ADDRESS(ROW() + (0),COLUMN() + (1)))="No agregar cuotas", IF(("16%")="", "-", "16%"), "-"))</f>
        <v/>
      </c>
      <c r="K973" s="0" t="n"/>
      <c r="L973" s="31">
        <f>IF(INDIRECT(ADDRESS(ROW() + (0),COLUMN() + (-1)))="Agregar cuotas", IF(("13.4%")="", "Sin costo", "13.4%"), IF(INDIRECT(ADDRESS(ROW() + (0),COLUMN() + (-1)))="No agregar cuotas", IF(("")="", "Sin costo", ""), "-"))</f>
        <v/>
      </c>
      <c r="M973" s="0" t="n"/>
      <c r="N973" s="0" t="n"/>
      <c r="O973" s="0" t="n"/>
      <c r="P973" s="47" t="n"/>
      <c r="R973" s="0" t="n"/>
      <c r="S973" s="0" t="n"/>
      <c r="U973" s="0" t="n"/>
      <c r="X973" s="0" t="n"/>
      <c r="AA973" s="0" t="n"/>
      <c r="AB97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3" s="53">
        <f>IF(OR(TRIM(INDIRECT("B"&amp;ROW())) &lt;&gt; "",TRIM(INDIRECT("A"&amp;ROW())) &lt;&gt; ""),AND(TRIM(INDIRECT("A"&amp;ROW())) &lt;&gt; "",TRIM(INDIRECT("D"&amp;ROW())) = "nuevo"),"")</f>
        <v/>
      </c>
    </row>
    <row r="974" ht="27.5" customHeight="1" s="62">
      <c r="C974" s="0">
        <f>LEN(INDIRECT(ADDRESS(ROW() + (0),COLUMN() + (-1))))</f>
        <v/>
      </c>
      <c r="D974" s="0" t="n"/>
      <c r="E974" s="38" t="n"/>
      <c r="G974" s="40" t="n"/>
      <c r="J974" s="31">
        <f>IF(INDIRECT(ADDRESS(ROW() + (0),COLUMN() + (1)))="Agregar cuotas", IF(("16%")="", "-", "16%"), IF(INDIRECT(ADDRESS(ROW() + (0),COLUMN() + (1)))="No agregar cuotas", IF(("16%")="", "-", "16%"), "-"))</f>
        <v/>
      </c>
      <c r="K974" s="0" t="n"/>
      <c r="L974" s="31">
        <f>IF(INDIRECT(ADDRESS(ROW() + (0),COLUMN() + (-1)))="Agregar cuotas", IF(("13.4%")="", "Sin costo", "13.4%"), IF(INDIRECT(ADDRESS(ROW() + (0),COLUMN() + (-1)))="No agregar cuotas", IF(("")="", "Sin costo", ""), "-"))</f>
        <v/>
      </c>
      <c r="M974" s="0" t="n"/>
      <c r="N974" s="0" t="n"/>
      <c r="O974" s="0" t="n"/>
      <c r="P974" s="47" t="n"/>
      <c r="R974" s="0" t="n"/>
      <c r="S974" s="0" t="n"/>
      <c r="U974" s="0" t="n"/>
      <c r="X974" s="0" t="n"/>
      <c r="AA974" s="0" t="n"/>
      <c r="AB97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4" s="53">
        <f>IF(OR(TRIM(INDIRECT("B"&amp;ROW())) &lt;&gt; "",TRIM(INDIRECT("A"&amp;ROW())) &lt;&gt; ""),AND(TRIM(INDIRECT("A"&amp;ROW())) &lt;&gt; "",TRIM(INDIRECT("D"&amp;ROW())) = "nuevo"),"")</f>
        <v/>
      </c>
    </row>
    <row r="975" ht="27.5" customHeight="1" s="62">
      <c r="C975" s="0">
        <f>LEN(INDIRECT(ADDRESS(ROW() + (0),COLUMN() + (-1))))</f>
        <v/>
      </c>
      <c r="D975" s="0" t="n"/>
      <c r="E975" s="38" t="n"/>
      <c r="G975" s="40" t="n"/>
      <c r="J975" s="31">
        <f>IF(INDIRECT(ADDRESS(ROW() + (0),COLUMN() + (1)))="Agregar cuotas", IF(("16%")="", "-", "16%"), IF(INDIRECT(ADDRESS(ROW() + (0),COLUMN() + (1)))="No agregar cuotas", IF(("16%")="", "-", "16%"), "-"))</f>
        <v/>
      </c>
      <c r="K975" s="0" t="n"/>
      <c r="L975" s="31">
        <f>IF(INDIRECT(ADDRESS(ROW() + (0),COLUMN() + (-1)))="Agregar cuotas", IF(("13.4%")="", "Sin costo", "13.4%"), IF(INDIRECT(ADDRESS(ROW() + (0),COLUMN() + (-1)))="No agregar cuotas", IF(("")="", "Sin costo", ""), "-"))</f>
        <v/>
      </c>
      <c r="M975" s="0" t="n"/>
      <c r="N975" s="0" t="n"/>
      <c r="O975" s="0" t="n"/>
      <c r="P975" s="47" t="n"/>
      <c r="R975" s="0" t="n"/>
      <c r="S975" s="0" t="n"/>
      <c r="U975" s="0" t="n"/>
      <c r="X975" s="0" t="n"/>
      <c r="AA975" s="0" t="n"/>
      <c r="AB97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5" s="53">
        <f>IF(OR(TRIM(INDIRECT("B"&amp;ROW())) &lt;&gt; "",TRIM(INDIRECT("A"&amp;ROW())) &lt;&gt; ""),AND(TRIM(INDIRECT("A"&amp;ROW())) &lt;&gt; "",TRIM(INDIRECT("D"&amp;ROW())) = "nuevo"),"")</f>
        <v/>
      </c>
    </row>
    <row r="976" ht="27.5" customHeight="1" s="62">
      <c r="C976" s="0">
        <f>LEN(INDIRECT(ADDRESS(ROW() + (0),COLUMN() + (-1))))</f>
        <v/>
      </c>
      <c r="D976" s="0" t="n"/>
      <c r="E976" s="38" t="n"/>
      <c r="G976" s="40" t="n"/>
      <c r="J976" s="31">
        <f>IF(INDIRECT(ADDRESS(ROW() + (0),COLUMN() + (1)))="Agregar cuotas", IF(("16%")="", "-", "16%"), IF(INDIRECT(ADDRESS(ROW() + (0),COLUMN() + (1)))="No agregar cuotas", IF(("16%")="", "-", "16%"), "-"))</f>
        <v/>
      </c>
      <c r="K976" s="0" t="n"/>
      <c r="L976" s="31">
        <f>IF(INDIRECT(ADDRESS(ROW() + (0),COLUMN() + (-1)))="Agregar cuotas", IF(("13.4%")="", "Sin costo", "13.4%"), IF(INDIRECT(ADDRESS(ROW() + (0),COLUMN() + (-1)))="No agregar cuotas", IF(("")="", "Sin costo", ""), "-"))</f>
        <v/>
      </c>
      <c r="M976" s="0" t="n"/>
      <c r="N976" s="0" t="n"/>
      <c r="O976" s="0" t="n"/>
      <c r="P976" s="47" t="n"/>
      <c r="R976" s="0" t="n"/>
      <c r="S976" s="0" t="n"/>
      <c r="U976" s="0" t="n"/>
      <c r="X976" s="0" t="n"/>
      <c r="AA976" s="0" t="n"/>
      <c r="AB97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6" s="53">
        <f>IF(OR(TRIM(INDIRECT("B"&amp;ROW())) &lt;&gt; "",TRIM(INDIRECT("A"&amp;ROW())) &lt;&gt; ""),AND(TRIM(INDIRECT("A"&amp;ROW())) &lt;&gt; "",TRIM(INDIRECT("D"&amp;ROW())) = "nuevo"),"")</f>
        <v/>
      </c>
    </row>
    <row r="977" ht="27.5" customHeight="1" s="62">
      <c r="C977" s="0">
        <f>LEN(INDIRECT(ADDRESS(ROW() + (0),COLUMN() + (-1))))</f>
        <v/>
      </c>
      <c r="D977" s="0" t="n"/>
      <c r="E977" s="38" t="n"/>
      <c r="G977" s="40" t="n"/>
      <c r="J977" s="31">
        <f>IF(INDIRECT(ADDRESS(ROW() + (0),COLUMN() + (1)))="Agregar cuotas", IF(("16%")="", "-", "16%"), IF(INDIRECT(ADDRESS(ROW() + (0),COLUMN() + (1)))="No agregar cuotas", IF(("16%")="", "-", "16%"), "-"))</f>
        <v/>
      </c>
      <c r="K977" s="0" t="n"/>
      <c r="L977" s="31">
        <f>IF(INDIRECT(ADDRESS(ROW() + (0),COLUMN() + (-1)))="Agregar cuotas", IF(("13.4%")="", "Sin costo", "13.4%"), IF(INDIRECT(ADDRESS(ROW() + (0),COLUMN() + (-1)))="No agregar cuotas", IF(("")="", "Sin costo", ""), "-"))</f>
        <v/>
      </c>
      <c r="M977" s="0" t="n"/>
      <c r="N977" s="0" t="n"/>
      <c r="O977" s="0" t="n"/>
      <c r="P977" s="47" t="n"/>
      <c r="R977" s="0" t="n"/>
      <c r="S977" s="0" t="n"/>
      <c r="U977" s="0" t="n"/>
      <c r="X977" s="0" t="n"/>
      <c r="AA977" s="0" t="n"/>
      <c r="AB97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7" s="53">
        <f>IF(OR(TRIM(INDIRECT("B"&amp;ROW())) &lt;&gt; "",TRIM(INDIRECT("A"&amp;ROW())) &lt;&gt; ""),AND(TRIM(INDIRECT("A"&amp;ROW())) &lt;&gt; "",TRIM(INDIRECT("D"&amp;ROW())) = "nuevo"),"")</f>
        <v/>
      </c>
    </row>
    <row r="978" ht="27.5" customHeight="1" s="62">
      <c r="C978" s="0">
        <f>LEN(INDIRECT(ADDRESS(ROW() + (0),COLUMN() + (-1))))</f>
        <v/>
      </c>
      <c r="D978" s="0" t="n"/>
      <c r="E978" s="38" t="n"/>
      <c r="G978" s="40" t="n"/>
      <c r="J978" s="31">
        <f>IF(INDIRECT(ADDRESS(ROW() + (0),COLUMN() + (1)))="Agregar cuotas", IF(("16%")="", "-", "16%"), IF(INDIRECT(ADDRESS(ROW() + (0),COLUMN() + (1)))="No agregar cuotas", IF(("16%")="", "-", "16%"), "-"))</f>
        <v/>
      </c>
      <c r="K978" s="0" t="n"/>
      <c r="L978" s="31">
        <f>IF(INDIRECT(ADDRESS(ROW() + (0),COLUMN() + (-1)))="Agregar cuotas", IF(("13.4%")="", "Sin costo", "13.4%"), IF(INDIRECT(ADDRESS(ROW() + (0),COLUMN() + (-1)))="No agregar cuotas", IF(("")="", "Sin costo", ""), "-"))</f>
        <v/>
      </c>
      <c r="M978" s="0" t="n"/>
      <c r="N978" s="0" t="n"/>
      <c r="O978" s="0" t="n"/>
      <c r="P978" s="47" t="n"/>
      <c r="R978" s="0" t="n"/>
      <c r="S978" s="0" t="n"/>
      <c r="U978" s="0" t="n"/>
      <c r="X978" s="0" t="n"/>
      <c r="AA978" s="0" t="n"/>
      <c r="AB97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8" s="53">
        <f>IF(OR(TRIM(INDIRECT("B"&amp;ROW())) &lt;&gt; "",TRIM(INDIRECT("A"&amp;ROW())) &lt;&gt; ""),AND(TRIM(INDIRECT("A"&amp;ROW())) &lt;&gt; "",TRIM(INDIRECT("D"&amp;ROW())) = "nuevo"),"")</f>
        <v/>
      </c>
    </row>
    <row r="979" ht="27.5" customHeight="1" s="62">
      <c r="C979" s="0">
        <f>LEN(INDIRECT(ADDRESS(ROW() + (0),COLUMN() + (-1))))</f>
        <v/>
      </c>
      <c r="D979" s="0" t="n"/>
      <c r="E979" s="38" t="n"/>
      <c r="G979" s="40" t="n"/>
      <c r="J979" s="31">
        <f>IF(INDIRECT(ADDRESS(ROW() + (0),COLUMN() + (1)))="Agregar cuotas", IF(("16%")="", "-", "16%"), IF(INDIRECT(ADDRESS(ROW() + (0),COLUMN() + (1)))="No agregar cuotas", IF(("16%")="", "-", "16%"), "-"))</f>
        <v/>
      </c>
      <c r="K979" s="0" t="n"/>
      <c r="L979" s="31">
        <f>IF(INDIRECT(ADDRESS(ROW() + (0),COLUMN() + (-1)))="Agregar cuotas", IF(("13.4%")="", "Sin costo", "13.4%"), IF(INDIRECT(ADDRESS(ROW() + (0),COLUMN() + (-1)))="No agregar cuotas", IF(("")="", "Sin costo", ""), "-"))</f>
        <v/>
      </c>
      <c r="M979" s="0" t="n"/>
      <c r="N979" s="0" t="n"/>
      <c r="O979" s="0" t="n"/>
      <c r="P979" s="47" t="n"/>
      <c r="R979" s="0" t="n"/>
      <c r="S979" s="0" t="n"/>
      <c r="U979" s="0" t="n"/>
      <c r="X979" s="0" t="n"/>
      <c r="AA979" s="0" t="n"/>
      <c r="AB97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79" s="53">
        <f>IF(OR(TRIM(INDIRECT("B"&amp;ROW())) &lt;&gt; "",TRIM(INDIRECT("A"&amp;ROW())) &lt;&gt; ""),AND(TRIM(INDIRECT("A"&amp;ROW())) &lt;&gt; "",TRIM(INDIRECT("D"&amp;ROW())) = "nuevo"),"")</f>
        <v/>
      </c>
    </row>
    <row r="980" ht="27.5" customHeight="1" s="62">
      <c r="C980" s="0">
        <f>LEN(INDIRECT(ADDRESS(ROW() + (0),COLUMN() + (-1))))</f>
        <v/>
      </c>
      <c r="D980" s="0" t="n"/>
      <c r="E980" s="38" t="n"/>
      <c r="G980" s="40" t="n"/>
      <c r="J980" s="31">
        <f>IF(INDIRECT(ADDRESS(ROW() + (0),COLUMN() + (1)))="Agregar cuotas", IF(("16%")="", "-", "16%"), IF(INDIRECT(ADDRESS(ROW() + (0),COLUMN() + (1)))="No agregar cuotas", IF(("16%")="", "-", "16%"), "-"))</f>
        <v/>
      </c>
      <c r="K980" s="0" t="n"/>
      <c r="L980" s="31">
        <f>IF(INDIRECT(ADDRESS(ROW() + (0),COLUMN() + (-1)))="Agregar cuotas", IF(("13.4%")="", "Sin costo", "13.4%"), IF(INDIRECT(ADDRESS(ROW() + (0),COLUMN() + (-1)))="No agregar cuotas", IF(("")="", "Sin costo", ""), "-"))</f>
        <v/>
      </c>
      <c r="M980" s="0" t="n"/>
      <c r="N980" s="0" t="n"/>
      <c r="O980" s="0" t="n"/>
      <c r="P980" s="47" t="n"/>
      <c r="R980" s="0" t="n"/>
      <c r="S980" s="0" t="n"/>
      <c r="U980" s="0" t="n"/>
      <c r="X980" s="0" t="n"/>
      <c r="AA980" s="0" t="n"/>
      <c r="AB98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0" s="53">
        <f>IF(OR(TRIM(INDIRECT("B"&amp;ROW())) &lt;&gt; "",TRIM(INDIRECT("A"&amp;ROW())) &lt;&gt; ""),AND(TRIM(INDIRECT("A"&amp;ROW())) &lt;&gt; "",TRIM(INDIRECT("D"&amp;ROW())) = "nuevo"),"")</f>
        <v/>
      </c>
    </row>
    <row r="981" ht="27.5" customHeight="1" s="62">
      <c r="C981" s="0">
        <f>LEN(INDIRECT(ADDRESS(ROW() + (0),COLUMN() + (-1))))</f>
        <v/>
      </c>
      <c r="D981" s="0" t="n"/>
      <c r="E981" s="38" t="n"/>
      <c r="G981" s="40" t="n"/>
      <c r="J981" s="31">
        <f>IF(INDIRECT(ADDRESS(ROW() + (0),COLUMN() + (1)))="Agregar cuotas", IF(("16%")="", "-", "16%"), IF(INDIRECT(ADDRESS(ROW() + (0),COLUMN() + (1)))="No agregar cuotas", IF(("16%")="", "-", "16%"), "-"))</f>
        <v/>
      </c>
      <c r="K981" s="0" t="n"/>
      <c r="L981" s="31">
        <f>IF(INDIRECT(ADDRESS(ROW() + (0),COLUMN() + (-1)))="Agregar cuotas", IF(("13.4%")="", "Sin costo", "13.4%"), IF(INDIRECT(ADDRESS(ROW() + (0),COLUMN() + (-1)))="No agregar cuotas", IF(("")="", "Sin costo", ""), "-"))</f>
        <v/>
      </c>
      <c r="M981" s="0" t="n"/>
      <c r="N981" s="0" t="n"/>
      <c r="O981" s="0" t="n"/>
      <c r="P981" s="47" t="n"/>
      <c r="R981" s="0" t="n"/>
      <c r="S981" s="0" t="n"/>
      <c r="U981" s="0" t="n"/>
      <c r="X981" s="0" t="n"/>
      <c r="AA981" s="0" t="n"/>
      <c r="AB98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1" s="53">
        <f>IF(OR(TRIM(INDIRECT("B"&amp;ROW())) &lt;&gt; "",TRIM(INDIRECT("A"&amp;ROW())) &lt;&gt; ""),AND(TRIM(INDIRECT("A"&amp;ROW())) &lt;&gt; "",TRIM(INDIRECT("D"&amp;ROW())) = "nuevo"),"")</f>
        <v/>
      </c>
    </row>
    <row r="982" ht="27.5" customHeight="1" s="62">
      <c r="C982" s="0">
        <f>LEN(INDIRECT(ADDRESS(ROW() + (0),COLUMN() + (-1))))</f>
        <v/>
      </c>
      <c r="D982" s="0" t="n"/>
      <c r="E982" s="38" t="n"/>
      <c r="G982" s="40" t="n"/>
      <c r="J982" s="31">
        <f>IF(INDIRECT(ADDRESS(ROW() + (0),COLUMN() + (1)))="Agregar cuotas", IF(("16%")="", "-", "16%"), IF(INDIRECT(ADDRESS(ROW() + (0),COLUMN() + (1)))="No agregar cuotas", IF(("16%")="", "-", "16%"), "-"))</f>
        <v/>
      </c>
      <c r="K982" s="0" t="n"/>
      <c r="L982" s="31">
        <f>IF(INDIRECT(ADDRESS(ROW() + (0),COLUMN() + (-1)))="Agregar cuotas", IF(("13.4%")="", "Sin costo", "13.4%"), IF(INDIRECT(ADDRESS(ROW() + (0),COLUMN() + (-1)))="No agregar cuotas", IF(("")="", "Sin costo", ""), "-"))</f>
        <v/>
      </c>
      <c r="M982" s="0" t="n"/>
      <c r="N982" s="0" t="n"/>
      <c r="O982" s="0" t="n"/>
      <c r="P982" s="47" t="n"/>
      <c r="R982" s="0" t="n"/>
      <c r="S982" s="0" t="n"/>
      <c r="U982" s="0" t="n"/>
      <c r="X982" s="0" t="n"/>
      <c r="AA982" s="0" t="n"/>
      <c r="AB98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2" s="53">
        <f>IF(OR(TRIM(INDIRECT("B"&amp;ROW())) &lt;&gt; "",TRIM(INDIRECT("A"&amp;ROW())) &lt;&gt; ""),AND(TRIM(INDIRECT("A"&amp;ROW())) &lt;&gt; "",TRIM(INDIRECT("D"&amp;ROW())) = "nuevo"),"")</f>
        <v/>
      </c>
    </row>
    <row r="983" ht="27.5" customHeight="1" s="62">
      <c r="C983" s="0">
        <f>LEN(INDIRECT(ADDRESS(ROW() + (0),COLUMN() + (-1))))</f>
        <v/>
      </c>
      <c r="D983" s="0" t="n"/>
      <c r="E983" s="38" t="n"/>
      <c r="G983" s="40" t="n"/>
      <c r="J983" s="31">
        <f>IF(INDIRECT(ADDRESS(ROW() + (0),COLUMN() + (1)))="Agregar cuotas", IF(("16%")="", "-", "16%"), IF(INDIRECT(ADDRESS(ROW() + (0),COLUMN() + (1)))="No agregar cuotas", IF(("16%")="", "-", "16%"), "-"))</f>
        <v/>
      </c>
      <c r="K983" s="0" t="n"/>
      <c r="L983" s="31">
        <f>IF(INDIRECT(ADDRESS(ROW() + (0),COLUMN() + (-1)))="Agregar cuotas", IF(("13.4%")="", "Sin costo", "13.4%"), IF(INDIRECT(ADDRESS(ROW() + (0),COLUMN() + (-1)))="No agregar cuotas", IF(("")="", "Sin costo", ""), "-"))</f>
        <v/>
      </c>
      <c r="M983" s="0" t="n"/>
      <c r="N983" s="0" t="n"/>
      <c r="O983" s="0" t="n"/>
      <c r="P983" s="47" t="n"/>
      <c r="R983" s="0" t="n"/>
      <c r="S983" s="0" t="n"/>
      <c r="U983" s="0" t="n"/>
      <c r="X983" s="0" t="n"/>
      <c r="AA983" s="0" t="n"/>
      <c r="AB98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3" s="53">
        <f>IF(OR(TRIM(INDIRECT("B"&amp;ROW())) &lt;&gt; "",TRIM(INDIRECT("A"&amp;ROW())) &lt;&gt; ""),AND(TRIM(INDIRECT("A"&amp;ROW())) &lt;&gt; "",TRIM(INDIRECT("D"&amp;ROW())) = "nuevo"),"")</f>
        <v/>
      </c>
    </row>
    <row r="984" ht="27.5" customHeight="1" s="62">
      <c r="C984" s="0">
        <f>LEN(INDIRECT(ADDRESS(ROW() + (0),COLUMN() + (-1))))</f>
        <v/>
      </c>
      <c r="D984" s="0" t="n"/>
      <c r="E984" s="38" t="n"/>
      <c r="G984" s="40" t="n"/>
      <c r="J984" s="31">
        <f>IF(INDIRECT(ADDRESS(ROW() + (0),COLUMN() + (1)))="Agregar cuotas", IF(("16%")="", "-", "16%"), IF(INDIRECT(ADDRESS(ROW() + (0),COLUMN() + (1)))="No agregar cuotas", IF(("16%")="", "-", "16%"), "-"))</f>
        <v/>
      </c>
      <c r="K984" s="0" t="n"/>
      <c r="L984" s="31">
        <f>IF(INDIRECT(ADDRESS(ROW() + (0),COLUMN() + (-1)))="Agregar cuotas", IF(("13.4%")="", "Sin costo", "13.4%"), IF(INDIRECT(ADDRESS(ROW() + (0),COLUMN() + (-1)))="No agregar cuotas", IF(("")="", "Sin costo", ""), "-"))</f>
        <v/>
      </c>
      <c r="M984" s="0" t="n"/>
      <c r="N984" s="0" t="n"/>
      <c r="O984" s="0" t="n"/>
      <c r="P984" s="47" t="n"/>
      <c r="R984" s="0" t="n"/>
      <c r="S984" s="0" t="n"/>
      <c r="U984" s="0" t="n"/>
      <c r="X984" s="0" t="n"/>
      <c r="AA984" s="0" t="n"/>
      <c r="AB98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4" s="53">
        <f>IF(OR(TRIM(INDIRECT("B"&amp;ROW())) &lt;&gt; "",TRIM(INDIRECT("A"&amp;ROW())) &lt;&gt; ""),AND(TRIM(INDIRECT("A"&amp;ROW())) &lt;&gt; "",TRIM(INDIRECT("D"&amp;ROW())) = "nuevo"),"")</f>
        <v/>
      </c>
    </row>
    <row r="985" ht="27.5" customHeight="1" s="62">
      <c r="C985" s="0">
        <f>LEN(INDIRECT(ADDRESS(ROW() + (0),COLUMN() + (-1))))</f>
        <v/>
      </c>
      <c r="D985" s="0" t="n"/>
      <c r="E985" s="38" t="n"/>
      <c r="G985" s="40" t="n"/>
      <c r="J985" s="31">
        <f>IF(INDIRECT(ADDRESS(ROW() + (0),COLUMN() + (1)))="Agregar cuotas", IF(("16%")="", "-", "16%"), IF(INDIRECT(ADDRESS(ROW() + (0),COLUMN() + (1)))="No agregar cuotas", IF(("16%")="", "-", "16%"), "-"))</f>
        <v/>
      </c>
      <c r="K985" s="0" t="n"/>
      <c r="L985" s="31">
        <f>IF(INDIRECT(ADDRESS(ROW() + (0),COLUMN() + (-1)))="Agregar cuotas", IF(("13.4%")="", "Sin costo", "13.4%"), IF(INDIRECT(ADDRESS(ROW() + (0),COLUMN() + (-1)))="No agregar cuotas", IF(("")="", "Sin costo", ""), "-"))</f>
        <v/>
      </c>
      <c r="M985" s="0" t="n"/>
      <c r="N985" s="0" t="n"/>
      <c r="O985" s="0" t="n"/>
      <c r="P985" s="47" t="n"/>
      <c r="R985" s="0" t="n"/>
      <c r="S985" s="0" t="n"/>
      <c r="U985" s="0" t="n"/>
      <c r="X985" s="0" t="n"/>
      <c r="AA985" s="0" t="n"/>
      <c r="AB98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5" s="53">
        <f>IF(OR(TRIM(INDIRECT("B"&amp;ROW())) &lt;&gt; "",TRIM(INDIRECT("A"&amp;ROW())) &lt;&gt; ""),AND(TRIM(INDIRECT("A"&amp;ROW())) &lt;&gt; "",TRIM(INDIRECT("D"&amp;ROW())) = "nuevo"),"")</f>
        <v/>
      </c>
    </row>
    <row r="986" ht="27.5" customHeight="1" s="62">
      <c r="C986" s="0">
        <f>LEN(INDIRECT(ADDRESS(ROW() + (0),COLUMN() + (-1))))</f>
        <v/>
      </c>
      <c r="D986" s="0" t="n"/>
      <c r="E986" s="38" t="n"/>
      <c r="G986" s="40" t="n"/>
      <c r="J986" s="31">
        <f>IF(INDIRECT(ADDRESS(ROW() + (0),COLUMN() + (1)))="Agregar cuotas", IF(("16%")="", "-", "16%"), IF(INDIRECT(ADDRESS(ROW() + (0),COLUMN() + (1)))="No agregar cuotas", IF(("16%")="", "-", "16%"), "-"))</f>
        <v/>
      </c>
      <c r="K986" s="0" t="n"/>
      <c r="L986" s="31">
        <f>IF(INDIRECT(ADDRESS(ROW() + (0),COLUMN() + (-1)))="Agregar cuotas", IF(("13.4%")="", "Sin costo", "13.4%"), IF(INDIRECT(ADDRESS(ROW() + (0),COLUMN() + (-1)))="No agregar cuotas", IF(("")="", "Sin costo", ""), "-"))</f>
        <v/>
      </c>
      <c r="M986" s="0" t="n"/>
      <c r="N986" s="0" t="n"/>
      <c r="O986" s="0" t="n"/>
      <c r="P986" s="47" t="n"/>
      <c r="R986" s="0" t="n"/>
      <c r="S986" s="0" t="n"/>
      <c r="U986" s="0" t="n"/>
      <c r="X986" s="0" t="n"/>
      <c r="AA986" s="0" t="n"/>
      <c r="AB98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6" s="53">
        <f>IF(OR(TRIM(INDIRECT("B"&amp;ROW())) &lt;&gt; "",TRIM(INDIRECT("A"&amp;ROW())) &lt;&gt; ""),AND(TRIM(INDIRECT("A"&amp;ROW())) &lt;&gt; "",TRIM(INDIRECT("D"&amp;ROW())) = "nuevo"),"")</f>
        <v/>
      </c>
    </row>
    <row r="987" ht="27.5" customHeight="1" s="62">
      <c r="C987" s="0">
        <f>LEN(INDIRECT(ADDRESS(ROW() + (0),COLUMN() + (-1))))</f>
        <v/>
      </c>
      <c r="D987" s="0" t="n"/>
      <c r="E987" s="38" t="n"/>
      <c r="G987" s="40" t="n"/>
      <c r="J987" s="31">
        <f>IF(INDIRECT(ADDRESS(ROW() + (0),COLUMN() + (1)))="Agregar cuotas", IF(("16%")="", "-", "16%"), IF(INDIRECT(ADDRESS(ROW() + (0),COLUMN() + (1)))="No agregar cuotas", IF(("16%")="", "-", "16%"), "-"))</f>
        <v/>
      </c>
      <c r="K987" s="0" t="n"/>
      <c r="L987" s="31">
        <f>IF(INDIRECT(ADDRESS(ROW() + (0),COLUMN() + (-1)))="Agregar cuotas", IF(("13.4%")="", "Sin costo", "13.4%"), IF(INDIRECT(ADDRESS(ROW() + (0),COLUMN() + (-1)))="No agregar cuotas", IF(("")="", "Sin costo", ""), "-"))</f>
        <v/>
      </c>
      <c r="M987" s="0" t="n"/>
      <c r="N987" s="0" t="n"/>
      <c r="O987" s="0" t="n"/>
      <c r="P987" s="47" t="n"/>
      <c r="R987" s="0" t="n"/>
      <c r="S987" s="0" t="n"/>
      <c r="U987" s="0" t="n"/>
      <c r="X987" s="0" t="n"/>
      <c r="AA987" s="0" t="n"/>
      <c r="AB98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7" s="53">
        <f>IF(OR(TRIM(INDIRECT("B"&amp;ROW())) &lt;&gt; "",TRIM(INDIRECT("A"&amp;ROW())) &lt;&gt; ""),AND(TRIM(INDIRECT("A"&amp;ROW())) &lt;&gt; "",TRIM(INDIRECT("D"&amp;ROW())) = "nuevo"),"")</f>
        <v/>
      </c>
    </row>
    <row r="988" ht="27.5" customHeight="1" s="62">
      <c r="C988" s="0">
        <f>LEN(INDIRECT(ADDRESS(ROW() + (0),COLUMN() + (-1))))</f>
        <v/>
      </c>
      <c r="D988" s="0" t="n"/>
      <c r="E988" s="38" t="n"/>
      <c r="G988" s="40" t="n"/>
      <c r="J988" s="31">
        <f>IF(INDIRECT(ADDRESS(ROW() + (0),COLUMN() + (1)))="Agregar cuotas", IF(("16%")="", "-", "16%"), IF(INDIRECT(ADDRESS(ROW() + (0),COLUMN() + (1)))="No agregar cuotas", IF(("16%")="", "-", "16%"), "-"))</f>
        <v/>
      </c>
      <c r="K988" s="0" t="n"/>
      <c r="L988" s="31">
        <f>IF(INDIRECT(ADDRESS(ROW() + (0),COLUMN() + (-1)))="Agregar cuotas", IF(("13.4%")="", "Sin costo", "13.4%"), IF(INDIRECT(ADDRESS(ROW() + (0),COLUMN() + (-1)))="No agregar cuotas", IF(("")="", "Sin costo", ""), "-"))</f>
        <v/>
      </c>
      <c r="M988" s="0" t="n"/>
      <c r="N988" s="0" t="n"/>
      <c r="O988" s="0" t="n"/>
      <c r="P988" s="47" t="n"/>
      <c r="R988" s="0" t="n"/>
      <c r="S988" s="0" t="n"/>
      <c r="U988" s="0" t="n"/>
      <c r="X988" s="0" t="n"/>
      <c r="AA988" s="0" t="n"/>
      <c r="AB98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8" s="53">
        <f>IF(OR(TRIM(INDIRECT("B"&amp;ROW())) &lt;&gt; "",TRIM(INDIRECT("A"&amp;ROW())) &lt;&gt; ""),AND(TRIM(INDIRECT("A"&amp;ROW())) &lt;&gt; "",TRIM(INDIRECT("D"&amp;ROW())) = "nuevo"),"")</f>
        <v/>
      </c>
    </row>
    <row r="989" ht="27.5" customHeight="1" s="62">
      <c r="C989" s="0">
        <f>LEN(INDIRECT(ADDRESS(ROW() + (0),COLUMN() + (-1))))</f>
        <v/>
      </c>
      <c r="D989" s="0" t="n"/>
      <c r="E989" s="38" t="n"/>
      <c r="G989" s="40" t="n"/>
      <c r="J989" s="31">
        <f>IF(INDIRECT(ADDRESS(ROW() + (0),COLUMN() + (1)))="Agregar cuotas", IF(("16%")="", "-", "16%"), IF(INDIRECT(ADDRESS(ROW() + (0),COLUMN() + (1)))="No agregar cuotas", IF(("16%")="", "-", "16%"), "-"))</f>
        <v/>
      </c>
      <c r="K989" s="0" t="n"/>
      <c r="L989" s="31">
        <f>IF(INDIRECT(ADDRESS(ROW() + (0),COLUMN() + (-1)))="Agregar cuotas", IF(("13.4%")="", "Sin costo", "13.4%"), IF(INDIRECT(ADDRESS(ROW() + (0),COLUMN() + (-1)))="No agregar cuotas", IF(("")="", "Sin costo", ""), "-"))</f>
        <v/>
      </c>
      <c r="M989" s="0" t="n"/>
      <c r="N989" s="0" t="n"/>
      <c r="O989" s="0" t="n"/>
      <c r="P989" s="47" t="n"/>
      <c r="R989" s="0" t="n"/>
      <c r="S989" s="0" t="n"/>
      <c r="U989" s="0" t="n"/>
      <c r="X989" s="0" t="n"/>
      <c r="AA989" s="0" t="n"/>
      <c r="AB98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89" s="53">
        <f>IF(OR(TRIM(INDIRECT("B"&amp;ROW())) &lt;&gt; "",TRIM(INDIRECT("A"&amp;ROW())) &lt;&gt; ""),AND(TRIM(INDIRECT("A"&amp;ROW())) &lt;&gt; "",TRIM(INDIRECT("D"&amp;ROW())) = "nuevo"),"")</f>
        <v/>
      </c>
    </row>
    <row r="990" ht="27.5" customHeight="1" s="62">
      <c r="C990" s="0">
        <f>LEN(INDIRECT(ADDRESS(ROW() + (0),COLUMN() + (-1))))</f>
        <v/>
      </c>
      <c r="D990" s="0" t="n"/>
      <c r="E990" s="38" t="n"/>
      <c r="G990" s="40" t="n"/>
      <c r="J990" s="31">
        <f>IF(INDIRECT(ADDRESS(ROW() + (0),COLUMN() + (1)))="Agregar cuotas", IF(("16%")="", "-", "16%"), IF(INDIRECT(ADDRESS(ROW() + (0),COLUMN() + (1)))="No agregar cuotas", IF(("16%")="", "-", "16%"), "-"))</f>
        <v/>
      </c>
      <c r="K990" s="0" t="n"/>
      <c r="L990" s="31">
        <f>IF(INDIRECT(ADDRESS(ROW() + (0),COLUMN() + (-1)))="Agregar cuotas", IF(("13.4%")="", "Sin costo", "13.4%"), IF(INDIRECT(ADDRESS(ROW() + (0),COLUMN() + (-1)))="No agregar cuotas", IF(("")="", "Sin costo", ""), "-"))</f>
        <v/>
      </c>
      <c r="M990" s="0" t="n"/>
      <c r="N990" s="0" t="n"/>
      <c r="O990" s="0" t="n"/>
      <c r="P990" s="47" t="n"/>
      <c r="R990" s="0" t="n"/>
      <c r="S990" s="0" t="n"/>
      <c r="U990" s="0" t="n"/>
      <c r="X990" s="0" t="n"/>
      <c r="AA990" s="0" t="n"/>
      <c r="AB99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0" s="53">
        <f>IF(OR(TRIM(INDIRECT("B"&amp;ROW())) &lt;&gt; "",TRIM(INDIRECT("A"&amp;ROW())) &lt;&gt; ""),AND(TRIM(INDIRECT("A"&amp;ROW())) &lt;&gt; "",TRIM(INDIRECT("D"&amp;ROW())) = "nuevo"),"")</f>
        <v/>
      </c>
    </row>
    <row r="991" ht="27.5" customHeight="1" s="62">
      <c r="C991" s="0">
        <f>LEN(INDIRECT(ADDRESS(ROW() + (0),COLUMN() + (-1))))</f>
        <v/>
      </c>
      <c r="D991" s="0" t="n"/>
      <c r="E991" s="38" t="n"/>
      <c r="G991" s="40" t="n"/>
      <c r="J991" s="31">
        <f>IF(INDIRECT(ADDRESS(ROW() + (0),COLUMN() + (1)))="Agregar cuotas", IF(("16%")="", "-", "16%"), IF(INDIRECT(ADDRESS(ROW() + (0),COLUMN() + (1)))="No agregar cuotas", IF(("16%")="", "-", "16%"), "-"))</f>
        <v/>
      </c>
      <c r="K991" s="0" t="n"/>
      <c r="L991" s="31">
        <f>IF(INDIRECT(ADDRESS(ROW() + (0),COLUMN() + (-1)))="Agregar cuotas", IF(("13.4%")="", "Sin costo", "13.4%"), IF(INDIRECT(ADDRESS(ROW() + (0),COLUMN() + (-1)))="No agregar cuotas", IF(("")="", "Sin costo", ""), "-"))</f>
        <v/>
      </c>
      <c r="M991" s="0" t="n"/>
      <c r="N991" s="0" t="n"/>
      <c r="O991" s="0" t="n"/>
      <c r="P991" s="47" t="n"/>
      <c r="R991" s="0" t="n"/>
      <c r="S991" s="0" t="n"/>
      <c r="U991" s="0" t="n"/>
      <c r="X991" s="0" t="n"/>
      <c r="AA991" s="0" t="n"/>
      <c r="AB99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1" s="53">
        <f>IF(OR(TRIM(INDIRECT("B"&amp;ROW())) &lt;&gt; "",TRIM(INDIRECT("A"&amp;ROW())) &lt;&gt; ""),AND(TRIM(INDIRECT("A"&amp;ROW())) &lt;&gt; "",TRIM(INDIRECT("D"&amp;ROW())) = "nuevo"),"")</f>
        <v/>
      </c>
    </row>
    <row r="992" ht="27.5" customHeight="1" s="62">
      <c r="C992" s="0">
        <f>LEN(INDIRECT(ADDRESS(ROW() + (0),COLUMN() + (-1))))</f>
        <v/>
      </c>
      <c r="D992" s="0" t="n"/>
      <c r="E992" s="38" t="n"/>
      <c r="G992" s="40" t="n"/>
      <c r="J992" s="31">
        <f>IF(INDIRECT(ADDRESS(ROW() + (0),COLUMN() + (1)))="Agregar cuotas", IF(("16%")="", "-", "16%"), IF(INDIRECT(ADDRESS(ROW() + (0),COLUMN() + (1)))="No agregar cuotas", IF(("16%")="", "-", "16%"), "-"))</f>
        <v/>
      </c>
      <c r="K992" s="0" t="n"/>
      <c r="L992" s="31">
        <f>IF(INDIRECT(ADDRESS(ROW() + (0),COLUMN() + (-1)))="Agregar cuotas", IF(("13.4%")="", "Sin costo", "13.4%"), IF(INDIRECT(ADDRESS(ROW() + (0),COLUMN() + (-1)))="No agregar cuotas", IF(("")="", "Sin costo", ""), "-"))</f>
        <v/>
      </c>
      <c r="M992" s="0" t="n"/>
      <c r="N992" s="0" t="n"/>
      <c r="O992" s="0" t="n"/>
      <c r="P992" s="47" t="n"/>
      <c r="R992" s="0" t="n"/>
      <c r="S992" s="0" t="n"/>
      <c r="U992" s="0" t="n"/>
      <c r="X992" s="0" t="n"/>
      <c r="AA992" s="0" t="n"/>
      <c r="AB992"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2" s="53">
        <f>IF(OR(TRIM(INDIRECT("B"&amp;ROW())) &lt;&gt; "",TRIM(INDIRECT("A"&amp;ROW())) &lt;&gt; ""),AND(TRIM(INDIRECT("A"&amp;ROW())) &lt;&gt; "",TRIM(INDIRECT("D"&amp;ROW())) = "nuevo"),"")</f>
        <v/>
      </c>
    </row>
    <row r="993" ht="27.5" customHeight="1" s="62">
      <c r="C993" s="0">
        <f>LEN(INDIRECT(ADDRESS(ROW() + (0),COLUMN() + (-1))))</f>
        <v/>
      </c>
      <c r="D993" s="0" t="n"/>
      <c r="E993" s="38" t="n"/>
      <c r="G993" s="40" t="n"/>
      <c r="J993" s="31">
        <f>IF(INDIRECT(ADDRESS(ROW() + (0),COLUMN() + (1)))="Agregar cuotas", IF(("16%")="", "-", "16%"), IF(INDIRECT(ADDRESS(ROW() + (0),COLUMN() + (1)))="No agregar cuotas", IF(("16%")="", "-", "16%"), "-"))</f>
        <v/>
      </c>
      <c r="K993" s="0" t="n"/>
      <c r="L993" s="31">
        <f>IF(INDIRECT(ADDRESS(ROW() + (0),COLUMN() + (-1)))="Agregar cuotas", IF(("13.4%")="", "Sin costo", "13.4%"), IF(INDIRECT(ADDRESS(ROW() + (0),COLUMN() + (-1)))="No agregar cuotas", IF(("")="", "Sin costo", ""), "-"))</f>
        <v/>
      </c>
      <c r="M993" s="0" t="n"/>
      <c r="N993" s="0" t="n"/>
      <c r="O993" s="0" t="n"/>
      <c r="P993" s="47" t="n"/>
      <c r="R993" s="0" t="n"/>
      <c r="S993" s="0" t="n"/>
      <c r="U993" s="0" t="n"/>
      <c r="X993" s="0" t="n"/>
      <c r="AA993" s="0" t="n"/>
      <c r="AB993"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3" s="53">
        <f>IF(OR(TRIM(INDIRECT("B"&amp;ROW())) &lt;&gt; "",TRIM(INDIRECT("A"&amp;ROW())) &lt;&gt; ""),AND(TRIM(INDIRECT("A"&amp;ROW())) &lt;&gt; "",TRIM(INDIRECT("D"&amp;ROW())) = "nuevo"),"")</f>
        <v/>
      </c>
    </row>
    <row r="994" ht="27.5" customHeight="1" s="62">
      <c r="C994" s="0">
        <f>LEN(INDIRECT(ADDRESS(ROW() + (0),COLUMN() + (-1))))</f>
        <v/>
      </c>
      <c r="D994" s="0" t="n"/>
      <c r="E994" s="38" t="n"/>
      <c r="G994" s="40" t="n"/>
      <c r="J994" s="31">
        <f>IF(INDIRECT(ADDRESS(ROW() + (0),COLUMN() + (1)))="Agregar cuotas", IF(("16%")="", "-", "16%"), IF(INDIRECT(ADDRESS(ROW() + (0),COLUMN() + (1)))="No agregar cuotas", IF(("16%")="", "-", "16%"), "-"))</f>
        <v/>
      </c>
      <c r="K994" s="0" t="n"/>
      <c r="L994" s="31">
        <f>IF(INDIRECT(ADDRESS(ROW() + (0),COLUMN() + (-1)))="Agregar cuotas", IF(("13.4%")="", "Sin costo", "13.4%"), IF(INDIRECT(ADDRESS(ROW() + (0),COLUMN() + (-1)))="No agregar cuotas", IF(("")="", "Sin costo", ""), "-"))</f>
        <v/>
      </c>
      <c r="M994" s="0" t="n"/>
      <c r="N994" s="0" t="n"/>
      <c r="O994" s="0" t="n"/>
      <c r="P994" s="47" t="n"/>
      <c r="R994" s="0" t="n"/>
      <c r="S994" s="0" t="n"/>
      <c r="U994" s="0" t="n"/>
      <c r="X994" s="0" t="n"/>
      <c r="AA994" s="0" t="n"/>
      <c r="AB994"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4" s="53">
        <f>IF(OR(TRIM(INDIRECT("B"&amp;ROW())) &lt;&gt; "",TRIM(INDIRECT("A"&amp;ROW())) &lt;&gt; ""),AND(TRIM(INDIRECT("A"&amp;ROW())) &lt;&gt; "",TRIM(INDIRECT("D"&amp;ROW())) = "nuevo"),"")</f>
        <v/>
      </c>
    </row>
    <row r="995" ht="27.5" customHeight="1" s="62">
      <c r="C995" s="0">
        <f>LEN(INDIRECT(ADDRESS(ROW() + (0),COLUMN() + (-1))))</f>
        <v/>
      </c>
      <c r="D995" s="0" t="n"/>
      <c r="E995" s="38" t="n"/>
      <c r="G995" s="40" t="n"/>
      <c r="J995" s="31">
        <f>IF(INDIRECT(ADDRESS(ROW() + (0),COLUMN() + (1)))="Agregar cuotas", IF(("16%")="", "-", "16%"), IF(INDIRECT(ADDRESS(ROW() + (0),COLUMN() + (1)))="No agregar cuotas", IF(("16%")="", "-", "16%"), "-"))</f>
        <v/>
      </c>
      <c r="K995" s="0" t="n"/>
      <c r="L995" s="31">
        <f>IF(INDIRECT(ADDRESS(ROW() + (0),COLUMN() + (-1)))="Agregar cuotas", IF(("13.4%")="", "Sin costo", "13.4%"), IF(INDIRECT(ADDRESS(ROW() + (0),COLUMN() + (-1)))="No agregar cuotas", IF(("")="", "Sin costo", ""), "-"))</f>
        <v/>
      </c>
      <c r="M995" s="0" t="n"/>
      <c r="N995" s="0" t="n"/>
      <c r="O995" s="0" t="n"/>
      <c r="P995" s="47" t="n"/>
      <c r="R995" s="0" t="n"/>
      <c r="S995" s="0" t="n"/>
      <c r="U995" s="0" t="n"/>
      <c r="X995" s="0" t="n"/>
      <c r="AA995" s="0" t="n"/>
      <c r="AB995"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5" s="53">
        <f>IF(OR(TRIM(INDIRECT("B"&amp;ROW())) &lt;&gt; "",TRIM(INDIRECT("A"&amp;ROW())) &lt;&gt; ""),AND(TRIM(INDIRECT("A"&amp;ROW())) &lt;&gt; "",TRIM(INDIRECT("D"&amp;ROW())) = "nuevo"),"")</f>
        <v/>
      </c>
    </row>
    <row r="996" ht="27.5" customHeight="1" s="62">
      <c r="C996" s="0">
        <f>LEN(INDIRECT(ADDRESS(ROW() + (0),COLUMN() + (-1))))</f>
        <v/>
      </c>
      <c r="D996" s="0" t="n"/>
      <c r="E996" s="38" t="n"/>
      <c r="G996" s="40" t="n"/>
      <c r="J996" s="31">
        <f>IF(INDIRECT(ADDRESS(ROW() + (0),COLUMN() + (1)))="Agregar cuotas", IF(("16%")="", "-", "16%"), IF(INDIRECT(ADDRESS(ROW() + (0),COLUMN() + (1)))="No agregar cuotas", IF(("16%")="", "-", "16%"), "-"))</f>
        <v/>
      </c>
      <c r="K996" s="0" t="n"/>
      <c r="L996" s="31">
        <f>IF(INDIRECT(ADDRESS(ROW() + (0),COLUMN() + (-1)))="Agregar cuotas", IF(("13.4%")="", "Sin costo", "13.4%"), IF(INDIRECT(ADDRESS(ROW() + (0),COLUMN() + (-1)))="No agregar cuotas", IF(("")="", "Sin costo", ""), "-"))</f>
        <v/>
      </c>
      <c r="M996" s="0" t="n"/>
      <c r="N996" s="0" t="n"/>
      <c r="O996" s="0" t="n"/>
      <c r="P996" s="47" t="n"/>
      <c r="R996" s="0" t="n"/>
      <c r="S996" s="0" t="n"/>
      <c r="U996" s="0" t="n"/>
      <c r="X996" s="0" t="n"/>
      <c r="AA996" s="0" t="n"/>
      <c r="AB996"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6" s="53">
        <f>IF(OR(TRIM(INDIRECT("B"&amp;ROW())) &lt;&gt; "",TRIM(INDIRECT("A"&amp;ROW())) &lt;&gt; ""),AND(TRIM(INDIRECT("A"&amp;ROW())) &lt;&gt; "",TRIM(INDIRECT("D"&amp;ROW())) = "nuevo"),"")</f>
        <v/>
      </c>
    </row>
    <row r="997" ht="27.5" customHeight="1" s="62">
      <c r="C997" s="0">
        <f>LEN(INDIRECT(ADDRESS(ROW() + (0),COLUMN() + (-1))))</f>
        <v/>
      </c>
      <c r="D997" s="0" t="n"/>
      <c r="E997" s="38" t="n"/>
      <c r="G997" s="40" t="n"/>
      <c r="J997" s="31">
        <f>IF(INDIRECT(ADDRESS(ROW() + (0),COLUMN() + (1)))="Agregar cuotas", IF(("16%")="", "-", "16%"), IF(INDIRECT(ADDRESS(ROW() + (0),COLUMN() + (1)))="No agregar cuotas", IF(("16%")="", "-", "16%"), "-"))</f>
        <v/>
      </c>
      <c r="K997" s="0" t="n"/>
      <c r="L997" s="31">
        <f>IF(INDIRECT(ADDRESS(ROW() + (0),COLUMN() + (-1)))="Agregar cuotas", IF(("13.4%")="", "Sin costo", "13.4%"), IF(INDIRECT(ADDRESS(ROW() + (0),COLUMN() + (-1)))="No agregar cuotas", IF(("")="", "Sin costo", ""), "-"))</f>
        <v/>
      </c>
      <c r="M997" s="0" t="n"/>
      <c r="N997" s="0" t="n"/>
      <c r="O997" s="0" t="n"/>
      <c r="P997" s="47" t="n"/>
      <c r="R997" s="0" t="n"/>
      <c r="S997" s="0" t="n"/>
      <c r="U997" s="0" t="n"/>
      <c r="X997" s="0" t="n"/>
      <c r="AA997" s="0" t="n"/>
      <c r="AB997"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7" s="53">
        <f>IF(OR(TRIM(INDIRECT("B"&amp;ROW())) &lt;&gt; "",TRIM(INDIRECT("A"&amp;ROW())) &lt;&gt; ""),AND(TRIM(INDIRECT("A"&amp;ROW())) &lt;&gt; "",TRIM(INDIRECT("D"&amp;ROW())) = "nuevo"),"")</f>
        <v/>
      </c>
    </row>
    <row r="998" ht="27.5" customHeight="1" s="62">
      <c r="C998" s="0">
        <f>LEN(INDIRECT(ADDRESS(ROW() + (0),COLUMN() + (-1))))</f>
        <v/>
      </c>
      <c r="D998" s="0" t="n"/>
      <c r="E998" s="38" t="n"/>
      <c r="G998" s="40" t="n"/>
      <c r="J998" s="31">
        <f>IF(INDIRECT(ADDRESS(ROW() + (0),COLUMN() + (1)))="Agregar cuotas", IF(("16%")="", "-", "16%"), IF(INDIRECT(ADDRESS(ROW() + (0),COLUMN() + (1)))="No agregar cuotas", IF(("16%")="", "-", "16%"), "-"))</f>
        <v/>
      </c>
      <c r="K998" s="0" t="n"/>
      <c r="L998" s="31">
        <f>IF(INDIRECT(ADDRESS(ROW() + (0),COLUMN() + (-1)))="Agregar cuotas", IF(("13.4%")="", "Sin costo", "13.4%"), IF(INDIRECT(ADDRESS(ROW() + (0),COLUMN() + (-1)))="No agregar cuotas", IF(("")="", "Sin costo", ""), "-"))</f>
        <v/>
      </c>
      <c r="M998" s="0" t="n"/>
      <c r="N998" s="0" t="n"/>
      <c r="O998" s="0" t="n"/>
      <c r="P998" s="47" t="n"/>
      <c r="R998" s="0" t="n"/>
      <c r="S998" s="0" t="n"/>
      <c r="U998" s="0" t="n"/>
      <c r="X998" s="0" t="n"/>
      <c r="AA998" s="0" t="n"/>
      <c r="AB998"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8" s="53">
        <f>IF(OR(TRIM(INDIRECT("B"&amp;ROW())) &lt;&gt; "",TRIM(INDIRECT("A"&amp;ROW())) &lt;&gt; ""),AND(TRIM(INDIRECT("A"&amp;ROW())) &lt;&gt; "",TRIM(INDIRECT("D"&amp;ROW())) = "nuevo"),"")</f>
        <v/>
      </c>
    </row>
    <row r="999" ht="27.5" customHeight="1" s="62">
      <c r="C999" s="0">
        <f>LEN(INDIRECT(ADDRESS(ROW() + (0),COLUMN() + (-1))))</f>
        <v/>
      </c>
      <c r="D999" s="0" t="n"/>
      <c r="E999" s="38" t="n"/>
      <c r="G999" s="40" t="n"/>
      <c r="J999" s="31">
        <f>IF(INDIRECT(ADDRESS(ROW() + (0),COLUMN() + (1)))="Agregar cuotas", IF(("16%")="", "-", "16%"), IF(INDIRECT(ADDRESS(ROW() + (0),COLUMN() + (1)))="No agregar cuotas", IF(("16%")="", "-", "16%"), "-"))</f>
        <v/>
      </c>
      <c r="K999" s="0" t="n"/>
      <c r="L999" s="31">
        <f>IF(INDIRECT(ADDRESS(ROW() + (0),COLUMN() + (-1)))="Agregar cuotas", IF(("13.4%")="", "Sin costo", "13.4%"), IF(INDIRECT(ADDRESS(ROW() + (0),COLUMN() + (-1)))="No agregar cuotas", IF(("")="", "Sin costo", ""), "-"))</f>
        <v/>
      </c>
      <c r="M999" s="0" t="n"/>
      <c r="N999" s="0" t="n"/>
      <c r="O999" s="0" t="n"/>
      <c r="P999" s="47" t="n"/>
      <c r="R999" s="0" t="n"/>
      <c r="S999" s="0" t="n"/>
      <c r="U999" s="0" t="n"/>
      <c r="X999" s="0" t="n"/>
      <c r="AA999" s="0" t="n"/>
      <c r="AB999"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999" s="53">
        <f>IF(OR(TRIM(INDIRECT("B"&amp;ROW())) &lt;&gt; "",TRIM(INDIRECT("A"&amp;ROW())) &lt;&gt; ""),AND(TRIM(INDIRECT("A"&amp;ROW())) &lt;&gt; "",TRIM(INDIRECT("D"&amp;ROW())) = "nuevo"),"")</f>
        <v/>
      </c>
    </row>
    <row r="1000" ht="27.5" customHeight="1" s="62">
      <c r="C1000" s="0">
        <f>LEN(INDIRECT(ADDRESS(ROW() + (0),COLUMN() + (-1))))</f>
        <v/>
      </c>
      <c r="D1000" s="0" t="n"/>
      <c r="E1000" s="38" t="n"/>
      <c r="G1000" s="40" t="n"/>
      <c r="J1000" s="31">
        <f>IF(INDIRECT(ADDRESS(ROW() + (0),COLUMN() + (1)))="Agregar cuotas", IF(("16%")="", "-", "16%"), IF(INDIRECT(ADDRESS(ROW() + (0),COLUMN() + (1)))="No agregar cuotas", IF(("16%")="", "-", "16%"), "-"))</f>
        <v/>
      </c>
      <c r="K1000" s="0" t="n"/>
      <c r="L1000" s="31">
        <f>IF(INDIRECT(ADDRESS(ROW() + (0),COLUMN() + (-1)))="Agregar cuotas", IF(("13.4%")="", "Sin costo", "13.4%"), IF(INDIRECT(ADDRESS(ROW() + (0),COLUMN() + (-1)))="No agregar cuotas", IF(("")="", "Sin costo", ""), "-"))</f>
        <v/>
      </c>
      <c r="M1000" s="0" t="n"/>
      <c r="N1000" s="0" t="n"/>
      <c r="O1000" s="0" t="n"/>
      <c r="P1000" s="47" t="n"/>
      <c r="R1000" s="0" t="n"/>
      <c r="S1000" s="0" t="n"/>
      <c r="U1000" s="0" t="n"/>
      <c r="X1000" s="0" t="n"/>
      <c r="AA1000" s="0" t="n"/>
      <c r="AB1000"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00" s="53">
        <f>IF(OR(TRIM(INDIRECT("B"&amp;ROW())) &lt;&gt; "",TRIM(INDIRECT("A"&amp;ROW())) &lt;&gt; ""),AND(TRIM(INDIRECT("A"&amp;ROW())) &lt;&gt; "",TRIM(INDIRECT("D"&amp;ROW())) = "nuevo"),"")</f>
        <v/>
      </c>
    </row>
    <row r="1001" ht="27.5" customHeight="1" s="62">
      <c r="C1001" s="0">
        <f>LEN(INDIRECT(ADDRESS(ROW() + (0),COLUMN() + (-1))))</f>
        <v/>
      </c>
      <c r="D1001" s="0" t="n"/>
      <c r="E1001" s="38" t="n"/>
      <c r="G1001" s="40" t="n"/>
      <c r="J1001" s="31">
        <f>IF(INDIRECT(ADDRESS(ROW() + (0),COLUMN() + (1)))="Agregar cuotas", IF(("16%")="", "-", "16%"), IF(INDIRECT(ADDRESS(ROW() + (0),COLUMN() + (1)))="No agregar cuotas", IF(("16%")="", "-", "16%"), "-"))</f>
        <v/>
      </c>
      <c r="K1001" s="0" t="n"/>
      <c r="L1001" s="31">
        <f>IF(INDIRECT(ADDRESS(ROW() + (0),COLUMN() + (-1)))="Agregar cuotas", IF(("13.4%")="", "Sin costo", "13.4%"), IF(INDIRECT(ADDRESS(ROW() + (0),COLUMN() + (-1)))="No agregar cuotas", IF(("")="", "Sin costo", ""), "-"))</f>
        <v/>
      </c>
      <c r="M1001" s="0" t="n"/>
      <c r="N1001" s="0" t="n"/>
      <c r="O1001" s="0" t="n"/>
      <c r="P1001" s="47" t="n"/>
      <c r="R1001" s="0" t="n"/>
      <c r="S1001" s="0" t="n"/>
      <c r="U1001" s="0" t="n"/>
      <c r="X1001" s="0" t="n"/>
      <c r="AA1001" s="0" t="n"/>
      <c r="AB1001" s="53">
        <f>IF(AND(INDIRECT("AC"&amp;ROW()) = TRUE,OR(TRIM(INDIRECT("A"&amp;ROW())) = "",INDIRECT("A"&amp;ROW()) = "Escribí o elegí un valor"))," - Código de catálogo ML" , "")&amp;IF(AND(INDIRECT("AC"&amp;ROW()) = FALSE,OR(TRIM(INDIRECT("D"&amp;ROW())) = "",INDIRECT("D"&amp;ROW()) = "Seleccionar"))," - Condición" , "")&amp;IF(AND(INDIRECT("AC"&amp;ROW()) = TRUE,OR(TRIM(INDIRECT("D"&amp;ROW())) = "",INDIRECT("D"&amp;ROW()) = "Seleccionar"))," - Condición" , "")&amp;IF(AND(INDIRECT("AC"&amp;ROW()) = FALSE,OR(TRIM(INDIRECT("E"&amp;ROW())) = "",INDIRECT("E"&amp;ROW()) = "Escribí o elegí un valor"))," - Fotos" , "")&amp;IF(AND(INDIRECT("AC"&amp;ROW()) = FALSE,OR(TRIM(INDIRECT("G"&amp;ROW())) = "",INDIRECT("G"&amp;ROW()) = ""))," - Stock" , "")&amp;IF(AND(INDIRECT("AC"&amp;ROW()) = TRUE,OR(TRIM(INDIRECT("G"&amp;ROW())) = "",INDIRECT("G"&amp;ROW()) = ""))," - Stock" , "")&amp;IF(AND(INDIRECT("AC"&amp;ROW()) = FALSE,OR(TRIM(INDIRECT("H"&amp;ROW())) = "",INDIRECT("H"&amp;ROW()) = ""))," - Precio [$]" , "")&amp;IF(AND(INDIRECT("AC"&amp;ROW()) = TRUE,OR(TRIM(INDIRECT("H"&amp;ROW())) = "",INDIRECT("H"&amp;ROW()) = ""))," - Precio [$]" , "")&amp;IF(AND(INDIRECT("AC"&amp;ROW()) = FALSE,OR(TRIM(INDIRECT("K"&amp;ROW())) = "",INDIRECT("K"&amp;ROW()) = "Seleccionar"))," - Cuotas" , "")&amp;IF(AND(INDIRECT("AC"&amp;ROW()) = TRUE,OR(TRIM(INDIRECT("K"&amp;ROW())) = "",INDIRECT("K"&amp;ROW()) = "Seleccionar"))," - Cuotas" , "")&amp;IF(AND(INDIRECT("AC"&amp;ROW()) = FALSE,OR(TRIM(INDIRECT("M"&amp;ROW())) = "",INDIRECT("M"&amp;ROW()) = "Seleccionar"))," - Forma de envío" , "")&amp;IF(AND(INDIRECT("AC"&amp;ROW()) = TRUE,OR(TRIM(INDIRECT("M"&amp;ROW())) = "",INDIRECT("M"&amp;ROW()) = "Seleccionar"))," - Forma de envío" , "")&amp;IF(AND(INDIRECT("AC"&amp;ROW()) = FALSE,OR(TRIM(INDIRECT("N"&amp;ROW())) = "",INDIRECT("N"&amp;ROW()) = "Seleccionar"))," - Costo de envío" , "")&amp;IF(AND(INDIRECT("AC"&amp;ROW()) = TRUE,OR(TRIM(INDIRECT("N"&amp;ROW())) = "",INDIRECT("N"&amp;ROW()) = "Seleccionar"))," - Costo de envío" , "")&amp;IF(AND(INDIRECT("AC"&amp;ROW()) = FALSE,OR(TRIM(INDIRECT("O"&amp;ROW())) = "",INDIRECT("O"&amp;ROW()) = "Seleccionar"))," - Retiro en persona" , "")&amp;IF(AND(INDIRECT("AC"&amp;ROW()) = TRUE,OR(TRIM(INDIRECT("O"&amp;ROW())) = "",INDIRECT("O"&amp;ROW()) = "Seleccionar"))," - Retiro en persona" , "")&amp;IF(AND(INDIRECT("AC"&amp;ROW()) = TRUE,OR(TRIM(INDIRECT("S"&amp;ROW())) = "",INDIRECT("S"&amp;ROW()) = "Seleccionar"))," - Factura A" , "")&amp;IF(AND(INDIRECT("AC"&amp;ROW()) = FALSE,OR(TRIM(INDIRECT("T"&amp;ROW())) = "",INDIRECT("T"&amp;ROW()) = ""))," - Año de emisión" , "")</f>
        <v/>
      </c>
      <c r="AC1001" s="53">
        <f>IF(OR(TRIM(INDIRECT("B"&amp;ROW())) &lt;&gt; "",TRIM(INDIRECT("A"&amp;ROW())) &lt;&gt; ""),AND(TRIM(INDIRECT("A"&amp;ROW())) &lt;&gt; "",TRIM(INDIRECT("D"&amp;ROW())) = "nuevo"),"")</f>
        <v/>
      </c>
    </row>
  </sheetData>
  <mergeCells count="18">
    <mergeCell ref="A5:A6"/>
    <mergeCell ref="A1:D1"/>
    <mergeCell ref="B6:C6"/>
    <mergeCell ref="E1:G2"/>
    <mergeCell ref="H5:H6"/>
    <mergeCell ref="I5:I7"/>
    <mergeCell ref="J1:S2"/>
    <mergeCell ref="B7:C7"/>
    <mergeCell ref="T7:AA7"/>
    <mergeCell ref="AB1:AB2"/>
    <mergeCell ref="B5:C5"/>
    <mergeCell ref="AC1:AD2"/>
    <mergeCell ref="H1:I2"/>
    <mergeCell ref="A2:D2"/>
    <mergeCell ref="S5:S7"/>
    <mergeCell ref="T1:AA2"/>
    <mergeCell ref="D6:D7"/>
    <mergeCell ref="AB5:AB6"/>
  </mergeCells>
  <conditionalFormatting sqref="B8:B1001">
    <cfRule type="expression" priority="1" dxfId="0">
      <formula>TRIM(INDIRECT(ADDRESS(ROW(),1))) &lt;&gt; ""</formula>
    </cfRule>
    <cfRule type="expression" priority="2" dxfId="1">
      <formula>LEN(INDIRECT(ADDRESS(ROW(),COLUMN()))) &gt; 60</formula>
    </cfRule>
  </conditionalFormatting>
  <conditionalFormatting sqref="C8:C1001">
    <cfRule type="expression" priority="3" dxfId="0">
      <formula>TRIM(INDIRECT(ADDRESS(ROW(),1))) &lt;&gt; ""</formula>
    </cfRule>
    <cfRule type="expression" priority="4" dxfId="1">
      <formula>LEN(INDIRECT(ADDRESS(ROW() + (0),COLUMN() + (-1)))) &gt; 60</formula>
    </cfRule>
  </conditionalFormatting>
  <conditionalFormatting sqref="D8:D1001">
    <cfRule type="expression" priority="5" dxfId="1">
      <formula>LEN(INDIRECT(ADDRESS(ROW(),COLUMN()))) &lt; 1</formula>
    </cfRule>
  </conditionalFormatting>
  <conditionalFormatting sqref="E8:E1001">
    <cfRule type="expression" priority="6" dxfId="1">
      <formula>AND(INDIRECT("E"&amp;ROW()) = "", OR(INDIRECT("A"&amp;ROW()) &lt;&gt; "", INDIRECT("B"&amp;ROW()) &lt;&gt; ""))</formula>
    </cfRule>
    <cfRule type="expression" priority="7" dxfId="0">
      <formula>INDIRECT("E"&amp;ROW()) = "Este producto cuenta con las imágenes del catálogo de Mercado Libre"</formula>
    </cfRule>
  </conditionalFormatting>
  <conditionalFormatting sqref="H8:H1001">
    <cfRule type="expression" priority="8" dxfId="1">
      <formula>AND(TRIM($AC8) &lt;&gt; "",OR(TRIM($H8) = "",$H8 = "",$H8 &lt; 1000.00,ISTEXT($H8)))</formula>
    </cfRule>
  </conditionalFormatting>
  <conditionalFormatting sqref="I8:I1001">
    <cfRule type="expression" priority="9" dxfId="8">
      <formula>TRIM(INDIRECT(ADDRESS(ROW(),1))) = ""</formula>
    </cfRule>
    <cfRule type="expression" priority="10" dxfId="0">
      <formula>TRIM(INDIRECT(ADDRESS(ROW(),1))) &lt;&gt; ""</formula>
    </cfRule>
  </conditionalFormatting>
  <conditionalFormatting sqref="J8:J1001">
    <cfRule type="expression" priority="11" dxfId="0">
      <formula>true</formula>
    </cfRule>
  </conditionalFormatting>
  <conditionalFormatting sqref="L8:L1001">
    <cfRule type="expression" priority="12" dxfId="0">
      <formula>true</formula>
    </cfRule>
  </conditionalFormatting>
  <conditionalFormatting sqref="M8:M1001">
    <cfRule type="expression" priority="13" dxfId="1">
      <formula>AND(TRIM($AC8) &lt;&gt; "",OR(TRIM($M8) = "",$M8 = "Seleccionar"))</formula>
    </cfRule>
  </conditionalFormatting>
  <conditionalFormatting sqref="N8:N10001">
    <cfRule type="cellIs" priority="14" operator="equal" dxfId="13">
      <formula>"Seleccionar"</formula>
    </cfRule>
  </conditionalFormatting>
  <conditionalFormatting sqref="N8:N1001">
    <cfRule type="expression" priority="15" dxfId="1">
      <formula>AND(TRIM($AC8) &lt;&gt; "",OR(TRIM($N8) = "",$N8 = "Seleccionar"))</formula>
    </cfRule>
  </conditionalFormatting>
  <conditionalFormatting sqref="O8:O10001">
    <cfRule type="cellIs" priority="16" operator="equal" dxfId="13">
      <formula>"Seleccionar"</formula>
    </cfRule>
  </conditionalFormatting>
  <conditionalFormatting sqref="O8:O1001">
    <cfRule type="expression" priority="17" dxfId="1">
      <formula>AND(TRIM($AC8) &lt;&gt; "",OR(TRIM($O8) = "",$O8 = "Seleccionar"))</formula>
    </cfRule>
  </conditionalFormatting>
  <conditionalFormatting sqref="P8:P10001">
    <cfRule type="cellIs" priority="18" operator="equal" dxfId="13">
      <formula>"Seleccionar"</formula>
    </cfRule>
  </conditionalFormatting>
  <conditionalFormatting sqref="Q8:Q1001">
    <cfRule type="expression" priority="19" dxfId="1">
      <formula>ISTEXT(INDIRECT(ADDRESS(ROW(),COLUMN())))</formula>
    </cfRule>
  </conditionalFormatting>
  <conditionalFormatting sqref="R8:R10001">
    <cfRule type="cellIs" priority="20" operator="equal" dxfId="13">
      <formula>"Seleccionar"</formula>
    </cfRule>
  </conditionalFormatting>
  <conditionalFormatting sqref="S8:S10001">
    <cfRule type="cellIs" priority="21" operator="equal" dxfId="13">
      <formula>"Seleccionar"</formula>
    </cfRule>
  </conditionalFormatting>
  <conditionalFormatting sqref="S8:S1001">
    <cfRule type="expression" priority="22" dxfId="1">
      <formula>AND($AC8 = TRUE,OR(TRIM($S8) = "",$S8 = "Seleccionar"))</formula>
    </cfRule>
  </conditionalFormatting>
  <conditionalFormatting sqref="T8:T1001">
    <cfRule type="expression" priority="23" dxfId="1">
      <formula>AND(TRIM($AC8) = FALSE,OR(TRIM($T8) = "",$T8 = "",$T8 &lt; 0,ISTEXT($T8)))</formula>
    </cfRule>
    <cfRule type="expression" priority="24" dxfId="0">
      <formula>($AC8 = TRUE)</formula>
    </cfRule>
  </conditionalFormatting>
  <conditionalFormatting sqref="U8:U10001">
    <cfRule type="cellIs" priority="25" operator="equal" dxfId="13">
      <formula>"Escribí o elegí un valor"</formula>
    </cfRule>
  </conditionalFormatting>
  <conditionalFormatting sqref="U8:U1001">
    <cfRule type="expression" priority="26" dxfId="0">
      <formula>($AC8 = TRUE)</formula>
    </cfRule>
  </conditionalFormatting>
  <conditionalFormatting sqref="V8:V1001">
    <cfRule type="expression" priority="27" dxfId="0">
      <formula>($AC8 = TRUE)</formula>
    </cfRule>
  </conditionalFormatting>
  <conditionalFormatting sqref="W8:W1001">
    <cfRule type="expression" priority="28" dxfId="0">
      <formula>($AC8 = TRUE)</formula>
    </cfRule>
  </conditionalFormatting>
  <conditionalFormatting sqref="X8:X10001">
    <cfRule type="cellIs" priority="29" operator="equal" dxfId="13">
      <formula>"Escribí o elegí un valor"</formula>
    </cfRule>
  </conditionalFormatting>
  <conditionalFormatting sqref="X8:X1001">
    <cfRule type="expression" priority="30" dxfId="0">
      <formula>($AC8 = TRUE)</formula>
    </cfRule>
  </conditionalFormatting>
  <conditionalFormatting sqref="Y8:Y1001">
    <cfRule type="expression" priority="31" dxfId="0">
      <formula>($AC8 = TRUE)</formula>
    </cfRule>
  </conditionalFormatting>
  <conditionalFormatting sqref="Z8:Z1001">
    <cfRule type="expression" priority="32" dxfId="0">
      <formula>($AC8 = TRUE)</formula>
    </cfRule>
  </conditionalFormatting>
  <conditionalFormatting sqref="AA8:AA10001">
    <cfRule type="cellIs" priority="33" operator="equal" dxfId="13">
      <formula>"Escribí o elegí un valor"</formula>
    </cfRule>
  </conditionalFormatting>
  <conditionalFormatting sqref="AA8:AA1001">
    <cfRule type="expression" priority="34" dxfId="0">
      <formula>($AC8 = TRUE)</formula>
    </cfRule>
  </conditionalFormatting>
  <conditionalFormatting sqref="AB8:AB1001">
    <cfRule type="expression" priority="35" dxfId="1">
      <formula>TRIM($AB8) &lt;&gt; ""</formula>
    </cfRule>
  </conditionalFormatting>
  <dataValidations count="21">
    <dataValidation sqref="D8:D10001" showDropDown="0" showInputMessage="1" showErrorMessage="1" allowBlank="1" type="list" errorStyle="stop">
      <formula1>'extra info'!$A$2:$B$2</formula1>
    </dataValidation>
    <dataValidation sqref="F8:F10001" showDropDown="0" showInputMessage="1" showErrorMessage="0" allowBlank="1" type="textLength" errorStyle="stop" operator="lessThanOrEqual">
      <formula1>255</formula1>
    </dataValidation>
    <dataValidation sqref="G8:G10001" showDropDown="0" showInputMessage="1" showErrorMessage="0" allowBlank="1" type="decimal" errorStyle="stop" operator="between">
      <formula1>0.0</formula1>
      <formula2>99999.0</formula2>
    </dataValidation>
    <dataValidation sqref="H8:H10001" showDropDown="0" showInputMessage="1" showErrorMessage="0" allowBlank="1" type="decimal" errorStyle="stop" operator="greaterThan">
      <formula1>0.0</formula1>
    </dataValidation>
    <dataValidation sqref="I8:I10001" showDropDown="0" showInputMessage="1" showErrorMessage="0" allowBlank="1" type="textLength" errorStyle="stop" operator="lessThanOrEqual">
      <formula1>50000</formula1>
    </dataValidation>
    <dataValidation sqref="K8:K10001" showDropDown="0" showInputMessage="1" showErrorMessage="1" allowBlank="1" type="list" errorStyle="stop">
      <formula1>'extra info'!$A$3:$B$3</formula1>
    </dataValidation>
    <dataValidation sqref="M8:M10001" showDropDown="0" showInputMessage="1" showErrorMessage="1" allowBlank="1" type="list" errorStyle="stop">
      <formula1>'extra info'!$A$4:$A$4</formula1>
    </dataValidation>
    <dataValidation sqref="N8:N10001" showDropDown="0" showInputMessage="1" showErrorMessage="1" allowBlank="1" type="list" errorStyle="stop">
      <formula1>'extra info'!$A$5:$C$5</formula1>
    </dataValidation>
    <dataValidation sqref="O8:O10001" showDropDown="0" showInputMessage="1" showErrorMessage="1" allowBlank="1" type="list" errorStyle="stop">
      <formula1>'extra info'!$A$6:$C$6</formula1>
    </dataValidation>
    <dataValidation sqref="P8:P10001" showDropDown="0" showInputMessage="1" showErrorMessage="1" allowBlank="1" type="list" errorStyle="stop">
      <formula1>'extra info'!$A$7:$D$7</formula1>
    </dataValidation>
    <dataValidation sqref="Q8:Q10001" showDropDown="0" showInputMessage="1" showErrorMessage="0" allowBlank="1" type="decimal" errorStyle="stop" operator="between">
      <formula1>-2147483648</formula1>
      <formula2>2147483647</formula2>
    </dataValidation>
    <dataValidation sqref="R8:R10001" showDropDown="0" showInputMessage="1" showErrorMessage="1" allowBlank="1" type="list" errorStyle="stop">
      <formula1>'extra info'!$A$8:$D$8</formula1>
    </dataValidation>
    <dataValidation sqref="S8:S10001" showDropDown="0" showInputMessage="1" showErrorMessage="1" allowBlank="1" type="list" errorStyle="stop">
      <formula1>'extra info'!$A$9:$C$9</formula1>
    </dataValidation>
    <dataValidation sqref="T8:T10001" showDropDown="0" showInputMessage="1" showErrorMessage="0" allowBlank="1" type="decimal" errorStyle="stop" operator="between">
      <formula1>-2147483648</formula1>
      <formula2>2147483647</formula2>
    </dataValidation>
    <dataValidation sqref="U8:U10001" showDropDown="0" showInputMessage="1" showErrorMessage="0" allowBlank="1" type="list" errorStyle="stop">
      <formula1>'extra info'!$A$10:$AB$10</formula1>
    </dataValidation>
    <dataValidation sqref="V8:V10001" showDropDown="0" showInputMessage="1" showErrorMessage="0" allowBlank="1" type="textLength" errorStyle="stop" operator="lessThanOrEqual">
      <formula1>255</formula1>
    </dataValidation>
    <dataValidation sqref="W8:W10001" showDropDown="0" showInputMessage="1" showErrorMessage="0" allowBlank="1" type="textLength" errorStyle="stop" operator="lessThanOrEqual">
      <formula1>255</formula1>
    </dataValidation>
    <dataValidation sqref="X8:X10001" showDropDown="0" showInputMessage="1" showErrorMessage="0" allowBlank="1" type="list" errorStyle="stop">
      <formula1>'extra info'!$A$11:$F$11</formula1>
    </dataValidation>
    <dataValidation sqref="Y8:Y10001" showDropDown="0" showInputMessage="1" showErrorMessage="0" allowBlank="1" type="textLength" errorStyle="stop" operator="lessThanOrEqual">
      <formula1>255</formula1>
    </dataValidation>
    <dataValidation sqref="Z8:Z10001" showDropDown="0" showInputMessage="1" showErrorMessage="0" allowBlank="1" type="textLength" errorStyle="stop" operator="lessThanOrEqual">
      <formula1>255</formula1>
    </dataValidation>
    <dataValidation sqref="AA8:AA10001" showDropDown="0" showInputMessage="1" showErrorMessage="0" allowBlank="1" type="list" errorStyle="stop">
      <formula1>'extra info'!$A$12:$K$12</formula1>
    </dataValidation>
  </dataValidations>
  <hyperlinks>
    <hyperlink xmlns:r="http://schemas.openxmlformats.org/officeDocument/2006/relationships" ref="D6" r:id="rId1"/>
    <hyperlink xmlns:r="http://schemas.openxmlformats.org/officeDocument/2006/relationships" ref="E6" r:id="rId2"/>
    <hyperlink xmlns:r="http://schemas.openxmlformats.org/officeDocument/2006/relationships" ref="N6" r:id="rId3"/>
    <hyperlink xmlns:r="http://schemas.openxmlformats.org/officeDocument/2006/relationships" ref="A7" r:id="rId4"/>
    <hyperlink xmlns:r="http://schemas.openxmlformats.org/officeDocument/2006/relationships" ref="AB7" r:id="rId5"/>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9.0625" customWidth="1" min="1" max="1"/>
    <col width="117.1875" customWidth="1" min="2" max="2"/>
    <col width="39.0625" customWidth="1" min="3" max="3"/>
  </cols>
  <sheetData>
    <row r="1" ht="37.5" customHeight="1" s="62">
      <c r="A1" s="58" t="inlineStr">
        <is>
          <t>Categorías</t>
        </is>
      </c>
      <c r="B1" s="58" t="inlineStr">
        <is>
          <t>Legales</t>
        </is>
      </c>
      <c r="C1" s="58" t="inlineStr"/>
    </row>
    <row r="2">
      <c r="A2" s="61" t="inlineStr">
        <is>
          <t>Monedas</t>
        </is>
      </c>
      <c r="B2" s="59" t="inlineStr">
        <is>
          <t>Hay productos en esta categoría que no permitimos publicar. Revisa nuestra política de artículos prohibidos antes de publicar. Ten en cuenta que, si publicas alguno de estos productos, daremos de baja tu publicación y podríamos suspender tu cuenta. Ver política de productos y servicios financieros</t>
        </is>
      </c>
    </row>
    <row r="3" ht="20" customHeight="1" s="62">
      <c r="A3" s="63" t="n"/>
      <c r="B3" s="60" t="inlineStr">
        <is>
          <t>Ver política de productos y servicios financieros</t>
        </is>
      </c>
    </row>
  </sheetData>
  <mergeCells count="1">
    <mergeCell ref="A2:A3"/>
  </mergeCells>
  <hyperlinks>
    <hyperlink xmlns:r="http://schemas.openxmlformats.org/officeDocument/2006/relationships" ref="B3"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2026-09-06T20:33:48Z</dcterms:created>
  <dcterms:modified xmlns:dcterms="http://purl.org/dc/terms/" xmlns:xsi="http://www.w3.org/2001/XMLSchema-instance" xsi:type="dcterms:W3CDTF">2026-09-06T20:33:48Z</dcterms:modified>
</cp:coreProperties>
</file>